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ARSAWA NEW DATA\"/>
    </mc:Choice>
  </mc:AlternateContent>
  <xr:revisionPtr revIDLastSave="0" documentId="13_ncr:1_{8B43348E-6FAF-4DC5-8E43-F53CE1A9C5E3}" xr6:coauthVersionLast="47" xr6:coauthVersionMax="47" xr10:uidLastSave="{00000000-0000-0000-0000-000000000000}"/>
  <bookViews>
    <workbookView xWindow="-120" yWindow="-120" windowWidth="20730" windowHeight="11040" tabRatio="597" activeTab="3" xr2:uid="{E1EF32BC-EC4F-4E82-8B43-582D1EFA22A0}"/>
  </bookViews>
  <sheets>
    <sheet name="KHATAULI" sheetId="49" r:id="rId1"/>
    <sheet name="DB" sheetId="50" r:id="rId2"/>
    <sheet name="COLLECTION" sheetId="51" r:id="rId3"/>
    <sheet name="DEMAND" sheetId="52" r:id="rId4"/>
  </sheets>
  <definedNames>
    <definedName name="_xlnm._FilterDatabase" localSheetId="0" hidden="1">KHATAULI!$A$2:$AY$136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95" i="52" l="1"/>
  <c r="P275" i="52"/>
  <c r="I275" i="52"/>
  <c r="Y136" i="49"/>
  <c r="AC136" i="49"/>
  <c r="AM136" i="49"/>
  <c r="AN136" i="49" s="1"/>
  <c r="AP136" i="49" s="1"/>
  <c r="AQ136" i="49" s="1"/>
  <c r="U136" i="49"/>
  <c r="Z136" i="49" s="1"/>
  <c r="AU136" i="49" s="1"/>
  <c r="Q136" i="49"/>
  <c r="AW136" i="49" s="1"/>
  <c r="O136" i="49"/>
  <c r="K59" i="50"/>
  <c r="O243" i="52"/>
  <c r="I243" i="52"/>
  <c r="O135" i="49"/>
  <c r="AC132" i="49"/>
  <c r="AM132" i="49"/>
  <c r="AN132" i="49" s="1"/>
  <c r="AP132" i="49" s="1"/>
  <c r="AQ132" i="49" s="1"/>
  <c r="AC133" i="49"/>
  <c r="AM133" i="49"/>
  <c r="AN133" i="49" s="1"/>
  <c r="AP133" i="49" s="1"/>
  <c r="AQ133" i="49" s="1"/>
  <c r="AC134" i="49"/>
  <c r="AM134" i="49"/>
  <c r="AN134" i="49" s="1"/>
  <c r="AP134" i="49" s="1"/>
  <c r="AQ134" i="49" s="1"/>
  <c r="AC135" i="49"/>
  <c r="AH135" i="49" s="1"/>
  <c r="AM135" i="49"/>
  <c r="AN135" i="49" s="1"/>
  <c r="AP135" i="49" s="1"/>
  <c r="AQ135" i="49" s="1"/>
  <c r="U135" i="49"/>
  <c r="Z135" i="49" s="1"/>
  <c r="AU135" i="49" s="1"/>
  <c r="Y135" i="49"/>
  <c r="U134" i="49"/>
  <c r="Z134" i="49" s="1"/>
  <c r="AU134" i="49" s="1"/>
  <c r="Y134" i="49"/>
  <c r="U133" i="49"/>
  <c r="Z133" i="49" s="1"/>
  <c r="AU133" i="49" s="1"/>
  <c r="Y133" i="49"/>
  <c r="U132" i="49"/>
  <c r="Z132" i="49" s="1"/>
  <c r="AU132" i="49" s="1"/>
  <c r="Y132" i="49"/>
  <c r="Q132" i="49"/>
  <c r="AW132" i="49" s="1"/>
  <c r="Q133" i="49"/>
  <c r="AW133" i="49" s="1"/>
  <c r="Q134" i="49"/>
  <c r="AW134" i="49" s="1"/>
  <c r="Q135" i="49"/>
  <c r="AW135" i="49" s="1"/>
  <c r="O134" i="49"/>
  <c r="O133" i="49"/>
  <c r="O132" i="49"/>
  <c r="P225" i="52"/>
  <c r="I225" i="52"/>
  <c r="K56" i="50"/>
  <c r="K57" i="50"/>
  <c r="K58" i="50"/>
  <c r="K55" i="50"/>
  <c r="P205" i="52"/>
  <c r="I205" i="52"/>
  <c r="P176" i="52"/>
  <c r="I176" i="52"/>
  <c r="P156" i="52"/>
  <c r="I156" i="52"/>
  <c r="P121" i="52"/>
  <c r="I121" i="52"/>
  <c r="AC130" i="49"/>
  <c r="AM130" i="49"/>
  <c r="AN130" i="49" s="1"/>
  <c r="AP130" i="49" s="1"/>
  <c r="AQ130" i="49" s="1"/>
  <c r="AC131" i="49"/>
  <c r="AM131" i="49"/>
  <c r="AN131" i="49" s="1"/>
  <c r="AP131" i="49" s="1"/>
  <c r="AQ131" i="49" s="1"/>
  <c r="U131" i="49"/>
  <c r="Z131" i="49" s="1"/>
  <c r="A131" i="49" s="1"/>
  <c r="Y131" i="49"/>
  <c r="U130" i="49"/>
  <c r="Z130" i="49" s="1"/>
  <c r="A130" i="49" s="1"/>
  <c r="Y130" i="49"/>
  <c r="Q130" i="49"/>
  <c r="AW130" i="49" s="1"/>
  <c r="Q131" i="49"/>
  <c r="AW131" i="49" s="1"/>
  <c r="O131" i="49"/>
  <c r="O130" i="49"/>
  <c r="K53" i="50"/>
  <c r="K54" i="50"/>
  <c r="P99" i="52"/>
  <c r="I99" i="52"/>
  <c r="O82" i="52"/>
  <c r="O83" i="52"/>
  <c r="O84" i="52"/>
  <c r="O85" i="52"/>
  <c r="Q85" i="52" s="1"/>
  <c r="O86" i="52"/>
  <c r="O87" i="52"/>
  <c r="O88" i="52"/>
  <c r="O89" i="52"/>
  <c r="O90" i="52"/>
  <c r="O91" i="52"/>
  <c r="O92" i="52"/>
  <c r="O93" i="52"/>
  <c r="O94" i="52"/>
  <c r="O95" i="52"/>
  <c r="O96" i="52"/>
  <c r="O97" i="52"/>
  <c r="O81" i="52"/>
  <c r="Q82" i="52"/>
  <c r="Q83" i="52"/>
  <c r="Q84" i="52"/>
  <c r="Q86" i="52"/>
  <c r="Q87" i="52"/>
  <c r="Q88" i="52"/>
  <c r="Q89" i="52"/>
  <c r="Q90" i="52"/>
  <c r="Q91" i="52"/>
  <c r="Q92" i="52"/>
  <c r="Q93" i="52"/>
  <c r="Q94" i="52"/>
  <c r="Q95" i="52"/>
  <c r="Q96" i="52"/>
  <c r="Q97" i="52"/>
  <c r="K52" i="50"/>
  <c r="K51" i="50"/>
  <c r="K50" i="50"/>
  <c r="AC127" i="49"/>
  <c r="AM127" i="49"/>
  <c r="AN127" i="49" s="1"/>
  <c r="AP127" i="49" s="1"/>
  <c r="AQ127" i="49" s="1"/>
  <c r="AC128" i="49"/>
  <c r="AM128" i="49"/>
  <c r="AN128" i="49" s="1"/>
  <c r="AP128" i="49" s="1"/>
  <c r="AQ128" i="49" s="1"/>
  <c r="AC129" i="49"/>
  <c r="AH129" i="49" s="1"/>
  <c r="AM129" i="49"/>
  <c r="AN129" i="49" s="1"/>
  <c r="AP129" i="49" s="1"/>
  <c r="AQ129" i="49" s="1"/>
  <c r="Y127" i="49"/>
  <c r="Y128" i="49"/>
  <c r="Y129" i="49"/>
  <c r="U129" i="49"/>
  <c r="Z129" i="49" s="1"/>
  <c r="U128" i="49"/>
  <c r="Z128" i="49" s="1"/>
  <c r="U127" i="49"/>
  <c r="Z127" i="49" s="1"/>
  <c r="Q127" i="49"/>
  <c r="AW127" i="49" s="1"/>
  <c r="Q128" i="49"/>
  <c r="AW128" i="49" s="1"/>
  <c r="Q129" i="49"/>
  <c r="AW129" i="49" s="1"/>
  <c r="O129" i="49"/>
  <c r="O128" i="49"/>
  <c r="O127" i="49"/>
  <c r="P75" i="52"/>
  <c r="I75" i="52"/>
  <c r="P60" i="52"/>
  <c r="I60" i="52"/>
  <c r="P40" i="52"/>
  <c r="I40" i="52"/>
  <c r="S112" i="51"/>
  <c r="R112" i="51"/>
  <c r="Q112" i="51"/>
  <c r="P112" i="51"/>
  <c r="O112" i="51"/>
  <c r="N112" i="51"/>
  <c r="M112" i="51"/>
  <c r="L112" i="51"/>
  <c r="J112" i="51"/>
  <c r="I112" i="51"/>
  <c r="G112" i="51"/>
  <c r="E112" i="51"/>
  <c r="D112" i="51"/>
  <c r="F109" i="51"/>
  <c r="H109" i="51" s="1"/>
  <c r="K109" i="51" s="1"/>
  <c r="T109" i="51" s="1"/>
  <c r="F108" i="51"/>
  <c r="H108" i="51" s="1"/>
  <c r="K108" i="51" s="1"/>
  <c r="T108" i="51" s="1"/>
  <c r="F107" i="51"/>
  <c r="H107" i="51" s="1"/>
  <c r="K107" i="51" s="1"/>
  <c r="T107" i="51" s="1"/>
  <c r="F106" i="51"/>
  <c r="H106" i="51" s="1"/>
  <c r="K106" i="51" s="1"/>
  <c r="T106" i="51" s="1"/>
  <c r="F105" i="51"/>
  <c r="H105" i="51" s="1"/>
  <c r="K105" i="51" s="1"/>
  <c r="T105" i="51" s="1"/>
  <c r="F104" i="51"/>
  <c r="H104" i="51" s="1"/>
  <c r="K104" i="51" s="1"/>
  <c r="T104" i="51" s="1"/>
  <c r="F103" i="51"/>
  <c r="H103" i="51" s="1"/>
  <c r="K103" i="51" s="1"/>
  <c r="T103" i="51" s="1"/>
  <c r="F102" i="51"/>
  <c r="H102" i="51" s="1"/>
  <c r="K102" i="51" s="1"/>
  <c r="T102" i="51" s="1"/>
  <c r="F101" i="51"/>
  <c r="H101" i="51" s="1"/>
  <c r="K101" i="51" s="1"/>
  <c r="T101" i="51" s="1"/>
  <c r="F100" i="51"/>
  <c r="H100" i="51" s="1"/>
  <c r="K100" i="51" s="1"/>
  <c r="T100" i="51" s="1"/>
  <c r="F99" i="51"/>
  <c r="H99" i="51" s="1"/>
  <c r="K99" i="51" s="1"/>
  <c r="T99" i="51" s="1"/>
  <c r="F98" i="51"/>
  <c r="H98" i="51" s="1"/>
  <c r="K98" i="51" s="1"/>
  <c r="T98" i="51" s="1"/>
  <c r="F97" i="51"/>
  <c r="H97" i="51" s="1"/>
  <c r="K97" i="51" s="1"/>
  <c r="T97" i="51" s="1"/>
  <c r="F96" i="51"/>
  <c r="H96" i="51" s="1"/>
  <c r="K96" i="51" s="1"/>
  <c r="T96" i="51" s="1"/>
  <c r="F95" i="51"/>
  <c r="H95" i="51" s="1"/>
  <c r="K95" i="51" s="1"/>
  <c r="T95" i="51" s="1"/>
  <c r="F94" i="51"/>
  <c r="H94" i="51" s="1"/>
  <c r="K94" i="51" s="1"/>
  <c r="T94" i="51" s="1"/>
  <c r="F93" i="51"/>
  <c r="H93" i="51" s="1"/>
  <c r="K93" i="51" s="1"/>
  <c r="T93" i="51" s="1"/>
  <c r="F92" i="51"/>
  <c r="H92" i="51" s="1"/>
  <c r="K92" i="51" s="1"/>
  <c r="T92" i="51" s="1"/>
  <c r="F91" i="51"/>
  <c r="H91" i="51" s="1"/>
  <c r="K91" i="51" s="1"/>
  <c r="T91" i="51" s="1"/>
  <c r="F90" i="51"/>
  <c r="H90" i="51" s="1"/>
  <c r="K90" i="51" s="1"/>
  <c r="T90" i="51" s="1"/>
  <c r="F89" i="51"/>
  <c r="H89" i="51" s="1"/>
  <c r="K89" i="51" s="1"/>
  <c r="T89" i="51" s="1"/>
  <c r="F88" i="51"/>
  <c r="H88" i="51" s="1"/>
  <c r="K88" i="51" s="1"/>
  <c r="T88" i="51" s="1"/>
  <c r="F87" i="51"/>
  <c r="H124" i="51"/>
  <c r="F124" i="51"/>
  <c r="E124" i="51"/>
  <c r="D124" i="51"/>
  <c r="G121" i="51"/>
  <c r="G120" i="51"/>
  <c r="G119" i="51"/>
  <c r="G118" i="51"/>
  <c r="S80" i="51"/>
  <c r="R80" i="51"/>
  <c r="Q80" i="51"/>
  <c r="P80" i="51"/>
  <c r="O80" i="51"/>
  <c r="N80" i="51"/>
  <c r="M80" i="51"/>
  <c r="L80" i="51"/>
  <c r="J80" i="51"/>
  <c r="I80" i="51"/>
  <c r="G80" i="51"/>
  <c r="E80" i="51"/>
  <c r="D80" i="51"/>
  <c r="F77" i="51"/>
  <c r="H77" i="51" s="1"/>
  <c r="K77" i="51" s="1"/>
  <c r="T77" i="51" s="1"/>
  <c r="F76" i="51"/>
  <c r="H76" i="51" s="1"/>
  <c r="K76" i="51" s="1"/>
  <c r="T76" i="51" s="1"/>
  <c r="F75" i="51"/>
  <c r="H75" i="51" s="1"/>
  <c r="K75" i="51" s="1"/>
  <c r="T75" i="51" s="1"/>
  <c r="F74" i="51"/>
  <c r="H74" i="51" s="1"/>
  <c r="K74" i="51" s="1"/>
  <c r="T74" i="51" s="1"/>
  <c r="F73" i="51"/>
  <c r="H73" i="51" s="1"/>
  <c r="K73" i="51" s="1"/>
  <c r="T73" i="51" s="1"/>
  <c r="F72" i="51"/>
  <c r="H72" i="51" s="1"/>
  <c r="K72" i="51" s="1"/>
  <c r="T72" i="51" s="1"/>
  <c r="F71" i="51"/>
  <c r="H71" i="51" s="1"/>
  <c r="K71" i="51" s="1"/>
  <c r="T71" i="51" s="1"/>
  <c r="F70" i="51"/>
  <c r="H70" i="51" s="1"/>
  <c r="K70" i="51" s="1"/>
  <c r="T70" i="51" s="1"/>
  <c r="F69" i="51"/>
  <c r="H69" i="51" s="1"/>
  <c r="K69" i="51" s="1"/>
  <c r="T69" i="51" s="1"/>
  <c r="F68" i="51"/>
  <c r="H68" i="51" s="1"/>
  <c r="K68" i="51" s="1"/>
  <c r="T68" i="51" s="1"/>
  <c r="F67" i="51"/>
  <c r="H67" i="51" s="1"/>
  <c r="K67" i="51" s="1"/>
  <c r="T67" i="51" s="1"/>
  <c r="F66" i="51"/>
  <c r="H66" i="51" s="1"/>
  <c r="K66" i="51" s="1"/>
  <c r="T66" i="51" s="1"/>
  <c r="F65" i="51"/>
  <c r="H65" i="51" s="1"/>
  <c r="K65" i="51" s="1"/>
  <c r="T65" i="51" s="1"/>
  <c r="F64" i="51"/>
  <c r="H64" i="51" s="1"/>
  <c r="K64" i="51" s="1"/>
  <c r="T64" i="51" s="1"/>
  <c r="F63" i="51"/>
  <c r="H63" i="51" s="1"/>
  <c r="K63" i="51" s="1"/>
  <c r="T63" i="51" s="1"/>
  <c r="F62" i="51"/>
  <c r="H62" i="51" s="1"/>
  <c r="K62" i="51" s="1"/>
  <c r="T62" i="51" s="1"/>
  <c r="F61" i="51"/>
  <c r="H61" i="51" s="1"/>
  <c r="K61" i="51" s="1"/>
  <c r="T61" i="51" s="1"/>
  <c r="F60" i="51"/>
  <c r="H60" i="51" s="1"/>
  <c r="K60" i="51" s="1"/>
  <c r="T60" i="51" s="1"/>
  <c r="F59" i="51"/>
  <c r="H59" i="51" s="1"/>
  <c r="K59" i="51" s="1"/>
  <c r="T59" i="51" s="1"/>
  <c r="F58" i="51"/>
  <c r="H58" i="51" s="1"/>
  <c r="K58" i="51" s="1"/>
  <c r="T58" i="51" s="1"/>
  <c r="F57" i="51"/>
  <c r="H57" i="51" s="1"/>
  <c r="K57" i="51" s="1"/>
  <c r="T57" i="51" s="1"/>
  <c r="F56" i="51"/>
  <c r="H56" i="51" s="1"/>
  <c r="K56" i="51" s="1"/>
  <c r="T56" i="51" s="1"/>
  <c r="F55" i="51"/>
  <c r="S49" i="51"/>
  <c r="R49" i="51"/>
  <c r="Q49" i="51"/>
  <c r="P49" i="51"/>
  <c r="O49" i="51"/>
  <c r="N49" i="51"/>
  <c r="M49" i="51"/>
  <c r="L49" i="51"/>
  <c r="J49" i="51"/>
  <c r="I49" i="51"/>
  <c r="G49" i="51"/>
  <c r="E49" i="51"/>
  <c r="D49" i="51"/>
  <c r="F47" i="51"/>
  <c r="H47" i="51" s="1"/>
  <c r="K47" i="51" s="1"/>
  <c r="T47" i="51" s="1"/>
  <c r="F46" i="51"/>
  <c r="H46" i="51" s="1"/>
  <c r="K46" i="51" s="1"/>
  <c r="T46" i="51" s="1"/>
  <c r="F45" i="51"/>
  <c r="F44" i="51"/>
  <c r="H44" i="51" s="1"/>
  <c r="K44" i="51" s="1"/>
  <c r="T44" i="51" s="1"/>
  <c r="F43" i="51"/>
  <c r="H43" i="51" s="1"/>
  <c r="K43" i="51" s="1"/>
  <c r="T43" i="51" s="1"/>
  <c r="F42" i="51"/>
  <c r="H42" i="51" s="1"/>
  <c r="K42" i="51" s="1"/>
  <c r="T42" i="51" s="1"/>
  <c r="F41" i="51"/>
  <c r="H41" i="51" s="1"/>
  <c r="K41" i="51" s="1"/>
  <c r="T41" i="51" s="1"/>
  <c r="F40" i="51"/>
  <c r="H40" i="51" s="1"/>
  <c r="K40" i="51" s="1"/>
  <c r="T40" i="51" s="1"/>
  <c r="F39" i="51"/>
  <c r="H39" i="51" s="1"/>
  <c r="K39" i="51" s="1"/>
  <c r="T39" i="51" s="1"/>
  <c r="F38" i="51"/>
  <c r="H38" i="51" s="1"/>
  <c r="K38" i="51" s="1"/>
  <c r="T38" i="51" s="1"/>
  <c r="F37" i="51"/>
  <c r="H37" i="51" s="1"/>
  <c r="K37" i="51" s="1"/>
  <c r="T37" i="51" s="1"/>
  <c r="F36" i="51"/>
  <c r="H36" i="51" s="1"/>
  <c r="K36" i="51" s="1"/>
  <c r="T36" i="51" s="1"/>
  <c r="F35" i="51"/>
  <c r="H35" i="51" s="1"/>
  <c r="K35" i="51" s="1"/>
  <c r="T35" i="51" s="1"/>
  <c r="F34" i="51"/>
  <c r="H34" i="51" s="1"/>
  <c r="K34" i="51" s="1"/>
  <c r="T34" i="51" s="1"/>
  <c r="F33" i="51"/>
  <c r="H33" i="51" s="1"/>
  <c r="K33" i="51" s="1"/>
  <c r="T33" i="51" s="1"/>
  <c r="F32" i="51"/>
  <c r="H32" i="51" s="1"/>
  <c r="K32" i="51" s="1"/>
  <c r="T32" i="51" s="1"/>
  <c r="F31" i="51"/>
  <c r="H31" i="51" s="1"/>
  <c r="K31" i="51" s="1"/>
  <c r="T31" i="51" s="1"/>
  <c r="F30" i="51"/>
  <c r="H30" i="51" s="1"/>
  <c r="K30" i="51" s="1"/>
  <c r="T30" i="51" s="1"/>
  <c r="F29" i="51"/>
  <c r="H29" i="51" s="1"/>
  <c r="K29" i="51" s="1"/>
  <c r="T29" i="51" s="1"/>
  <c r="F28" i="51"/>
  <c r="H28" i="51" s="1"/>
  <c r="K28" i="51" s="1"/>
  <c r="T28" i="51" s="1"/>
  <c r="F27" i="51"/>
  <c r="H27" i="51" s="1"/>
  <c r="K27" i="51" s="1"/>
  <c r="T27" i="51" s="1"/>
  <c r="F26" i="51"/>
  <c r="H26" i="51" s="1"/>
  <c r="S21" i="51"/>
  <c r="R21" i="51"/>
  <c r="Q21" i="51"/>
  <c r="P21" i="51"/>
  <c r="O21" i="51"/>
  <c r="N21" i="51"/>
  <c r="M21" i="51"/>
  <c r="L21" i="51"/>
  <c r="J21" i="51"/>
  <c r="I21" i="51"/>
  <c r="G21" i="51"/>
  <c r="E21" i="51"/>
  <c r="D21" i="51"/>
  <c r="F19" i="51"/>
  <c r="H19" i="51" s="1"/>
  <c r="K19" i="51" s="1"/>
  <c r="T19" i="51" s="1"/>
  <c r="F18" i="51"/>
  <c r="H18" i="51" s="1"/>
  <c r="K18" i="51" s="1"/>
  <c r="T18" i="51" s="1"/>
  <c r="F17" i="51"/>
  <c r="H17" i="51" s="1"/>
  <c r="K17" i="51" s="1"/>
  <c r="T17" i="51" s="1"/>
  <c r="F16" i="51"/>
  <c r="H16" i="51" s="1"/>
  <c r="K16" i="51" s="1"/>
  <c r="T16" i="51" s="1"/>
  <c r="F15" i="51"/>
  <c r="H15" i="51" s="1"/>
  <c r="K15" i="51" s="1"/>
  <c r="T15" i="51" s="1"/>
  <c r="F14" i="51"/>
  <c r="H14" i="51" s="1"/>
  <c r="K14" i="51" s="1"/>
  <c r="T14" i="51" s="1"/>
  <c r="F13" i="51"/>
  <c r="H13" i="51" s="1"/>
  <c r="K13" i="51" s="1"/>
  <c r="T13" i="51" s="1"/>
  <c r="F12" i="51"/>
  <c r="H12" i="51" s="1"/>
  <c r="K12" i="51" s="1"/>
  <c r="T12" i="51" s="1"/>
  <c r="F11" i="51"/>
  <c r="H11" i="51" s="1"/>
  <c r="K11" i="51" s="1"/>
  <c r="T11" i="51" s="1"/>
  <c r="F10" i="51"/>
  <c r="H10" i="51" s="1"/>
  <c r="K10" i="51" s="1"/>
  <c r="T10" i="51" s="1"/>
  <c r="F9" i="51"/>
  <c r="H9" i="51" s="1"/>
  <c r="K9" i="51" s="1"/>
  <c r="T9" i="51" s="1"/>
  <c r="F8" i="51"/>
  <c r="H8" i="51" s="1"/>
  <c r="K8" i="51" s="1"/>
  <c r="T8" i="51" s="1"/>
  <c r="F7" i="51"/>
  <c r="H7" i="51" s="1"/>
  <c r="K7" i="51" s="1"/>
  <c r="T7" i="51" s="1"/>
  <c r="F6" i="51"/>
  <c r="F5" i="51"/>
  <c r="H5" i="51" s="1"/>
  <c r="K5" i="51" s="1"/>
  <c r="T5" i="51" s="1"/>
  <c r="F4" i="51"/>
  <c r="H4" i="51" s="1"/>
  <c r="K4" i="51" s="1"/>
  <c r="T4" i="51" s="1"/>
  <c r="F3" i="51"/>
  <c r="H3" i="51" s="1"/>
  <c r="K42" i="50"/>
  <c r="J42" i="50"/>
  <c r="I42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K17" i="50"/>
  <c r="K16" i="50"/>
  <c r="K15" i="50"/>
  <c r="K14" i="50"/>
  <c r="K13" i="50"/>
  <c r="K12" i="50"/>
  <c r="K11" i="50"/>
  <c r="K10" i="50"/>
  <c r="K9" i="50"/>
  <c r="K8" i="50"/>
  <c r="K7" i="50"/>
  <c r="K6" i="50"/>
  <c r="K5" i="50"/>
  <c r="K4" i="50"/>
  <c r="K3" i="50"/>
  <c r="AC125" i="49"/>
  <c r="AM125" i="49"/>
  <c r="AN125" i="49" s="1"/>
  <c r="AP125" i="49" s="1"/>
  <c r="AQ125" i="49" s="1"/>
  <c r="AC126" i="49"/>
  <c r="AH126" i="49" s="1"/>
  <c r="AM126" i="49"/>
  <c r="AN126" i="49" s="1"/>
  <c r="AP126" i="49" s="1"/>
  <c r="AQ126" i="49" s="1"/>
  <c r="U126" i="49"/>
  <c r="Z126" i="49" s="1"/>
  <c r="Y126" i="49"/>
  <c r="U125" i="49"/>
  <c r="Z125" i="49" s="1"/>
  <c r="Y125" i="49"/>
  <c r="Q124" i="49"/>
  <c r="AW124" i="49" s="1"/>
  <c r="Q125" i="49"/>
  <c r="AW125" i="49" s="1"/>
  <c r="Q126" i="49"/>
  <c r="AW126" i="49" s="1"/>
  <c r="P12" i="52"/>
  <c r="I12" i="52"/>
  <c r="O125" i="49"/>
  <c r="O126" i="49"/>
  <c r="AM114" i="49"/>
  <c r="AN114" i="49" s="1"/>
  <c r="AP114" i="49" s="1"/>
  <c r="AQ114" i="49" s="1"/>
  <c r="AM115" i="49"/>
  <c r="AN115" i="49" s="1"/>
  <c r="AP115" i="49" s="1"/>
  <c r="AQ115" i="49" s="1"/>
  <c r="AM116" i="49"/>
  <c r="AN116" i="49" s="1"/>
  <c r="AP116" i="49" s="1"/>
  <c r="AQ116" i="49" s="1"/>
  <c r="AM117" i="49"/>
  <c r="AN117" i="49" s="1"/>
  <c r="AP117" i="49" s="1"/>
  <c r="AQ117" i="49" s="1"/>
  <c r="AM118" i="49"/>
  <c r="AN118" i="49" s="1"/>
  <c r="AP118" i="49" s="1"/>
  <c r="AQ118" i="49" s="1"/>
  <c r="AM119" i="49"/>
  <c r="AN119" i="49" s="1"/>
  <c r="AP119" i="49" s="1"/>
  <c r="AQ119" i="49" s="1"/>
  <c r="AM120" i="49"/>
  <c r="AN120" i="49" s="1"/>
  <c r="AP120" i="49" s="1"/>
  <c r="AQ120" i="49" s="1"/>
  <c r="AM121" i="49"/>
  <c r="AN121" i="49" s="1"/>
  <c r="AP121" i="49" s="1"/>
  <c r="AQ121" i="49" s="1"/>
  <c r="AM122" i="49"/>
  <c r="AN122" i="49" s="1"/>
  <c r="AP122" i="49" s="1"/>
  <c r="AQ122" i="49" s="1"/>
  <c r="AM123" i="49"/>
  <c r="AN123" i="49" s="1"/>
  <c r="AP123" i="49" s="1"/>
  <c r="AQ123" i="49" s="1"/>
  <c r="AM124" i="49"/>
  <c r="AN124" i="49" s="1"/>
  <c r="AP124" i="49" s="1"/>
  <c r="AQ124" i="49" s="1"/>
  <c r="AC114" i="49"/>
  <c r="AC115" i="49"/>
  <c r="AC116" i="49"/>
  <c r="AC117" i="49"/>
  <c r="AC118" i="49"/>
  <c r="AC119" i="49"/>
  <c r="AC120" i="49"/>
  <c r="AC121" i="49"/>
  <c r="AC122" i="49"/>
  <c r="AC123" i="49"/>
  <c r="AC124" i="49"/>
  <c r="U124" i="49"/>
  <c r="Z124" i="49" s="1"/>
  <c r="Y124" i="49"/>
  <c r="U123" i="49"/>
  <c r="Z123" i="49" s="1"/>
  <c r="Y123" i="49"/>
  <c r="U122" i="49"/>
  <c r="Z122" i="49" s="1"/>
  <c r="Y122" i="49"/>
  <c r="U121" i="49"/>
  <c r="Z121" i="49" s="1"/>
  <c r="Y121" i="49"/>
  <c r="U120" i="49"/>
  <c r="Z120" i="49" s="1"/>
  <c r="Y120" i="49"/>
  <c r="U119" i="49"/>
  <c r="Z119" i="49" s="1"/>
  <c r="Y119" i="49"/>
  <c r="U118" i="49"/>
  <c r="Z118" i="49" s="1"/>
  <c r="Y118" i="49"/>
  <c r="U117" i="49"/>
  <c r="Z117" i="49" s="1"/>
  <c r="Y117" i="49"/>
  <c r="U116" i="49"/>
  <c r="Z116" i="49" s="1"/>
  <c r="Y116" i="49"/>
  <c r="U115" i="49"/>
  <c r="Z115" i="49" s="1"/>
  <c r="Y115" i="49"/>
  <c r="U114" i="49"/>
  <c r="Z114" i="49" s="1"/>
  <c r="Y114" i="49"/>
  <c r="Q114" i="49"/>
  <c r="AW114" i="49" s="1"/>
  <c r="Q115" i="49"/>
  <c r="AW115" i="49" s="1"/>
  <c r="Q116" i="49"/>
  <c r="AW116" i="49" s="1"/>
  <c r="Q117" i="49"/>
  <c r="AW117" i="49" s="1"/>
  <c r="Q118" i="49"/>
  <c r="AW118" i="49" s="1"/>
  <c r="Q119" i="49"/>
  <c r="AW119" i="49" s="1"/>
  <c r="Q120" i="49"/>
  <c r="AW120" i="49" s="1"/>
  <c r="Q121" i="49"/>
  <c r="AW121" i="49" s="1"/>
  <c r="Q122" i="49"/>
  <c r="AW122" i="49" s="1"/>
  <c r="Q123" i="49"/>
  <c r="AW123" i="49" s="1"/>
  <c r="O114" i="49"/>
  <c r="O115" i="49"/>
  <c r="O116" i="49"/>
  <c r="O117" i="49"/>
  <c r="O118" i="49"/>
  <c r="O119" i="49"/>
  <c r="O120" i="49"/>
  <c r="O121" i="49"/>
  <c r="O122" i="49"/>
  <c r="O123" i="49"/>
  <c r="O124" i="49"/>
  <c r="N145" i="49"/>
  <c r="M145" i="49"/>
  <c r="AM113" i="49"/>
  <c r="AC113" i="49"/>
  <c r="Y113" i="49"/>
  <c r="U113" i="49"/>
  <c r="Q113" i="49"/>
  <c r="AW113" i="49" s="1"/>
  <c r="O113" i="49"/>
  <c r="AM112" i="49"/>
  <c r="AC112" i="49"/>
  <c r="Y112" i="49"/>
  <c r="U112" i="49"/>
  <c r="Q112" i="49"/>
  <c r="O112" i="49"/>
  <c r="AM111" i="49"/>
  <c r="AC111" i="49"/>
  <c r="Y111" i="49"/>
  <c r="U111" i="49"/>
  <c r="Q111" i="49"/>
  <c r="O111" i="49"/>
  <c r="AM110" i="49"/>
  <c r="AC110" i="49"/>
  <c r="Y110" i="49"/>
  <c r="U110" i="49"/>
  <c r="Q110" i="49"/>
  <c r="O110" i="49"/>
  <c r="AM109" i="49"/>
  <c r="AC109" i="49"/>
  <c r="Y109" i="49"/>
  <c r="U109" i="49"/>
  <c r="Q109" i="49"/>
  <c r="O109" i="49"/>
  <c r="AM108" i="49"/>
  <c r="AC108" i="49"/>
  <c r="Y108" i="49"/>
  <c r="U108" i="49"/>
  <c r="Q108" i="49"/>
  <c r="O108" i="49"/>
  <c r="AM107" i="49"/>
  <c r="AC107" i="49"/>
  <c r="Y107" i="49"/>
  <c r="U107" i="49"/>
  <c r="Q107" i="49"/>
  <c r="O107" i="49"/>
  <c r="AM106" i="49"/>
  <c r="AC106" i="49"/>
  <c r="Y106" i="49"/>
  <c r="U106" i="49"/>
  <c r="Q106" i="49"/>
  <c r="O106" i="49"/>
  <c r="AM105" i="49"/>
  <c r="AC105" i="49"/>
  <c r="Y105" i="49"/>
  <c r="U105" i="49"/>
  <c r="Q105" i="49"/>
  <c r="O105" i="49"/>
  <c r="AM104" i="49"/>
  <c r="AC104" i="49"/>
  <c r="Y104" i="49"/>
  <c r="U104" i="49"/>
  <c r="Q104" i="49"/>
  <c r="O104" i="49"/>
  <c r="AM103" i="49"/>
  <c r="AC103" i="49"/>
  <c r="Y103" i="49"/>
  <c r="U103" i="49"/>
  <c r="Q103" i="49"/>
  <c r="O103" i="49"/>
  <c r="AM102" i="49"/>
  <c r="AC102" i="49"/>
  <c r="Y102" i="49"/>
  <c r="U102" i="49"/>
  <c r="Q102" i="49"/>
  <c r="O102" i="49"/>
  <c r="AM101" i="49"/>
  <c r="AC101" i="49"/>
  <c r="Y101" i="49"/>
  <c r="U101" i="49"/>
  <c r="Q101" i="49"/>
  <c r="O101" i="49"/>
  <c r="AM100" i="49"/>
  <c r="AC100" i="49"/>
  <c r="Y100" i="49"/>
  <c r="U100" i="49"/>
  <c r="Q100" i="49"/>
  <c r="O100" i="49"/>
  <c r="AM99" i="49"/>
  <c r="AC99" i="49"/>
  <c r="Y99" i="49"/>
  <c r="U99" i="49"/>
  <c r="Q99" i="49"/>
  <c r="O99" i="49"/>
  <c r="AM98" i="49"/>
  <c r="AC98" i="49"/>
  <c r="Y98" i="49"/>
  <c r="U98" i="49"/>
  <c r="Q98" i="49"/>
  <c r="O98" i="49"/>
  <c r="AM97" i="49"/>
  <c r="AC97" i="49"/>
  <c r="Y97" i="49"/>
  <c r="U97" i="49"/>
  <c r="Q97" i="49"/>
  <c r="O97" i="49"/>
  <c r="AM96" i="49"/>
  <c r="AC96" i="49"/>
  <c r="Y96" i="49"/>
  <c r="U96" i="49"/>
  <c r="Q96" i="49"/>
  <c r="O96" i="49"/>
  <c r="AM95" i="49"/>
  <c r="AC95" i="49"/>
  <c r="Y95" i="49"/>
  <c r="U95" i="49"/>
  <c r="Q95" i="49"/>
  <c r="O95" i="49"/>
  <c r="AM94" i="49"/>
  <c r="AC94" i="49"/>
  <c r="Y94" i="49"/>
  <c r="U94" i="49"/>
  <c r="Q94" i="49"/>
  <c r="O94" i="49"/>
  <c r="AM93" i="49"/>
  <c r="AC93" i="49"/>
  <c r="Y93" i="49"/>
  <c r="U93" i="49"/>
  <c r="Q93" i="49"/>
  <c r="O93" i="49"/>
  <c r="AM92" i="49"/>
  <c r="AC92" i="49"/>
  <c r="Y92" i="49"/>
  <c r="U92" i="49"/>
  <c r="Q92" i="49"/>
  <c r="O92" i="49"/>
  <c r="AM91" i="49"/>
  <c r="AC91" i="49"/>
  <c r="Y91" i="49"/>
  <c r="U91" i="49"/>
  <c r="Q91" i="49"/>
  <c r="O91" i="49"/>
  <c r="AM90" i="49"/>
  <c r="AC90" i="49"/>
  <c r="Y90" i="49"/>
  <c r="U90" i="49"/>
  <c r="Q90" i="49"/>
  <c r="O90" i="49"/>
  <c r="AM89" i="49"/>
  <c r="AC89" i="49"/>
  <c r="Y89" i="49"/>
  <c r="U89" i="49"/>
  <c r="Q89" i="49"/>
  <c r="O89" i="49"/>
  <c r="AM88" i="49"/>
  <c r="AC88" i="49"/>
  <c r="Y88" i="49"/>
  <c r="U88" i="49"/>
  <c r="Q88" i="49"/>
  <c r="O88" i="49"/>
  <c r="AM87" i="49"/>
  <c r="AC87" i="49"/>
  <c r="Y87" i="49"/>
  <c r="U87" i="49"/>
  <c r="Q87" i="49"/>
  <c r="O87" i="49"/>
  <c r="AM86" i="49"/>
  <c r="AC86" i="49"/>
  <c r="Y86" i="49"/>
  <c r="U86" i="49"/>
  <c r="Q86" i="49"/>
  <c r="O86" i="49"/>
  <c r="AM85" i="49"/>
  <c r="AC85" i="49"/>
  <c r="Y85" i="49"/>
  <c r="U85" i="49"/>
  <c r="Q85" i="49"/>
  <c r="O85" i="49"/>
  <c r="AM84" i="49"/>
  <c r="AC84" i="49"/>
  <c r="Y84" i="49"/>
  <c r="U84" i="49"/>
  <c r="Q84" i="49"/>
  <c r="O84" i="49"/>
  <c r="AM83" i="49"/>
  <c r="AC83" i="49"/>
  <c r="Y83" i="49"/>
  <c r="U83" i="49"/>
  <c r="Q83" i="49"/>
  <c r="O83" i="49"/>
  <c r="AM82" i="49"/>
  <c r="AC82" i="49"/>
  <c r="Y82" i="49"/>
  <c r="U82" i="49"/>
  <c r="Q82" i="49"/>
  <c r="O82" i="49"/>
  <c r="AM81" i="49"/>
  <c r="AC81" i="49"/>
  <c r="Y81" i="49"/>
  <c r="U81" i="49"/>
  <c r="Q81" i="49"/>
  <c r="O81" i="49"/>
  <c r="AM80" i="49"/>
  <c r="AC80" i="49"/>
  <c r="Y80" i="49"/>
  <c r="U80" i="49"/>
  <c r="Q80" i="49"/>
  <c r="O80" i="49"/>
  <c r="AM79" i="49"/>
  <c r="AC79" i="49"/>
  <c r="Y79" i="49"/>
  <c r="U79" i="49"/>
  <c r="Q79" i="49"/>
  <c r="O79" i="49"/>
  <c r="AM78" i="49"/>
  <c r="AC78" i="49"/>
  <c r="Y78" i="49"/>
  <c r="U78" i="49"/>
  <c r="Q78" i="49"/>
  <c r="O78" i="49"/>
  <c r="AM77" i="49"/>
  <c r="AC77" i="49"/>
  <c r="Y77" i="49"/>
  <c r="U77" i="49"/>
  <c r="Q77" i="49"/>
  <c r="O77" i="49"/>
  <c r="AM76" i="49"/>
  <c r="AC76" i="49"/>
  <c r="Y76" i="49"/>
  <c r="U76" i="49"/>
  <c r="Q76" i="49"/>
  <c r="O76" i="49"/>
  <c r="AM75" i="49"/>
  <c r="AC75" i="49"/>
  <c r="Y75" i="49"/>
  <c r="U75" i="49"/>
  <c r="Q75" i="49"/>
  <c r="O75" i="49"/>
  <c r="AM74" i="49"/>
  <c r="AC74" i="49"/>
  <c r="Y74" i="49"/>
  <c r="U74" i="49"/>
  <c r="Q74" i="49"/>
  <c r="O74" i="49"/>
  <c r="AM73" i="49"/>
  <c r="AC73" i="49"/>
  <c r="Y73" i="49"/>
  <c r="U73" i="49"/>
  <c r="Q73" i="49"/>
  <c r="O73" i="49"/>
  <c r="AM72" i="49"/>
  <c r="AC72" i="49"/>
  <c r="Y72" i="49"/>
  <c r="U72" i="49"/>
  <c r="Q72" i="49"/>
  <c r="O72" i="49"/>
  <c r="AM71" i="49"/>
  <c r="AC71" i="49"/>
  <c r="Y71" i="49"/>
  <c r="U71" i="49"/>
  <c r="Q71" i="49"/>
  <c r="O71" i="49"/>
  <c r="AM70" i="49"/>
  <c r="AC70" i="49"/>
  <c r="Y70" i="49"/>
  <c r="U70" i="49"/>
  <c r="Q70" i="49"/>
  <c r="O70" i="49"/>
  <c r="AM69" i="49"/>
  <c r="AC69" i="49"/>
  <c r="Y69" i="49"/>
  <c r="U69" i="49"/>
  <c r="Q69" i="49"/>
  <c r="O69" i="49"/>
  <c r="AM68" i="49"/>
  <c r="AC68" i="49"/>
  <c r="Y68" i="49"/>
  <c r="U68" i="49"/>
  <c r="Q68" i="49"/>
  <c r="O68" i="49"/>
  <c r="AM67" i="49"/>
  <c r="AC67" i="49"/>
  <c r="Y67" i="49"/>
  <c r="U67" i="49"/>
  <c r="Q67" i="49"/>
  <c r="O67" i="49"/>
  <c r="AM66" i="49"/>
  <c r="AC66" i="49"/>
  <c r="Y66" i="49"/>
  <c r="U66" i="49"/>
  <c r="Q66" i="49"/>
  <c r="O66" i="49"/>
  <c r="AM65" i="49"/>
  <c r="AC65" i="49"/>
  <c r="Y65" i="49"/>
  <c r="U65" i="49"/>
  <c r="Q65" i="49"/>
  <c r="O65" i="49"/>
  <c r="AM64" i="49"/>
  <c r="AC64" i="49"/>
  <c r="Y64" i="49"/>
  <c r="U64" i="49"/>
  <c r="Q64" i="49"/>
  <c r="O64" i="49"/>
  <c r="AM63" i="49"/>
  <c r="AC63" i="49"/>
  <c r="Y63" i="49"/>
  <c r="U63" i="49"/>
  <c r="Q63" i="49"/>
  <c r="O63" i="49"/>
  <c r="AM62" i="49"/>
  <c r="AC62" i="49"/>
  <c r="Y62" i="49"/>
  <c r="U62" i="49"/>
  <c r="Q62" i="49"/>
  <c r="O62" i="49"/>
  <c r="AM61" i="49"/>
  <c r="AC61" i="49"/>
  <c r="Y61" i="49"/>
  <c r="U61" i="49"/>
  <c r="Q61" i="49"/>
  <c r="O61" i="49"/>
  <c r="AM60" i="49"/>
  <c r="AC60" i="49"/>
  <c r="Y60" i="49"/>
  <c r="U60" i="49"/>
  <c r="Q60" i="49"/>
  <c r="O60" i="49"/>
  <c r="AM59" i="49"/>
  <c r="AC59" i="49"/>
  <c r="Y59" i="49"/>
  <c r="U59" i="49"/>
  <c r="Q59" i="49"/>
  <c r="O59" i="49"/>
  <c r="AM58" i="49"/>
  <c r="AC58" i="49"/>
  <c r="Y58" i="49"/>
  <c r="U58" i="49"/>
  <c r="Q58" i="49"/>
  <c r="O58" i="49"/>
  <c r="AM57" i="49"/>
  <c r="AC57" i="49"/>
  <c r="Y57" i="49"/>
  <c r="U57" i="49"/>
  <c r="Q57" i="49"/>
  <c r="O57" i="49"/>
  <c r="AM56" i="49"/>
  <c r="AC56" i="49"/>
  <c r="Y56" i="49"/>
  <c r="U56" i="49"/>
  <c r="Q56" i="49"/>
  <c r="O56" i="49"/>
  <c r="AM55" i="49"/>
  <c r="AC55" i="49"/>
  <c r="Y55" i="49"/>
  <c r="U55" i="49"/>
  <c r="Q55" i="49"/>
  <c r="O55" i="49"/>
  <c r="AM54" i="49"/>
  <c r="AC54" i="49"/>
  <c r="Y54" i="49"/>
  <c r="U54" i="49"/>
  <c r="Q54" i="49"/>
  <c r="O54" i="49"/>
  <c r="AM53" i="49"/>
  <c r="AC53" i="49"/>
  <c r="Y53" i="49"/>
  <c r="U53" i="49"/>
  <c r="Q53" i="49"/>
  <c r="O53" i="49"/>
  <c r="AM52" i="49"/>
  <c r="AC52" i="49"/>
  <c r="Y52" i="49"/>
  <c r="U52" i="49"/>
  <c r="Q52" i="49"/>
  <c r="O52" i="49"/>
  <c r="AM51" i="49"/>
  <c r="AC51" i="49"/>
  <c r="Y51" i="49"/>
  <c r="U51" i="49"/>
  <c r="Q51" i="49"/>
  <c r="O51" i="49"/>
  <c r="AM50" i="49"/>
  <c r="AC50" i="49"/>
  <c r="Y50" i="49"/>
  <c r="U50" i="49"/>
  <c r="Q50" i="49"/>
  <c r="O50" i="49"/>
  <c r="AM49" i="49"/>
  <c r="AC49" i="49"/>
  <c r="Y49" i="49"/>
  <c r="U49" i="49"/>
  <c r="Q49" i="49"/>
  <c r="O49" i="49"/>
  <c r="AM48" i="49"/>
  <c r="AC48" i="49"/>
  <c r="Y48" i="49"/>
  <c r="U48" i="49"/>
  <c r="Q48" i="49"/>
  <c r="O48" i="49"/>
  <c r="AM47" i="49"/>
  <c r="AC47" i="49"/>
  <c r="Y47" i="49"/>
  <c r="U47" i="49"/>
  <c r="Q47" i="49"/>
  <c r="O47" i="49"/>
  <c r="AM46" i="49"/>
  <c r="AC46" i="49"/>
  <c r="Y46" i="49"/>
  <c r="U46" i="49"/>
  <c r="Q46" i="49"/>
  <c r="O46" i="49"/>
  <c r="AM45" i="49"/>
  <c r="AC45" i="49"/>
  <c r="Y45" i="49"/>
  <c r="U45" i="49"/>
  <c r="Q45" i="49"/>
  <c r="O45" i="49"/>
  <c r="AM44" i="49"/>
  <c r="AC44" i="49"/>
  <c r="Y44" i="49"/>
  <c r="U44" i="49"/>
  <c r="Q44" i="49"/>
  <c r="O44" i="49"/>
  <c r="AM43" i="49"/>
  <c r="AC43" i="49"/>
  <c r="Y43" i="49"/>
  <c r="U43" i="49"/>
  <c r="Q43" i="49"/>
  <c r="O43" i="49"/>
  <c r="AM42" i="49"/>
  <c r="AC42" i="49"/>
  <c r="Y42" i="49"/>
  <c r="U42" i="49"/>
  <c r="Q42" i="49"/>
  <c r="O42" i="49"/>
  <c r="AM41" i="49"/>
  <c r="AC41" i="49"/>
  <c r="Y41" i="49"/>
  <c r="U41" i="49"/>
  <c r="Q41" i="49"/>
  <c r="O41" i="49"/>
  <c r="AM40" i="49"/>
  <c r="AC40" i="49"/>
  <c r="Y40" i="49"/>
  <c r="U40" i="49"/>
  <c r="Q40" i="49"/>
  <c r="O40" i="49"/>
  <c r="AM39" i="49"/>
  <c r="AC39" i="49"/>
  <c r="Y39" i="49"/>
  <c r="U39" i="49"/>
  <c r="Q39" i="49"/>
  <c r="O39" i="49"/>
  <c r="AM38" i="49"/>
  <c r="AC38" i="49"/>
  <c r="Y38" i="49"/>
  <c r="U38" i="49"/>
  <c r="Q38" i="49"/>
  <c r="O38" i="49"/>
  <c r="AM37" i="49"/>
  <c r="AC37" i="49"/>
  <c r="Y37" i="49"/>
  <c r="U37" i="49"/>
  <c r="Q37" i="49"/>
  <c r="O37" i="49"/>
  <c r="AM36" i="49"/>
  <c r="AC36" i="49"/>
  <c r="Y36" i="49"/>
  <c r="U36" i="49"/>
  <c r="Q36" i="49"/>
  <c r="O36" i="49"/>
  <c r="AM35" i="49"/>
  <c r="AC35" i="49"/>
  <c r="Y35" i="49"/>
  <c r="U35" i="49"/>
  <c r="Q35" i="49"/>
  <c r="O35" i="49"/>
  <c r="AM34" i="49"/>
  <c r="AC34" i="49"/>
  <c r="Y34" i="49"/>
  <c r="U34" i="49"/>
  <c r="Q34" i="49"/>
  <c r="O34" i="49"/>
  <c r="AM33" i="49"/>
  <c r="AC33" i="49"/>
  <c r="Y33" i="49"/>
  <c r="U33" i="49"/>
  <c r="Q33" i="49"/>
  <c r="O33" i="49"/>
  <c r="AM32" i="49"/>
  <c r="AC32" i="49"/>
  <c r="Y32" i="49"/>
  <c r="U32" i="49"/>
  <c r="Q32" i="49"/>
  <c r="O32" i="49"/>
  <c r="AM31" i="49"/>
  <c r="AC31" i="49"/>
  <c r="Y31" i="49"/>
  <c r="U31" i="49"/>
  <c r="Q31" i="49"/>
  <c r="O31" i="49"/>
  <c r="AM30" i="49"/>
  <c r="AC30" i="49"/>
  <c r="Y30" i="49"/>
  <c r="U30" i="49"/>
  <c r="Q30" i="49"/>
  <c r="O30" i="49"/>
  <c r="AM29" i="49"/>
  <c r="AC29" i="49"/>
  <c r="Y29" i="49"/>
  <c r="U29" i="49"/>
  <c r="Q29" i="49"/>
  <c r="O29" i="49"/>
  <c r="AM28" i="49"/>
  <c r="AC28" i="49"/>
  <c r="Y28" i="49"/>
  <c r="U28" i="49"/>
  <c r="Q28" i="49"/>
  <c r="O28" i="49"/>
  <c r="AM27" i="49"/>
  <c r="AC27" i="49"/>
  <c r="Y27" i="49"/>
  <c r="U27" i="49"/>
  <c r="Q27" i="49"/>
  <c r="O27" i="49"/>
  <c r="AM26" i="49"/>
  <c r="AC26" i="49"/>
  <c r="Y26" i="49"/>
  <c r="U26" i="49"/>
  <c r="Q26" i="49"/>
  <c r="O26" i="49"/>
  <c r="AM25" i="49"/>
  <c r="AC25" i="49"/>
  <c r="Y25" i="49"/>
  <c r="U25" i="49"/>
  <c r="Q25" i="49"/>
  <c r="O25" i="49"/>
  <c r="AM24" i="49"/>
  <c r="AC24" i="49"/>
  <c r="Y24" i="49"/>
  <c r="U24" i="49"/>
  <c r="Q24" i="49"/>
  <c r="O24" i="49"/>
  <c r="AM23" i="49"/>
  <c r="AC23" i="49"/>
  <c r="Y23" i="49"/>
  <c r="U23" i="49"/>
  <c r="Q23" i="49"/>
  <c r="O23" i="49"/>
  <c r="AM22" i="49"/>
  <c r="AC22" i="49"/>
  <c r="Y22" i="49"/>
  <c r="U22" i="49"/>
  <c r="Q22" i="49"/>
  <c r="O22" i="49"/>
  <c r="AM21" i="49"/>
  <c r="AC21" i="49"/>
  <c r="Y21" i="49"/>
  <c r="U21" i="49"/>
  <c r="Q21" i="49"/>
  <c r="O21" i="49"/>
  <c r="AM20" i="49"/>
  <c r="AC20" i="49"/>
  <c r="Y20" i="49"/>
  <c r="U20" i="49"/>
  <c r="Q20" i="49"/>
  <c r="O20" i="49"/>
  <c r="AM19" i="49"/>
  <c r="AC19" i="49"/>
  <c r="Y19" i="49"/>
  <c r="U19" i="49"/>
  <c r="Q19" i="49"/>
  <c r="O19" i="49"/>
  <c r="AM18" i="49"/>
  <c r="AC18" i="49"/>
  <c r="Y18" i="49"/>
  <c r="U18" i="49"/>
  <c r="Q18" i="49"/>
  <c r="O18" i="49"/>
  <c r="AM17" i="49"/>
  <c r="AC17" i="49"/>
  <c r="Y17" i="49"/>
  <c r="U17" i="49"/>
  <c r="Q17" i="49"/>
  <c r="O17" i="49"/>
  <c r="AM16" i="49"/>
  <c r="AC16" i="49"/>
  <c r="Y16" i="49"/>
  <c r="U16" i="49"/>
  <c r="Q16" i="49"/>
  <c r="O16" i="49"/>
  <c r="AM15" i="49"/>
  <c r="AC15" i="49"/>
  <c r="Y15" i="49"/>
  <c r="U15" i="49"/>
  <c r="Q15" i="49"/>
  <c r="O15" i="49"/>
  <c r="AM14" i="49"/>
  <c r="AC14" i="49"/>
  <c r="Y14" i="49"/>
  <c r="U14" i="49"/>
  <c r="Q14" i="49"/>
  <c r="O14" i="49"/>
  <c r="AM13" i="49"/>
  <c r="AC13" i="49"/>
  <c r="Y13" i="49"/>
  <c r="U13" i="49"/>
  <c r="Q13" i="49"/>
  <c r="O13" i="49"/>
  <c r="AM12" i="49"/>
  <c r="AC12" i="49"/>
  <c r="Y12" i="49"/>
  <c r="U12" i="49"/>
  <c r="Q12" i="49"/>
  <c r="O12" i="49"/>
  <c r="AM11" i="49"/>
  <c r="AC11" i="49"/>
  <c r="Y11" i="49"/>
  <c r="U11" i="49"/>
  <c r="Q11" i="49"/>
  <c r="O11" i="49"/>
  <c r="AM10" i="49"/>
  <c r="AC10" i="49"/>
  <c r="Y10" i="49"/>
  <c r="U10" i="49"/>
  <c r="Q10" i="49"/>
  <c r="O10" i="49"/>
  <c r="AM9" i="49"/>
  <c r="AC9" i="49"/>
  <c r="Y9" i="49"/>
  <c r="U9" i="49"/>
  <c r="Q9" i="49"/>
  <c r="O9" i="49"/>
  <c r="AM8" i="49"/>
  <c r="AC8" i="49"/>
  <c r="Y8" i="49"/>
  <c r="U8" i="49"/>
  <c r="Q8" i="49"/>
  <c r="O8" i="49"/>
  <c r="AM7" i="49"/>
  <c r="AC7" i="49"/>
  <c r="Y7" i="49"/>
  <c r="U7" i="49"/>
  <c r="Q7" i="49"/>
  <c r="O7" i="49"/>
  <c r="AM6" i="49"/>
  <c r="AC6" i="49"/>
  <c r="Y6" i="49"/>
  <c r="U6" i="49"/>
  <c r="Q6" i="49"/>
  <c r="O6" i="49"/>
  <c r="AM5" i="49"/>
  <c r="AC5" i="49"/>
  <c r="Y5" i="49"/>
  <c r="U5" i="49"/>
  <c r="Q5" i="49"/>
  <c r="O5" i="49"/>
  <c r="AM4" i="49"/>
  <c r="AC4" i="49"/>
  <c r="Y4" i="49"/>
  <c r="U4" i="49"/>
  <c r="Q4" i="49"/>
  <c r="O4" i="49"/>
  <c r="AM3" i="49"/>
  <c r="AC3" i="49"/>
  <c r="Y3" i="49"/>
  <c r="U3" i="49"/>
  <c r="Q3" i="49"/>
  <c r="O3" i="49"/>
  <c r="AE136" i="49" l="1"/>
  <c r="AH136" i="49"/>
  <c r="AF136" i="49"/>
  <c r="AI136" i="49"/>
  <c r="A136" i="49"/>
  <c r="AH132" i="49"/>
  <c r="AF132" i="49"/>
  <c r="AE132" i="49"/>
  <c r="AI132" i="49" s="1"/>
  <c r="AE133" i="49"/>
  <c r="AI133" i="49" s="1"/>
  <c r="AH133" i="49"/>
  <c r="AF133" i="49"/>
  <c r="AH134" i="49"/>
  <c r="AE134" i="49"/>
  <c r="AI134" i="49" s="1"/>
  <c r="AF134" i="49"/>
  <c r="AF135" i="49"/>
  <c r="AE135" i="49"/>
  <c r="AI135" i="49" s="1"/>
  <c r="A135" i="49"/>
  <c r="A134" i="49"/>
  <c r="A133" i="49"/>
  <c r="A132" i="49"/>
  <c r="AE128" i="49"/>
  <c r="AF128" i="49"/>
  <c r="AH128" i="49"/>
  <c r="AE129" i="49"/>
  <c r="AF129" i="49"/>
  <c r="AU131" i="49"/>
  <c r="A127" i="49"/>
  <c r="AU127" i="49"/>
  <c r="AH127" i="49"/>
  <c r="AF127" i="49"/>
  <c r="AE127" i="49"/>
  <c r="AF130" i="49"/>
  <c r="AE130" i="49"/>
  <c r="AI130" i="49" s="1"/>
  <c r="AH130" i="49"/>
  <c r="AE131" i="49"/>
  <c r="AI131" i="49" s="1"/>
  <c r="AF131" i="49"/>
  <c r="AH131" i="49"/>
  <c r="AU130" i="49"/>
  <c r="Q81" i="52"/>
  <c r="Q99" i="52" s="1"/>
  <c r="O99" i="52"/>
  <c r="AI127" i="49"/>
  <c r="AI128" i="49"/>
  <c r="AI129" i="49"/>
  <c r="AU129" i="49"/>
  <c r="A129" i="49"/>
  <c r="A128" i="49"/>
  <c r="AU128" i="49"/>
  <c r="AM145" i="49"/>
  <c r="G124" i="51"/>
  <c r="H87" i="51"/>
  <c r="F112" i="51"/>
  <c r="H55" i="51"/>
  <c r="F80" i="51"/>
  <c r="H45" i="51"/>
  <c r="K45" i="51" s="1"/>
  <c r="T45" i="51" s="1"/>
  <c r="F49" i="51"/>
  <c r="K26" i="51"/>
  <c r="H49" i="51"/>
  <c r="H6" i="51"/>
  <c r="F21" i="51"/>
  <c r="K3" i="51"/>
  <c r="AE126" i="49"/>
  <c r="AI126" i="49" s="1"/>
  <c r="AF126" i="49"/>
  <c r="AE125" i="49"/>
  <c r="AI125" i="49" s="1"/>
  <c r="AF125" i="49"/>
  <c r="AH125" i="49"/>
  <c r="A126" i="49"/>
  <c r="AU126" i="49"/>
  <c r="A125" i="49"/>
  <c r="AU125" i="49"/>
  <c r="A120" i="49"/>
  <c r="AU120" i="49"/>
  <c r="A117" i="49"/>
  <c r="AU117" i="49"/>
  <c r="AH118" i="49"/>
  <c r="AE118" i="49"/>
  <c r="AI118" i="49" s="1"/>
  <c r="AF118" i="49"/>
  <c r="AH119" i="49"/>
  <c r="AE119" i="49"/>
  <c r="AI119" i="49" s="1"/>
  <c r="AF119" i="49"/>
  <c r="AH120" i="49"/>
  <c r="AE120" i="49"/>
  <c r="AI120" i="49" s="1"/>
  <c r="AF120" i="49"/>
  <c r="AH121" i="49"/>
  <c r="AE121" i="49"/>
  <c r="AI121" i="49" s="1"/>
  <c r="AF121" i="49"/>
  <c r="AH122" i="49"/>
  <c r="AE122" i="49"/>
  <c r="AI122" i="49" s="1"/>
  <c r="AF122" i="49"/>
  <c r="AH123" i="49"/>
  <c r="AE123" i="49"/>
  <c r="AI123" i="49" s="1"/>
  <c r="AF123" i="49"/>
  <c r="AH124" i="49"/>
  <c r="AE124" i="49"/>
  <c r="AI124" i="49" s="1"/>
  <c r="AF124" i="49"/>
  <c r="AH114" i="49"/>
  <c r="AF114" i="49"/>
  <c r="AE114" i="49"/>
  <c r="AI114" i="49" s="1"/>
  <c r="AH115" i="49"/>
  <c r="AF115" i="49"/>
  <c r="AE115" i="49"/>
  <c r="AI115" i="49" s="1"/>
  <c r="AF116" i="49"/>
  <c r="AH116" i="49"/>
  <c r="AE116" i="49"/>
  <c r="AI116" i="49" s="1"/>
  <c r="AF117" i="49"/>
  <c r="AH117" i="49"/>
  <c r="AE117" i="49"/>
  <c r="AI117" i="49" s="1"/>
  <c r="AU124" i="49"/>
  <c r="A124" i="49"/>
  <c r="AU123" i="49"/>
  <c r="A123" i="49"/>
  <c r="AU122" i="49"/>
  <c r="A122" i="49"/>
  <c r="AU121" i="49"/>
  <c r="A121" i="49"/>
  <c r="A119" i="49"/>
  <c r="AU119" i="49"/>
  <c r="A118" i="49"/>
  <c r="AU118" i="49"/>
  <c r="A116" i="49"/>
  <c r="AU116" i="49"/>
  <c r="A115" i="49"/>
  <c r="AU115" i="49"/>
  <c r="AU114" i="49"/>
  <c r="A114" i="49"/>
  <c r="AN61" i="49"/>
  <c r="AP61" i="49" s="1"/>
  <c r="AQ61" i="49" s="1"/>
  <c r="Z40" i="49"/>
  <c r="Y145" i="49"/>
  <c r="O145" i="49"/>
  <c r="AN113" i="49"/>
  <c r="AP113" i="49" s="1"/>
  <c r="AQ113" i="49" s="1"/>
  <c r="AH113" i="49"/>
  <c r="AF113" i="49"/>
  <c r="AE113" i="49"/>
  <c r="Z113" i="49"/>
  <c r="AW112" i="49"/>
  <c r="AN112" i="49"/>
  <c r="AP112" i="49" s="1"/>
  <c r="AQ112" i="49" s="1"/>
  <c r="AH112" i="49"/>
  <c r="AF112" i="49"/>
  <c r="AE112" i="49"/>
  <c r="Z112" i="49"/>
  <c r="AW111" i="49"/>
  <c r="AN111" i="49"/>
  <c r="AP111" i="49" s="1"/>
  <c r="AQ111" i="49" s="1"/>
  <c r="AH111" i="49"/>
  <c r="AF111" i="49"/>
  <c r="AE111" i="49"/>
  <c r="Z111" i="49"/>
  <c r="AW110" i="49"/>
  <c r="AN110" i="49"/>
  <c r="AP110" i="49" s="1"/>
  <c r="AQ110" i="49" s="1"/>
  <c r="AH110" i="49"/>
  <c r="AF110" i="49"/>
  <c r="AE110" i="49"/>
  <c r="Z110" i="49"/>
  <c r="AW109" i="49"/>
  <c r="AN109" i="49"/>
  <c r="AP109" i="49" s="1"/>
  <c r="AQ109" i="49" s="1"/>
  <c r="AH109" i="49"/>
  <c r="AF109" i="49"/>
  <c r="AE109" i="49"/>
  <c r="Z109" i="49"/>
  <c r="AW108" i="49"/>
  <c r="AN108" i="49"/>
  <c r="AP108" i="49" s="1"/>
  <c r="AQ108" i="49" s="1"/>
  <c r="AH108" i="49"/>
  <c r="AF108" i="49"/>
  <c r="AE108" i="49"/>
  <c r="Z108" i="49"/>
  <c r="AW107" i="49"/>
  <c r="AN107" i="49"/>
  <c r="AP107" i="49" s="1"/>
  <c r="AQ107" i="49" s="1"/>
  <c r="AH107" i="49"/>
  <c r="AF107" i="49"/>
  <c r="AE107" i="49"/>
  <c r="Z107" i="49"/>
  <c r="AW106" i="49"/>
  <c r="AN106" i="49"/>
  <c r="AP106" i="49" s="1"/>
  <c r="AQ106" i="49" s="1"/>
  <c r="AH106" i="49"/>
  <c r="AF106" i="49"/>
  <c r="AE106" i="49"/>
  <c r="Z106" i="49"/>
  <c r="AW105" i="49"/>
  <c r="AN105" i="49"/>
  <c r="AP105" i="49" s="1"/>
  <c r="AQ105" i="49" s="1"/>
  <c r="AH105" i="49"/>
  <c r="AF105" i="49"/>
  <c r="AE105" i="49"/>
  <c r="Z105" i="49"/>
  <c r="AW104" i="49"/>
  <c r="AN104" i="49"/>
  <c r="AP104" i="49" s="1"/>
  <c r="AQ104" i="49" s="1"/>
  <c r="AH104" i="49"/>
  <c r="AF104" i="49"/>
  <c r="AE104" i="49"/>
  <c r="Z104" i="49"/>
  <c r="AW103" i="49"/>
  <c r="AN103" i="49"/>
  <c r="AP103" i="49" s="1"/>
  <c r="AQ103" i="49" s="1"/>
  <c r="AH103" i="49"/>
  <c r="AF103" i="49"/>
  <c r="AE103" i="49"/>
  <c r="Z103" i="49"/>
  <c r="AW102" i="49"/>
  <c r="AN102" i="49"/>
  <c r="AP102" i="49" s="1"/>
  <c r="AQ102" i="49" s="1"/>
  <c r="AH102" i="49"/>
  <c r="AF102" i="49"/>
  <c r="AE102" i="49"/>
  <c r="Z102" i="49"/>
  <c r="AW101" i="49"/>
  <c r="AN101" i="49"/>
  <c r="AP101" i="49" s="1"/>
  <c r="AQ101" i="49" s="1"/>
  <c r="AH101" i="49"/>
  <c r="AF101" i="49"/>
  <c r="AE101" i="49"/>
  <c r="Z101" i="49"/>
  <c r="AW100" i="49"/>
  <c r="AN100" i="49"/>
  <c r="AP100" i="49" s="1"/>
  <c r="AQ100" i="49" s="1"/>
  <c r="AH100" i="49"/>
  <c r="AF100" i="49"/>
  <c r="AE100" i="49"/>
  <c r="Z100" i="49"/>
  <c r="AW99" i="49"/>
  <c r="AN99" i="49"/>
  <c r="AP99" i="49" s="1"/>
  <c r="AQ99" i="49" s="1"/>
  <c r="AH99" i="49"/>
  <c r="AF99" i="49"/>
  <c r="AE99" i="49"/>
  <c r="Z99" i="49"/>
  <c r="AW98" i="49"/>
  <c r="AN98" i="49"/>
  <c r="AP98" i="49" s="1"/>
  <c r="AQ98" i="49" s="1"/>
  <c r="AH98" i="49"/>
  <c r="AF98" i="49"/>
  <c r="AE98" i="49"/>
  <c r="Z98" i="49"/>
  <c r="AW97" i="49"/>
  <c r="AN97" i="49"/>
  <c r="AP97" i="49" s="1"/>
  <c r="AQ97" i="49" s="1"/>
  <c r="AH97" i="49"/>
  <c r="AF97" i="49"/>
  <c r="AE97" i="49"/>
  <c r="Z97" i="49"/>
  <c r="AW96" i="49"/>
  <c r="AN96" i="49"/>
  <c r="AP96" i="49" s="1"/>
  <c r="AQ96" i="49" s="1"/>
  <c r="AH96" i="49"/>
  <c r="AF96" i="49"/>
  <c r="AE96" i="49"/>
  <c r="Z96" i="49"/>
  <c r="AW95" i="49"/>
  <c r="AN95" i="49"/>
  <c r="AP95" i="49" s="1"/>
  <c r="AQ95" i="49" s="1"/>
  <c r="AH95" i="49"/>
  <c r="AF95" i="49"/>
  <c r="AE95" i="49"/>
  <c r="Z95" i="49"/>
  <c r="AW94" i="49"/>
  <c r="AN94" i="49"/>
  <c r="AP94" i="49" s="1"/>
  <c r="AQ94" i="49" s="1"/>
  <c r="AH94" i="49"/>
  <c r="AF94" i="49"/>
  <c r="AE94" i="49"/>
  <c r="Z94" i="49"/>
  <c r="AW93" i="49"/>
  <c r="AN93" i="49"/>
  <c r="AP93" i="49" s="1"/>
  <c r="AQ93" i="49" s="1"/>
  <c r="AH93" i="49"/>
  <c r="AF93" i="49"/>
  <c r="AE93" i="49"/>
  <c r="Z93" i="49"/>
  <c r="AW92" i="49"/>
  <c r="AN92" i="49"/>
  <c r="AP92" i="49" s="1"/>
  <c r="AQ92" i="49" s="1"/>
  <c r="AH92" i="49"/>
  <c r="AF92" i="49"/>
  <c r="AE92" i="49"/>
  <c r="Z92" i="49"/>
  <c r="AW91" i="49"/>
  <c r="AN91" i="49"/>
  <c r="AP91" i="49" s="1"/>
  <c r="AQ91" i="49" s="1"/>
  <c r="AH91" i="49"/>
  <c r="AF91" i="49"/>
  <c r="AE91" i="49"/>
  <c r="Z91" i="49"/>
  <c r="AW90" i="49"/>
  <c r="AN90" i="49"/>
  <c r="AP90" i="49" s="1"/>
  <c r="AQ90" i="49" s="1"/>
  <c r="AH90" i="49"/>
  <c r="AF90" i="49"/>
  <c r="AE90" i="49"/>
  <c r="Z90" i="49"/>
  <c r="AW89" i="49"/>
  <c r="AN89" i="49"/>
  <c r="AP89" i="49" s="1"/>
  <c r="AQ89" i="49" s="1"/>
  <c r="AH89" i="49"/>
  <c r="AF89" i="49"/>
  <c r="AE89" i="49"/>
  <c r="Z89" i="49"/>
  <c r="AW88" i="49"/>
  <c r="AN88" i="49"/>
  <c r="AP88" i="49" s="1"/>
  <c r="AQ88" i="49" s="1"/>
  <c r="AH88" i="49"/>
  <c r="AF88" i="49"/>
  <c r="AE88" i="49"/>
  <c r="Z88" i="49"/>
  <c r="AW87" i="49"/>
  <c r="AN87" i="49"/>
  <c r="AP87" i="49" s="1"/>
  <c r="AQ87" i="49" s="1"/>
  <c r="AH87" i="49"/>
  <c r="AF87" i="49"/>
  <c r="AE87" i="49"/>
  <c r="Z87" i="49"/>
  <c r="AW86" i="49"/>
  <c r="AN86" i="49"/>
  <c r="AP86" i="49" s="1"/>
  <c r="AQ86" i="49" s="1"/>
  <c r="AH86" i="49"/>
  <c r="AF86" i="49"/>
  <c r="AE86" i="49"/>
  <c r="Z86" i="49"/>
  <c r="AW85" i="49"/>
  <c r="AN85" i="49"/>
  <c r="AP85" i="49" s="1"/>
  <c r="AQ85" i="49" s="1"/>
  <c r="AH85" i="49"/>
  <c r="AF85" i="49"/>
  <c r="AE85" i="49"/>
  <c r="Z85" i="49"/>
  <c r="AW84" i="49"/>
  <c r="AN84" i="49"/>
  <c r="AP84" i="49" s="1"/>
  <c r="AQ84" i="49" s="1"/>
  <c r="AH84" i="49"/>
  <c r="AF84" i="49"/>
  <c r="AE84" i="49"/>
  <c r="Z84" i="49"/>
  <c r="AW83" i="49"/>
  <c r="AN83" i="49"/>
  <c r="AP83" i="49" s="1"/>
  <c r="AQ83" i="49" s="1"/>
  <c r="AW81" i="49"/>
  <c r="AN81" i="49"/>
  <c r="AP81" i="49" s="1"/>
  <c r="AQ81" i="49" s="1"/>
  <c r="AH81" i="49"/>
  <c r="AW80" i="49"/>
  <c r="AN80" i="49"/>
  <c r="AP80" i="49" s="1"/>
  <c r="AQ80" i="49" s="1"/>
  <c r="AH80" i="49"/>
  <c r="AF80" i="49"/>
  <c r="Z80" i="49"/>
  <c r="AF79" i="49"/>
  <c r="Z79" i="49"/>
  <c r="AW78" i="49"/>
  <c r="AE78" i="49"/>
  <c r="AW77" i="49"/>
  <c r="AN77" i="49"/>
  <c r="AP77" i="49" s="1"/>
  <c r="AQ77" i="49" s="1"/>
  <c r="AH77" i="49"/>
  <c r="Z77" i="49"/>
  <c r="AW76" i="49"/>
  <c r="AE76" i="49"/>
  <c r="AE75" i="49"/>
  <c r="AW74" i="49"/>
  <c r="AF74" i="49"/>
  <c r="Z74" i="49"/>
  <c r="AW73" i="49"/>
  <c r="AF73" i="49"/>
  <c r="AW71" i="49"/>
  <c r="AH71" i="49"/>
  <c r="AF70" i="49"/>
  <c r="Z70" i="49"/>
  <c r="AN68" i="49"/>
  <c r="AP68" i="49" s="1"/>
  <c r="AQ68" i="49" s="1"/>
  <c r="AH68" i="49"/>
  <c r="AW66" i="49"/>
  <c r="AE66" i="49"/>
  <c r="Z64" i="49"/>
  <c r="AW63" i="49"/>
  <c r="AF63" i="49"/>
  <c r="AN62" i="49"/>
  <c r="AP62" i="49" s="1"/>
  <c r="AQ62" i="49" s="1"/>
  <c r="AH62" i="49"/>
  <c r="AH61" i="49"/>
  <c r="AF61" i="49"/>
  <c r="AE61" i="49"/>
  <c r="Z61" i="49"/>
  <c r="AN60" i="49"/>
  <c r="AP60" i="49" s="1"/>
  <c r="AQ60" i="49" s="1"/>
  <c r="AH60" i="49"/>
  <c r="AH58" i="49"/>
  <c r="AF57" i="49"/>
  <c r="Z57" i="49"/>
  <c r="AF56" i="49"/>
  <c r="Z56" i="49"/>
  <c r="AE55" i="49"/>
  <c r="AW54" i="49"/>
  <c r="AF54" i="49"/>
  <c r="Z54" i="49"/>
  <c r="AF53" i="49"/>
  <c r="Z53" i="49"/>
  <c r="AW52" i="49"/>
  <c r="AE52" i="49"/>
  <c r="AW51" i="49"/>
  <c r="AE51" i="49"/>
  <c r="AW50" i="49"/>
  <c r="AE50" i="49"/>
  <c r="AE49" i="49"/>
  <c r="AN48" i="49"/>
  <c r="AP48" i="49" s="1"/>
  <c r="AQ48" i="49" s="1"/>
  <c r="AN46" i="49"/>
  <c r="AP46" i="49" s="1"/>
  <c r="AQ46" i="49" s="1"/>
  <c r="AH46" i="49"/>
  <c r="AE44" i="49"/>
  <c r="AW43" i="49"/>
  <c r="Z43" i="49"/>
  <c r="AE39" i="49"/>
  <c r="AF38" i="49"/>
  <c r="AE37" i="49"/>
  <c r="AW36" i="49"/>
  <c r="AF36" i="49"/>
  <c r="Z36" i="49"/>
  <c r="AE35" i="49"/>
  <c r="AW34" i="49"/>
  <c r="AE34" i="49"/>
  <c r="AW33" i="49"/>
  <c r="AN32" i="49"/>
  <c r="AP32" i="49" s="1"/>
  <c r="AQ32" i="49" s="1"/>
  <c r="AF32" i="49"/>
  <c r="Z32" i="49"/>
  <c r="AW31" i="49"/>
  <c r="AE31" i="49"/>
  <c r="AF27" i="49"/>
  <c r="Z27" i="49"/>
  <c r="AW26" i="49"/>
  <c r="AF25" i="49"/>
  <c r="Z25" i="49"/>
  <c r="AF24" i="49"/>
  <c r="Z24" i="49"/>
  <c r="AW23" i="49"/>
  <c r="AE23" i="49"/>
  <c r="AE22" i="49"/>
  <c r="AE21" i="49"/>
  <c r="AN19" i="49"/>
  <c r="AP19" i="49" s="1"/>
  <c r="AQ19" i="49" s="1"/>
  <c r="AH19" i="49"/>
  <c r="AW17" i="49"/>
  <c r="AF17" i="49"/>
  <c r="AW15" i="49"/>
  <c r="AF15" i="49"/>
  <c r="Z15" i="49"/>
  <c r="AW14" i="49"/>
  <c r="AH14" i="49"/>
  <c r="AW13" i="49"/>
  <c r="AH13" i="49"/>
  <c r="AF12" i="49"/>
  <c r="Z12" i="49"/>
  <c r="AE11" i="49"/>
  <c r="AN10" i="49"/>
  <c r="AP10" i="49" s="1"/>
  <c r="AQ10" i="49" s="1"/>
  <c r="AH10" i="49"/>
  <c r="AE10" i="49"/>
  <c r="AE9" i="49"/>
  <c r="AN8" i="49"/>
  <c r="AP8" i="49" s="1"/>
  <c r="AQ8" i="49" s="1"/>
  <c r="AH8" i="49"/>
  <c r="AF7" i="49"/>
  <c r="AW6" i="49"/>
  <c r="AN6" i="49"/>
  <c r="AP6" i="49" s="1"/>
  <c r="AQ6" i="49" s="1"/>
  <c r="AH6" i="49"/>
  <c r="Z5" i="49"/>
  <c r="AN4" i="49"/>
  <c r="AP4" i="49" s="1"/>
  <c r="AQ4" i="49" s="1"/>
  <c r="AH4" i="49"/>
  <c r="AN3" i="49"/>
  <c r="AP3" i="49" s="1"/>
  <c r="AQ3" i="49" s="1"/>
  <c r="AH3" i="49"/>
  <c r="AE3" i="49"/>
  <c r="AH83" i="49"/>
  <c r="AE83" i="49"/>
  <c r="Z83" i="49"/>
  <c r="AF82" i="49"/>
  <c r="AF81" i="49"/>
  <c r="AF78" i="49"/>
  <c r="Z78" i="49"/>
  <c r="AF77" i="49"/>
  <c r="AN76" i="49"/>
  <c r="AP76" i="49" s="1"/>
  <c r="AQ76" i="49" s="1"/>
  <c r="AH76" i="49"/>
  <c r="AW75" i="49"/>
  <c r="AF75" i="49"/>
  <c r="Z75" i="49"/>
  <c r="AE74" i="49"/>
  <c r="AN73" i="49"/>
  <c r="AP73" i="49" s="1"/>
  <c r="AQ73" i="49" s="1"/>
  <c r="AH73" i="49"/>
  <c r="AE73" i="49"/>
  <c r="Z73" i="49"/>
  <c r="AW72" i="49"/>
  <c r="AF72" i="49"/>
  <c r="Z72" i="49"/>
  <c r="AF71" i="49"/>
  <c r="Z71" i="49"/>
  <c r="AW70" i="49"/>
  <c r="AF69" i="49"/>
  <c r="Z69" i="49"/>
  <c r="AE68" i="49"/>
  <c r="AN67" i="49"/>
  <c r="AP67" i="49" s="1"/>
  <c r="AQ67" i="49" s="1"/>
  <c r="AH67" i="49"/>
  <c r="AE67" i="49"/>
  <c r="Z67" i="49"/>
  <c r="AF66" i="49"/>
  <c r="Z66" i="49"/>
  <c r="AN65" i="49"/>
  <c r="AP65" i="49" s="1"/>
  <c r="AQ65" i="49" s="1"/>
  <c r="AF65" i="49"/>
  <c r="Z65" i="49"/>
  <c r="AW64" i="49"/>
  <c r="AH64" i="49"/>
  <c r="AE64" i="49"/>
  <c r="AE63" i="49"/>
  <c r="Z63" i="49"/>
  <c r="AF62" i="49"/>
  <c r="Z62" i="49"/>
  <c r="AW60" i="49"/>
  <c r="AE60" i="49"/>
  <c r="AH59" i="49"/>
  <c r="AE59" i="49"/>
  <c r="Z59" i="49"/>
  <c r="AW58" i="49"/>
  <c r="AE58" i="49"/>
  <c r="AE57" i="49"/>
  <c r="AW56" i="49"/>
  <c r="AN56" i="49"/>
  <c r="AP56" i="49" s="1"/>
  <c r="AQ56" i="49" s="1"/>
  <c r="AH56" i="49"/>
  <c r="AW55" i="49"/>
  <c r="AN55" i="49"/>
  <c r="AP55" i="49" s="1"/>
  <c r="AQ55" i="49" s="1"/>
  <c r="AH55" i="49"/>
  <c r="AE54" i="49"/>
  <c r="AN53" i="49"/>
  <c r="AP53" i="49" s="1"/>
  <c r="AQ53" i="49" s="1"/>
  <c r="AH53" i="49"/>
  <c r="AN52" i="49"/>
  <c r="AP52" i="49" s="1"/>
  <c r="AQ52" i="49" s="1"/>
  <c r="AH52" i="49"/>
  <c r="AN51" i="49"/>
  <c r="AP51" i="49" s="1"/>
  <c r="AQ51" i="49" s="1"/>
  <c r="AH51" i="49"/>
  <c r="AF50" i="49"/>
  <c r="Z50" i="49"/>
  <c r="AW49" i="49"/>
  <c r="AF49" i="49"/>
  <c r="Z49" i="49"/>
  <c r="AW48" i="49"/>
  <c r="AH48" i="49"/>
  <c r="AF48" i="49"/>
  <c r="Z48" i="49"/>
  <c r="AW47" i="49"/>
  <c r="AH47" i="49"/>
  <c r="AE47" i="49"/>
  <c r="AW46" i="49"/>
  <c r="AF46" i="49"/>
  <c r="Z46" i="49"/>
  <c r="AN45" i="49"/>
  <c r="AP45" i="49" s="1"/>
  <c r="AQ45" i="49" s="1"/>
  <c r="AF45" i="49"/>
  <c r="Z45" i="49"/>
  <c r="AW44" i="49"/>
  <c r="AF44" i="49"/>
  <c r="Z44" i="49"/>
  <c r="AF43" i="49"/>
  <c r="AW42" i="49"/>
  <c r="AH42" i="49"/>
  <c r="AE42" i="49"/>
  <c r="Z42" i="49"/>
  <c r="AW41" i="49"/>
  <c r="AE41" i="49"/>
  <c r="AN40" i="49"/>
  <c r="AP40" i="49" s="1"/>
  <c r="AQ40" i="49" s="1"/>
  <c r="AH40" i="49"/>
  <c r="AF40" i="49"/>
  <c r="AN39" i="49"/>
  <c r="AP39" i="49" s="1"/>
  <c r="AQ39" i="49" s="1"/>
  <c r="AH39" i="49"/>
  <c r="AW38" i="49"/>
  <c r="AN38" i="49"/>
  <c r="AP38" i="49" s="1"/>
  <c r="AQ38" i="49" s="1"/>
  <c r="AH38" i="49"/>
  <c r="AE38" i="49"/>
  <c r="Z38" i="49"/>
  <c r="AW37" i="49"/>
  <c r="AE36" i="49"/>
  <c r="AW35" i="49"/>
  <c r="AF34" i="49"/>
  <c r="Z34" i="49"/>
  <c r="AH33" i="49"/>
  <c r="AE33" i="49"/>
  <c r="Z33" i="49"/>
  <c r="AW32" i="49"/>
  <c r="AH32" i="49"/>
  <c r="AE32" i="49"/>
  <c r="AF31" i="49"/>
  <c r="Z31" i="49"/>
  <c r="AW30" i="49"/>
  <c r="AF30" i="49"/>
  <c r="Z30" i="49"/>
  <c r="AN29" i="49"/>
  <c r="AP29" i="49" s="1"/>
  <c r="AQ29" i="49" s="1"/>
  <c r="AF29" i="49"/>
  <c r="Z29" i="49"/>
  <c r="AW28" i="49"/>
  <c r="AN28" i="49"/>
  <c r="AP28" i="49" s="1"/>
  <c r="AQ28" i="49" s="1"/>
  <c r="AH28" i="49"/>
  <c r="AE28" i="49"/>
  <c r="AN27" i="49"/>
  <c r="AP27" i="49" s="1"/>
  <c r="AQ27" i="49" s="1"/>
  <c r="AH27" i="49"/>
  <c r="AE27" i="49"/>
  <c r="AN26" i="49"/>
  <c r="AP26" i="49" s="1"/>
  <c r="AQ26" i="49" s="1"/>
  <c r="AH26" i="49"/>
  <c r="AE26" i="49"/>
  <c r="Z26" i="49"/>
  <c r="AW25" i="49"/>
  <c r="AN25" i="49"/>
  <c r="AP25" i="49" s="1"/>
  <c r="AQ25" i="49" s="1"/>
  <c r="AW24" i="49"/>
  <c r="AH24" i="49"/>
  <c r="AF23" i="49"/>
  <c r="Z23" i="49"/>
  <c r="AW22" i="49"/>
  <c r="AF22" i="49"/>
  <c r="Z22" i="49"/>
  <c r="AF21" i="49"/>
  <c r="Z21" i="49"/>
  <c r="AW20" i="49"/>
  <c r="AF20" i="49"/>
  <c r="Z20" i="49"/>
  <c r="AW19" i="49"/>
  <c r="AE19" i="49"/>
  <c r="AW18" i="49"/>
  <c r="AN18" i="49"/>
  <c r="AP18" i="49" s="1"/>
  <c r="AQ18" i="49" s="1"/>
  <c r="AH18" i="49"/>
  <c r="AE18" i="49"/>
  <c r="AN16" i="49"/>
  <c r="AP16" i="49" s="1"/>
  <c r="AQ16" i="49" s="1"/>
  <c r="AF16" i="49"/>
  <c r="AN15" i="49"/>
  <c r="AP15" i="49" s="1"/>
  <c r="AQ15" i="49" s="1"/>
  <c r="AH15" i="49"/>
  <c r="AE14" i="49"/>
  <c r="AN13" i="49"/>
  <c r="AP13" i="49" s="1"/>
  <c r="AQ13" i="49" s="1"/>
  <c r="AE13" i="49"/>
  <c r="AN12" i="49"/>
  <c r="AP12" i="49" s="1"/>
  <c r="AQ12" i="49" s="1"/>
  <c r="AH12" i="49"/>
  <c r="AE12" i="49"/>
  <c r="AN11" i="49"/>
  <c r="AP11" i="49" s="1"/>
  <c r="AQ11" i="49" s="1"/>
  <c r="AH11" i="49"/>
  <c r="AW10" i="49"/>
  <c r="AW9" i="49"/>
  <c r="AF9" i="49"/>
  <c r="Z9" i="49"/>
  <c r="AE8" i="49"/>
  <c r="AN7" i="49"/>
  <c r="AP7" i="49" s="1"/>
  <c r="AQ7" i="49" s="1"/>
  <c r="AH7" i="49"/>
  <c r="AE7" i="49"/>
  <c r="Z7" i="49"/>
  <c r="AF6" i="49"/>
  <c r="Z6" i="49"/>
  <c r="AW5" i="49"/>
  <c r="AE5" i="49"/>
  <c r="AW4" i="49"/>
  <c r="AF4" i="49"/>
  <c r="AW3" i="49"/>
  <c r="AF83" i="49"/>
  <c r="AW82" i="49"/>
  <c r="AN82" i="49"/>
  <c r="AP82" i="49" s="1"/>
  <c r="AQ82" i="49" s="1"/>
  <c r="AH82" i="49"/>
  <c r="AE82" i="49"/>
  <c r="Z82" i="49"/>
  <c r="AE81" i="49"/>
  <c r="Z81" i="49"/>
  <c r="AE80" i="49"/>
  <c r="AW79" i="49"/>
  <c r="AN79" i="49"/>
  <c r="AP79" i="49" s="1"/>
  <c r="AQ79" i="49" s="1"/>
  <c r="AH79" i="49"/>
  <c r="AE79" i="49"/>
  <c r="AN78" i="49"/>
  <c r="AP78" i="49" s="1"/>
  <c r="AQ78" i="49" s="1"/>
  <c r="AH78" i="49"/>
  <c r="AE77" i="49"/>
  <c r="AF76" i="49"/>
  <c r="Z76" i="49"/>
  <c r="AN75" i="49"/>
  <c r="AP75" i="49" s="1"/>
  <c r="AQ75" i="49" s="1"/>
  <c r="AH75" i="49"/>
  <c r="AN74" i="49"/>
  <c r="AP74" i="49" s="1"/>
  <c r="AQ74" i="49" s="1"/>
  <c r="AH74" i="49"/>
  <c r="AN72" i="49"/>
  <c r="AP72" i="49" s="1"/>
  <c r="AQ72" i="49" s="1"/>
  <c r="AH72" i="49"/>
  <c r="AE72" i="49"/>
  <c r="AN71" i="49"/>
  <c r="AP71" i="49" s="1"/>
  <c r="AQ71" i="49" s="1"/>
  <c r="AE71" i="49"/>
  <c r="AN70" i="49"/>
  <c r="AP70" i="49" s="1"/>
  <c r="AQ70" i="49" s="1"/>
  <c r="AH70" i="49"/>
  <c r="AE70" i="49"/>
  <c r="AW69" i="49"/>
  <c r="AN69" i="49"/>
  <c r="AP69" i="49" s="1"/>
  <c r="AQ69" i="49" s="1"/>
  <c r="AH69" i="49"/>
  <c r="AE69" i="49"/>
  <c r="AW68" i="49"/>
  <c r="AF68" i="49"/>
  <c r="Z68" i="49"/>
  <c r="AW67" i="49"/>
  <c r="AF67" i="49"/>
  <c r="AN66" i="49"/>
  <c r="AP66" i="49" s="1"/>
  <c r="AQ66" i="49" s="1"/>
  <c r="AH66" i="49"/>
  <c r="AW65" i="49"/>
  <c r="AH65" i="49"/>
  <c r="AE65" i="49"/>
  <c r="AN64" i="49"/>
  <c r="AP64" i="49" s="1"/>
  <c r="AQ64" i="49" s="1"/>
  <c r="AF64" i="49"/>
  <c r="AN63" i="49"/>
  <c r="AP63" i="49" s="1"/>
  <c r="AQ63" i="49" s="1"/>
  <c r="AH63" i="49"/>
  <c r="AW62" i="49"/>
  <c r="AE62" i="49"/>
  <c r="AW61" i="49"/>
  <c r="AF60" i="49"/>
  <c r="Z60" i="49"/>
  <c r="AW59" i="49"/>
  <c r="AN59" i="49"/>
  <c r="AP59" i="49" s="1"/>
  <c r="AQ59" i="49" s="1"/>
  <c r="AF59" i="49"/>
  <c r="AN58" i="49"/>
  <c r="AP58" i="49" s="1"/>
  <c r="AQ58" i="49" s="1"/>
  <c r="AF58" i="49"/>
  <c r="Z58" i="49"/>
  <c r="AW57" i="49"/>
  <c r="AN57" i="49"/>
  <c r="AP57" i="49" s="1"/>
  <c r="AQ57" i="49" s="1"/>
  <c r="AH57" i="49"/>
  <c r="AE56" i="49"/>
  <c r="AF55" i="49"/>
  <c r="Z55" i="49"/>
  <c r="AN54" i="49"/>
  <c r="AP54" i="49" s="1"/>
  <c r="AQ54" i="49" s="1"/>
  <c r="AH54" i="49"/>
  <c r="AW53" i="49"/>
  <c r="AE53" i="49"/>
  <c r="AF52" i="49"/>
  <c r="Z52" i="49"/>
  <c r="AF51" i="49"/>
  <c r="Z51" i="49"/>
  <c r="AN50" i="49"/>
  <c r="AP50" i="49" s="1"/>
  <c r="AQ50" i="49" s="1"/>
  <c r="AH50" i="49"/>
  <c r="AN49" i="49"/>
  <c r="AP49" i="49" s="1"/>
  <c r="AQ49" i="49" s="1"/>
  <c r="AH49" i="49"/>
  <c r="AE48" i="49"/>
  <c r="AN47" i="49"/>
  <c r="AP47" i="49" s="1"/>
  <c r="AQ47" i="49" s="1"/>
  <c r="AF47" i="49"/>
  <c r="Z47" i="49"/>
  <c r="AE46" i="49"/>
  <c r="AW45" i="49"/>
  <c r="AH45" i="49"/>
  <c r="AE45" i="49"/>
  <c r="AN44" i="49"/>
  <c r="AP44" i="49" s="1"/>
  <c r="AQ44" i="49" s="1"/>
  <c r="AH44" i="49"/>
  <c r="AN43" i="49"/>
  <c r="AP43" i="49" s="1"/>
  <c r="AQ43" i="49" s="1"/>
  <c r="AH43" i="49"/>
  <c r="AE43" i="49"/>
  <c r="AN42" i="49"/>
  <c r="AP42" i="49" s="1"/>
  <c r="AQ42" i="49" s="1"/>
  <c r="AF42" i="49"/>
  <c r="AN41" i="49"/>
  <c r="AP41" i="49" s="1"/>
  <c r="AQ41" i="49" s="1"/>
  <c r="AH41" i="49"/>
  <c r="AF41" i="49"/>
  <c r="Z41" i="49"/>
  <c r="AW40" i="49"/>
  <c r="AE40" i="49"/>
  <c r="AW39" i="49"/>
  <c r="AF39" i="49"/>
  <c r="Z39" i="49"/>
  <c r="AN37" i="49"/>
  <c r="AP37" i="49" s="1"/>
  <c r="AQ37" i="49" s="1"/>
  <c r="AH37" i="49"/>
  <c r="AF37" i="49"/>
  <c r="Z37" i="49"/>
  <c r="AN36" i="49"/>
  <c r="AP36" i="49" s="1"/>
  <c r="AQ36" i="49" s="1"/>
  <c r="AH36" i="49"/>
  <c r="AN35" i="49"/>
  <c r="AP35" i="49" s="1"/>
  <c r="AQ35" i="49" s="1"/>
  <c r="AH35" i="49"/>
  <c r="AF35" i="49"/>
  <c r="Z35" i="49"/>
  <c r="AN34" i="49"/>
  <c r="AP34" i="49" s="1"/>
  <c r="AQ34" i="49" s="1"/>
  <c r="AH34" i="49"/>
  <c r="AN33" i="49"/>
  <c r="AP33" i="49" s="1"/>
  <c r="AQ33" i="49" s="1"/>
  <c r="AF33" i="49"/>
  <c r="AN31" i="49"/>
  <c r="AP31" i="49" s="1"/>
  <c r="AQ31" i="49" s="1"/>
  <c r="AH31" i="49"/>
  <c r="AN30" i="49"/>
  <c r="AP30" i="49" s="1"/>
  <c r="AQ30" i="49" s="1"/>
  <c r="AH30" i="49"/>
  <c r="AE30" i="49"/>
  <c r="AW29" i="49"/>
  <c r="AH29" i="49"/>
  <c r="AE29" i="49"/>
  <c r="AF28" i="49"/>
  <c r="Z28" i="49"/>
  <c r="AW27" i="49"/>
  <c r="AF26" i="49"/>
  <c r="AH25" i="49"/>
  <c r="AE25" i="49"/>
  <c r="AN24" i="49"/>
  <c r="AP24" i="49" s="1"/>
  <c r="AQ24" i="49" s="1"/>
  <c r="AE24" i="49"/>
  <c r="AN23" i="49"/>
  <c r="AP23" i="49" s="1"/>
  <c r="AQ23" i="49" s="1"/>
  <c r="AH23" i="49"/>
  <c r="AN22" i="49"/>
  <c r="AP22" i="49" s="1"/>
  <c r="AQ22" i="49" s="1"/>
  <c r="AH22" i="49"/>
  <c r="AW21" i="49"/>
  <c r="AN21" i="49"/>
  <c r="AP21" i="49" s="1"/>
  <c r="AQ21" i="49" s="1"/>
  <c r="AH21" i="49"/>
  <c r="AN20" i="49"/>
  <c r="AP20" i="49" s="1"/>
  <c r="AQ20" i="49" s="1"/>
  <c r="AH20" i="49"/>
  <c r="AE20" i="49"/>
  <c r="AF19" i="49"/>
  <c r="Z19" i="49"/>
  <c r="AF18" i="49"/>
  <c r="Z18" i="49"/>
  <c r="AN17" i="49"/>
  <c r="AP17" i="49" s="1"/>
  <c r="AQ17" i="49" s="1"/>
  <c r="AH17" i="49"/>
  <c r="AE17" i="49"/>
  <c r="Z17" i="49"/>
  <c r="AW16" i="49"/>
  <c r="AH16" i="49"/>
  <c r="AE16" i="49"/>
  <c r="Z16" i="49"/>
  <c r="AE15" i="49"/>
  <c r="AN14" i="49"/>
  <c r="AP14" i="49" s="1"/>
  <c r="AQ14" i="49" s="1"/>
  <c r="AF14" i="49"/>
  <c r="Z14" i="49"/>
  <c r="AF13" i="49"/>
  <c r="Z13" i="49"/>
  <c r="AW12" i="49"/>
  <c r="AW11" i="49"/>
  <c r="AF11" i="49"/>
  <c r="Z11" i="49"/>
  <c r="AF10" i="49"/>
  <c r="Z10" i="49"/>
  <c r="AN9" i="49"/>
  <c r="AP9" i="49" s="1"/>
  <c r="AQ9" i="49" s="1"/>
  <c r="AH9" i="49"/>
  <c r="AW8" i="49"/>
  <c r="AF8" i="49"/>
  <c r="Z8" i="49"/>
  <c r="AW7" i="49"/>
  <c r="AE6" i="49"/>
  <c r="AN5" i="49"/>
  <c r="AP5" i="49" s="1"/>
  <c r="AQ5" i="49" s="1"/>
  <c r="AH5" i="49"/>
  <c r="AF5" i="49"/>
  <c r="AE4" i="49"/>
  <c r="Z4" i="49"/>
  <c r="AF3" i="49"/>
  <c r="Z3" i="49"/>
  <c r="K6" i="51" l="1"/>
  <c r="T6" i="51" s="1"/>
  <c r="H21" i="51"/>
  <c r="K87" i="51"/>
  <c r="H112" i="51"/>
  <c r="K55" i="51"/>
  <c r="H80" i="51"/>
  <c r="T26" i="51"/>
  <c r="K49" i="51"/>
  <c r="T3" i="51"/>
  <c r="K21" i="51"/>
  <c r="A40" i="49"/>
  <c r="AU40" i="49"/>
  <c r="AI113" i="49"/>
  <c r="AU113" i="49"/>
  <c r="A113" i="49"/>
  <c r="AI112" i="49"/>
  <c r="AU112" i="49"/>
  <c r="A112" i="49"/>
  <c r="AI111" i="49"/>
  <c r="AU111" i="49"/>
  <c r="A111" i="49"/>
  <c r="AI110" i="49"/>
  <c r="AU110" i="49"/>
  <c r="A110" i="49"/>
  <c r="AI109" i="49"/>
  <c r="AU109" i="49"/>
  <c r="A109" i="49"/>
  <c r="AI108" i="49"/>
  <c r="AU108" i="49"/>
  <c r="A108" i="49"/>
  <c r="AI107" i="49"/>
  <c r="AU107" i="49"/>
  <c r="A107" i="49"/>
  <c r="AI106" i="49"/>
  <c r="AU106" i="49"/>
  <c r="A106" i="49"/>
  <c r="AI105" i="49"/>
  <c r="AU105" i="49"/>
  <c r="A105" i="49"/>
  <c r="AI104" i="49"/>
  <c r="AU104" i="49"/>
  <c r="A104" i="49"/>
  <c r="AI103" i="49"/>
  <c r="AU103" i="49"/>
  <c r="A103" i="49"/>
  <c r="AI102" i="49"/>
  <c r="AU102" i="49"/>
  <c r="A102" i="49"/>
  <c r="AI101" i="49"/>
  <c r="AU101" i="49"/>
  <c r="A101" i="49"/>
  <c r="AI100" i="49"/>
  <c r="AU100" i="49"/>
  <c r="A100" i="49"/>
  <c r="AI99" i="49"/>
  <c r="AU99" i="49"/>
  <c r="A99" i="49"/>
  <c r="AI98" i="49"/>
  <c r="AU98" i="49"/>
  <c r="A98" i="49"/>
  <c r="AI97" i="49"/>
  <c r="AU97" i="49"/>
  <c r="A97" i="49"/>
  <c r="AI96" i="49"/>
  <c r="AU96" i="49"/>
  <c r="A96" i="49"/>
  <c r="AI95" i="49"/>
  <c r="AU95" i="49"/>
  <c r="A95" i="49"/>
  <c r="AI94" i="49"/>
  <c r="AU94" i="49"/>
  <c r="A94" i="49"/>
  <c r="AI93" i="49"/>
  <c r="AU93" i="49"/>
  <c r="A93" i="49"/>
  <c r="AI92" i="49"/>
  <c r="AU92" i="49"/>
  <c r="A92" i="49"/>
  <c r="AI91" i="49"/>
  <c r="AU91" i="49"/>
  <c r="A91" i="49"/>
  <c r="AI90" i="49"/>
  <c r="AU90" i="49"/>
  <c r="A90" i="49"/>
  <c r="AI89" i="49"/>
  <c r="AU89" i="49"/>
  <c r="A89" i="49"/>
  <c r="AI88" i="49"/>
  <c r="AU88" i="49"/>
  <c r="A88" i="49"/>
  <c r="AI87" i="49"/>
  <c r="AU87" i="49"/>
  <c r="A87" i="49"/>
  <c r="AI86" i="49"/>
  <c r="AU86" i="49"/>
  <c r="A86" i="49"/>
  <c r="AI85" i="49"/>
  <c r="AU85" i="49"/>
  <c r="A85" i="49"/>
  <c r="AI84" i="49"/>
  <c r="AU84" i="49"/>
  <c r="A84" i="49"/>
  <c r="AI80" i="49"/>
  <c r="AU80" i="49"/>
  <c r="A80" i="49"/>
  <c r="A79" i="49"/>
  <c r="AI79" i="49"/>
  <c r="AU79" i="49"/>
  <c r="AI77" i="49"/>
  <c r="AU77" i="49"/>
  <c r="A77" i="49"/>
  <c r="AI74" i="49"/>
  <c r="AU74" i="49"/>
  <c r="A74" i="49"/>
  <c r="AI70" i="49"/>
  <c r="AU70" i="49"/>
  <c r="A70" i="49"/>
  <c r="AI64" i="49"/>
  <c r="AU64" i="49"/>
  <c r="A64" i="49"/>
  <c r="AI61" i="49"/>
  <c r="AU61" i="49"/>
  <c r="A61" i="49"/>
  <c r="A57" i="49"/>
  <c r="AI57" i="49"/>
  <c r="AU57" i="49"/>
  <c r="AI56" i="49"/>
  <c r="AU56" i="49"/>
  <c r="A56" i="49"/>
  <c r="AI54" i="49"/>
  <c r="AU54" i="49"/>
  <c r="A54" i="49"/>
  <c r="AI53" i="49"/>
  <c r="A53" i="49"/>
  <c r="AU53" i="49"/>
  <c r="AI43" i="49"/>
  <c r="AU43" i="49"/>
  <c r="A43" i="49"/>
  <c r="AI36" i="49"/>
  <c r="A36" i="49"/>
  <c r="AU36" i="49"/>
  <c r="AU32" i="49"/>
  <c r="AI32" i="49"/>
  <c r="A32" i="49"/>
  <c r="AI27" i="49"/>
  <c r="A27" i="49"/>
  <c r="AU27" i="49"/>
  <c r="AU25" i="49"/>
  <c r="AI25" i="49"/>
  <c r="A25" i="49"/>
  <c r="A24" i="49"/>
  <c r="AI24" i="49"/>
  <c r="AU24" i="49"/>
  <c r="AI15" i="49"/>
  <c r="AU15" i="49"/>
  <c r="A15" i="49"/>
  <c r="AI12" i="49"/>
  <c r="A12" i="49"/>
  <c r="AU12" i="49"/>
  <c r="AI5" i="49"/>
  <c r="AU5" i="49"/>
  <c r="A5" i="49"/>
  <c r="AU83" i="49"/>
  <c r="AI83" i="49"/>
  <c r="A83" i="49"/>
  <c r="AI78" i="49"/>
  <c r="AU78" i="49"/>
  <c r="A78" i="49"/>
  <c r="AI75" i="49"/>
  <c r="A75" i="49"/>
  <c r="AU75" i="49"/>
  <c r="AU73" i="49"/>
  <c r="A73" i="49"/>
  <c r="AI73" i="49"/>
  <c r="AI72" i="49"/>
  <c r="AU72" i="49"/>
  <c r="A72" i="49"/>
  <c r="AI71" i="49"/>
  <c r="A71" i="49"/>
  <c r="AU71" i="49"/>
  <c r="AI69" i="49"/>
  <c r="AU69" i="49"/>
  <c r="A69" i="49"/>
  <c r="AU67" i="49"/>
  <c r="AI67" i="49"/>
  <c r="A67" i="49"/>
  <c r="AU66" i="49"/>
  <c r="A66" i="49"/>
  <c r="AI66" i="49"/>
  <c r="AI65" i="49"/>
  <c r="AU65" i="49"/>
  <c r="A65" i="49"/>
  <c r="AU63" i="49"/>
  <c r="A63" i="49"/>
  <c r="AI63" i="49"/>
  <c r="AI62" i="49"/>
  <c r="AU62" i="49"/>
  <c r="A62" i="49"/>
  <c r="AU59" i="49"/>
  <c r="A59" i="49"/>
  <c r="AI59" i="49"/>
  <c r="AI50" i="49"/>
  <c r="A50" i="49"/>
  <c r="AU50" i="49"/>
  <c r="AI49" i="49"/>
  <c r="A49" i="49"/>
  <c r="AU49" i="49"/>
  <c r="A48" i="49"/>
  <c r="AU48" i="49"/>
  <c r="AI48" i="49"/>
  <c r="AI46" i="49"/>
  <c r="AU46" i="49"/>
  <c r="A46" i="49"/>
  <c r="AI45" i="49"/>
  <c r="AU45" i="49"/>
  <c r="A45" i="49"/>
  <c r="AI44" i="49"/>
  <c r="A44" i="49"/>
  <c r="AU44" i="49"/>
  <c r="A42" i="49"/>
  <c r="AI42" i="49"/>
  <c r="AU42" i="49"/>
  <c r="AI38" i="49"/>
  <c r="AU38" i="49"/>
  <c r="A38" i="49"/>
  <c r="AI34" i="49"/>
  <c r="A34" i="49"/>
  <c r="AU34" i="49"/>
  <c r="AI33" i="49"/>
  <c r="AU33" i="49"/>
  <c r="A33" i="49"/>
  <c r="AU31" i="49"/>
  <c r="A31" i="49"/>
  <c r="AI31" i="49"/>
  <c r="AI30" i="49"/>
  <c r="A30" i="49"/>
  <c r="AU30" i="49"/>
  <c r="AI29" i="49"/>
  <c r="AU29" i="49"/>
  <c r="A29" i="49"/>
  <c r="AU26" i="49"/>
  <c r="A26" i="49"/>
  <c r="AI26" i="49"/>
  <c r="AI23" i="49"/>
  <c r="A23" i="49"/>
  <c r="AU23" i="49"/>
  <c r="AI22" i="49"/>
  <c r="AU22" i="49"/>
  <c r="A22" i="49"/>
  <c r="AI21" i="49"/>
  <c r="A21" i="49"/>
  <c r="AU21" i="49"/>
  <c r="AI20" i="49"/>
  <c r="A20" i="49"/>
  <c r="AU20" i="49"/>
  <c r="AI9" i="49"/>
  <c r="AU9" i="49"/>
  <c r="A9" i="49"/>
  <c r="AU7" i="49"/>
  <c r="AI7" i="49"/>
  <c r="A7" i="49"/>
  <c r="AI6" i="49"/>
  <c r="AU6" i="49"/>
  <c r="A6" i="49"/>
  <c r="AI82" i="49"/>
  <c r="A82" i="49"/>
  <c r="AU82" i="49"/>
  <c r="AI81" i="49"/>
  <c r="AU81" i="49"/>
  <c r="A81" i="49"/>
  <c r="AU76" i="49"/>
  <c r="AI76" i="49"/>
  <c r="A76" i="49"/>
  <c r="AI68" i="49"/>
  <c r="A68" i="49"/>
  <c r="AU68" i="49"/>
  <c r="AI60" i="49"/>
  <c r="A60" i="49"/>
  <c r="AU60" i="49"/>
  <c r="AI58" i="49"/>
  <c r="AU58" i="49"/>
  <c r="A58" i="49"/>
  <c r="AU55" i="49"/>
  <c r="AI55" i="49"/>
  <c r="A55" i="49"/>
  <c r="A52" i="49"/>
  <c r="AU52" i="49"/>
  <c r="AI52" i="49"/>
  <c r="A51" i="49"/>
  <c r="AU51" i="49"/>
  <c r="AI51" i="49"/>
  <c r="AI47" i="49"/>
  <c r="AU47" i="49"/>
  <c r="A47" i="49"/>
  <c r="AU41" i="49"/>
  <c r="AI41" i="49"/>
  <c r="A41" i="49"/>
  <c r="AI39" i="49"/>
  <c r="AU39" i="49"/>
  <c r="A39" i="49"/>
  <c r="AU37" i="49"/>
  <c r="AI37" i="49"/>
  <c r="A37" i="49"/>
  <c r="AU35" i="49"/>
  <c r="AI35" i="49"/>
  <c r="A35" i="49"/>
  <c r="AI28" i="49"/>
  <c r="AU28" i="49"/>
  <c r="A28" i="49"/>
  <c r="AI19" i="49"/>
  <c r="AU19" i="49"/>
  <c r="A19" i="49"/>
  <c r="AI18" i="49"/>
  <c r="AU18" i="49"/>
  <c r="A18" i="49"/>
  <c r="AU17" i="49"/>
  <c r="AI17" i="49"/>
  <c r="A17" i="49"/>
  <c r="A16" i="49"/>
  <c r="AI16" i="49"/>
  <c r="AU16" i="49"/>
  <c r="AI14" i="49"/>
  <c r="AU14" i="49"/>
  <c r="A14" i="49"/>
  <c r="AU13" i="49"/>
  <c r="A13" i="49"/>
  <c r="AI13" i="49"/>
  <c r="AU11" i="49"/>
  <c r="A11" i="49"/>
  <c r="AI11" i="49"/>
  <c r="AI10" i="49"/>
  <c r="A10" i="49"/>
  <c r="AU10" i="49"/>
  <c r="AI8" i="49"/>
  <c r="A8" i="49"/>
  <c r="AU8" i="49"/>
  <c r="AI4" i="49"/>
  <c r="AU4" i="49"/>
  <c r="A4" i="49"/>
  <c r="AI3" i="49"/>
  <c r="AU3" i="49"/>
  <c r="Z145" i="49"/>
  <c r="R150" i="49" s="1"/>
  <c r="A3" i="49"/>
  <c r="AI40" i="49"/>
  <c r="K112" i="51" l="1"/>
  <c r="T87" i="51"/>
  <c r="K80" i="51"/>
  <c r="T55" i="51"/>
</calcChain>
</file>

<file path=xl/sharedStrings.xml><?xml version="1.0" encoding="utf-8"?>
<sst xmlns="http://schemas.openxmlformats.org/spreadsheetml/2006/main" count="3424" uniqueCount="573">
  <si>
    <t>LOAN AMOUNT</t>
  </si>
  <si>
    <t>FILE CHARGE</t>
  </si>
  <si>
    <t>EMI AMOUNT</t>
  </si>
  <si>
    <t>S.NO.</t>
  </si>
  <si>
    <t>DISTRICT</t>
  </si>
  <si>
    <t>Branch Name</t>
  </si>
  <si>
    <t>BM Name</t>
  </si>
  <si>
    <t>MONTH</t>
  </si>
  <si>
    <t>F0 Name</t>
  </si>
  <si>
    <t>VILLAGE/ CITY</t>
  </si>
  <si>
    <t>PL NO.</t>
  </si>
  <si>
    <t>MemberName</t>
  </si>
  <si>
    <t>Father/HUSBAND  Name</t>
  </si>
  <si>
    <t>MOBILE</t>
  </si>
  <si>
    <t>FINAL DISBURSEMENT AMT.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</si>
  <si>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</si>
  <si>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</si>
  <si>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</si>
  <si>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</si>
  <si>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</si>
  <si>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</si>
  <si>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</si>
  <si>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ADVANCE DATE</t>
  </si>
  <si>
    <t>TOTAL RECEIVED AMOUNT</t>
  </si>
  <si>
    <t>Ledger Balance</t>
  </si>
  <si>
    <t>Meeting Day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</si>
  <si>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</si>
  <si>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</si>
  <si>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</si>
  <si>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</si>
  <si>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</si>
  <si>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</si>
  <si>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</si>
  <si>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</si>
  <si>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</si>
  <si>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</si>
  <si>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</si>
  <si>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</si>
  <si>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</si>
  <si>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</si>
  <si>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</si>
  <si>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FIRST EMI DATE</t>
  </si>
  <si>
    <t xml:space="preserve">Case Status </t>
  </si>
  <si>
    <t>CLOSE DATE</t>
  </si>
  <si>
    <t>PENDING</t>
  </si>
  <si>
    <t>CLOSE MONTH</t>
  </si>
  <si>
    <t>CLOSE AMT</t>
  </si>
  <si>
    <t>MAY'26</t>
  </si>
  <si>
    <t>PL 01</t>
  </si>
  <si>
    <t>WED</t>
  </si>
  <si>
    <t>NO</t>
  </si>
  <si>
    <t>PL 02</t>
  </si>
  <si>
    <t>PRAMOD KUMAR</t>
  </si>
  <si>
    <t>TUE</t>
  </si>
  <si>
    <t>PL 03</t>
  </si>
  <si>
    <t>GEETA</t>
  </si>
  <si>
    <t>PL 04</t>
  </si>
  <si>
    <t>FRI</t>
  </si>
  <si>
    <t>PL 05</t>
  </si>
  <si>
    <t>MAMTA</t>
  </si>
  <si>
    <t>PL 06</t>
  </si>
  <si>
    <t>PL 07</t>
  </si>
  <si>
    <t>PL 08</t>
  </si>
  <si>
    <t>PL 09</t>
  </si>
  <si>
    <t>SONAM</t>
  </si>
  <si>
    <t>MON</t>
  </si>
  <si>
    <t>PL 10</t>
  </si>
  <si>
    <t>THU</t>
  </si>
  <si>
    <t>PL 11</t>
  </si>
  <si>
    <t>PL 12</t>
  </si>
  <si>
    <t>DHARMENDRA</t>
  </si>
  <si>
    <t>PL 13</t>
  </si>
  <si>
    <t>PL 14</t>
  </si>
  <si>
    <t>JUNE'26</t>
  </si>
  <si>
    <t>PL 15</t>
  </si>
  <si>
    <t>PL 16</t>
  </si>
  <si>
    <t>VINOD</t>
  </si>
  <si>
    <t>PL 17</t>
  </si>
  <si>
    <t>SONI</t>
  </si>
  <si>
    <t>PL 18</t>
  </si>
  <si>
    <t>AARTI</t>
  </si>
  <si>
    <t>PL 19</t>
  </si>
  <si>
    <t>PL 20</t>
  </si>
  <si>
    <t>KAVITA</t>
  </si>
  <si>
    <t>PL 21</t>
  </si>
  <si>
    <t>PL 22</t>
  </si>
  <si>
    <t>REENA</t>
  </si>
  <si>
    <t>PL 23</t>
  </si>
  <si>
    <t>PL 24</t>
  </si>
  <si>
    <t>PL 25</t>
  </si>
  <si>
    <t>PL 26</t>
  </si>
  <si>
    <t>PL 27</t>
  </si>
  <si>
    <t>POONAM</t>
  </si>
  <si>
    <t>PL 28</t>
  </si>
  <si>
    <t>PL 29</t>
  </si>
  <si>
    <t>PL 30</t>
  </si>
  <si>
    <t>PL 31</t>
  </si>
  <si>
    <t>PL 32</t>
  </si>
  <si>
    <t>PL 33</t>
  </si>
  <si>
    <t>SUBHASH</t>
  </si>
  <si>
    <t>PL 34</t>
  </si>
  <si>
    <t>SEEMA</t>
  </si>
  <si>
    <t>PL 35</t>
  </si>
  <si>
    <t>SUNITA</t>
  </si>
  <si>
    <t>PL 36</t>
  </si>
  <si>
    <t>PL 37</t>
  </si>
  <si>
    <t>PL 38</t>
  </si>
  <si>
    <t>REKHA DEVI</t>
  </si>
  <si>
    <t>PL 39</t>
  </si>
  <si>
    <t>PL 40</t>
  </si>
  <si>
    <t>PL 41</t>
  </si>
  <si>
    <t>PL 42</t>
  </si>
  <si>
    <t>PL 43</t>
  </si>
  <si>
    <t>PL 44</t>
  </si>
  <si>
    <t>LALITA</t>
  </si>
  <si>
    <t>JULY'26</t>
  </si>
  <si>
    <t>PL 45</t>
  </si>
  <si>
    <t>SUSHMA</t>
  </si>
  <si>
    <t>SATISH KUMAR</t>
  </si>
  <si>
    <t>PL 46</t>
  </si>
  <si>
    <t>PL 47</t>
  </si>
  <si>
    <t>NEELAM</t>
  </si>
  <si>
    <t>PL 48</t>
  </si>
  <si>
    <t>PL 49</t>
  </si>
  <si>
    <t>PL 50</t>
  </si>
  <si>
    <t>PL 51</t>
  </si>
  <si>
    <t>PL 52</t>
  </si>
  <si>
    <t>PRIYANKA</t>
  </si>
  <si>
    <t>PL 53</t>
  </si>
  <si>
    <t>PL 54</t>
  </si>
  <si>
    <t>PL 55</t>
  </si>
  <si>
    <t>PL 56</t>
  </si>
  <si>
    <t>PL 57</t>
  </si>
  <si>
    <t>PL 58</t>
  </si>
  <si>
    <t>KAJAL</t>
  </si>
  <si>
    <t>PL 59</t>
  </si>
  <si>
    <t>PL 60</t>
  </si>
  <si>
    <t>PL 61</t>
  </si>
  <si>
    <t>PL 62</t>
  </si>
  <si>
    <t>PL 63</t>
  </si>
  <si>
    <t>VEENA</t>
  </si>
  <si>
    <t>PL 64</t>
  </si>
  <si>
    <t>PL 65</t>
  </si>
  <si>
    <t>ANITA</t>
  </si>
  <si>
    <t>PL 66</t>
  </si>
  <si>
    <t>PL 67</t>
  </si>
  <si>
    <t>PL 68</t>
  </si>
  <si>
    <t>PL 69</t>
  </si>
  <si>
    <t>PL 70</t>
  </si>
  <si>
    <t>PL 71</t>
  </si>
  <si>
    <t>PL 72</t>
  </si>
  <si>
    <t>PL 73</t>
  </si>
  <si>
    <t>PL 74</t>
  </si>
  <si>
    <t>PL 75</t>
  </si>
  <si>
    <t>KHATAULI BRANCH MF</t>
  </si>
  <si>
    <t>AADHAR NO.(LAST 4 DIGITS)</t>
  </si>
  <si>
    <t>MUZAFFARNAGAR</t>
  </si>
  <si>
    <t>KHATAULI</t>
  </si>
  <si>
    <t>DEEPAK</t>
  </si>
  <si>
    <t>APRIL'26</t>
  </si>
  <si>
    <t>ANKIT PAL</t>
  </si>
  <si>
    <t>MITHULAL</t>
  </si>
  <si>
    <t>RUKAIYA</t>
  </si>
  <si>
    <t>RASHID</t>
  </si>
  <si>
    <t>AMEER JAHAN</t>
  </si>
  <si>
    <t>SAJID</t>
  </si>
  <si>
    <t>SURESH SINGH</t>
  </si>
  <si>
    <t>RIMPI</t>
  </si>
  <si>
    <t>VIKRANT</t>
  </si>
  <si>
    <t>ALKA</t>
  </si>
  <si>
    <t>SANJAY</t>
  </si>
  <si>
    <t>SAKOTI TANDA</t>
  </si>
  <si>
    <t>JYOTI</t>
  </si>
  <si>
    <t>KAPIL</t>
  </si>
  <si>
    <t>BABITA</t>
  </si>
  <si>
    <t>NARENDRA</t>
  </si>
  <si>
    <t>AKANSHA</t>
  </si>
  <si>
    <t>PANKAJ</t>
  </si>
  <si>
    <t>AMRITA</t>
  </si>
  <si>
    <t>JONI</t>
  </si>
  <si>
    <t>KRISHANPUR</t>
  </si>
  <si>
    <t>MANJU VERMA</t>
  </si>
  <si>
    <t>SOMPAL</t>
  </si>
  <si>
    <t>JEETPUR</t>
  </si>
  <si>
    <t>RADHIKA</t>
  </si>
  <si>
    <t>SOHANLAL</t>
  </si>
  <si>
    <t>UPASNA NEGI</t>
  </si>
  <si>
    <t>PRADEEP KUMAR</t>
  </si>
  <si>
    <t>NEHA VERMA</t>
  </si>
  <si>
    <t>AMIT VERMA</t>
  </si>
  <si>
    <t>GANDHI COLONY</t>
  </si>
  <si>
    <t>SIMMERJEET KAUR</t>
  </si>
  <si>
    <t>AKHIL KUMAR</t>
  </si>
  <si>
    <t>RAMPURI</t>
  </si>
  <si>
    <t>YOGESH KUMAR</t>
  </si>
  <si>
    <t>SARAVAT GAON</t>
  </si>
  <si>
    <t>KIRANJEET KAUR</t>
  </si>
  <si>
    <t>JASBEER</t>
  </si>
  <si>
    <t>ADARSH COLONY</t>
  </si>
  <si>
    <t>RASHPREET KAUR</t>
  </si>
  <si>
    <t>PARMINDER SINGH</t>
  </si>
  <si>
    <t>SHEKHPURA</t>
  </si>
  <si>
    <t>FARHANA</t>
  </si>
  <si>
    <t>ISLAMABAD</t>
  </si>
  <si>
    <t>NAFEESA</t>
  </si>
  <si>
    <t>KAFEEL</t>
  </si>
  <si>
    <t>SAIN</t>
  </si>
  <si>
    <t>SHADAB</t>
  </si>
  <si>
    <t>LADDHAWALA</t>
  </si>
  <si>
    <t>DEEPA</t>
  </si>
  <si>
    <t>YOGESH</t>
  </si>
  <si>
    <t>BITTU</t>
  </si>
  <si>
    <t>SUDHA</t>
  </si>
  <si>
    <t>RADHA GOSWAMI</t>
  </si>
  <si>
    <t>ASHISH</t>
  </si>
  <si>
    <t>GAUSHALA</t>
  </si>
  <si>
    <t>NIRMALA</t>
  </si>
  <si>
    <t>SANJEEV</t>
  </si>
  <si>
    <t>GAJAWALI</t>
  </si>
  <si>
    <t>RENU</t>
  </si>
  <si>
    <t>RAJJAN</t>
  </si>
  <si>
    <t>MITHHULAL</t>
  </si>
  <si>
    <t>ZAIBA</t>
  </si>
  <si>
    <t>USMAN</t>
  </si>
  <si>
    <t>SUSHIL KUMAR</t>
  </si>
  <si>
    <t>SALHAPURA</t>
  </si>
  <si>
    <t>REETA</t>
  </si>
  <si>
    <t>JITPUR</t>
  </si>
  <si>
    <t>NEHA</t>
  </si>
  <si>
    <t>SUNIL DATT</t>
  </si>
  <si>
    <t>PREMPUR</t>
  </si>
  <si>
    <t>MEENU</t>
  </si>
  <si>
    <t>VIKKY</t>
  </si>
  <si>
    <t>SATHERI</t>
  </si>
  <si>
    <t>KANTA</t>
  </si>
  <si>
    <t>PRAMOD</t>
  </si>
  <si>
    <t>MUSKAN</t>
  </si>
  <si>
    <t>AASIF</t>
  </si>
  <si>
    <t>GEETAPURI</t>
  </si>
  <si>
    <t>SOHANVEER</t>
  </si>
  <si>
    <t>SHABNAM</t>
  </si>
  <si>
    <t>SAKIB</t>
  </si>
  <si>
    <t>BABLI</t>
  </si>
  <si>
    <t>NAUSHAD</t>
  </si>
  <si>
    <t>JOYTI PANWAR</t>
  </si>
  <si>
    <t>CHAMAN SINGH</t>
  </si>
  <si>
    <t>NAYI BASTI</t>
  </si>
  <si>
    <t>IMRANA</t>
  </si>
  <si>
    <t>ABID</t>
  </si>
  <si>
    <t>MOHALLA KHATIKAN</t>
  </si>
  <si>
    <t>AFSA PARVEEN</t>
  </si>
  <si>
    <t>VAKEEL</t>
  </si>
  <si>
    <t>LAWAR KHAS</t>
  </si>
  <si>
    <t>VASEEMA</t>
  </si>
  <si>
    <t>SHAKIL</t>
  </si>
  <si>
    <t>KAPSARH</t>
  </si>
  <si>
    <t>PAROOL</t>
  </si>
  <si>
    <t>MANOJ</t>
  </si>
  <si>
    <t>DADARI</t>
  </si>
  <si>
    <t>VINOD KUMAR</t>
  </si>
  <si>
    <t>SHANTINATH NAGAR</t>
  </si>
  <si>
    <t>JAYAVIR</t>
  </si>
  <si>
    <t>VISHAL KUMAR</t>
  </si>
  <si>
    <t>NEHA SHARMA</t>
  </si>
  <si>
    <t>SANOJ KUMAR</t>
  </si>
  <si>
    <t>CHITTORA</t>
  </si>
  <si>
    <t>MEHRAJ</t>
  </si>
  <si>
    <t>SADIK</t>
  </si>
  <si>
    <t>DAHAR</t>
  </si>
  <si>
    <t>DECENT LATA</t>
  </si>
  <si>
    <t>SACHIN KUMAR</t>
  </si>
  <si>
    <t>DATE 08</t>
  </si>
  <si>
    <t>MEHRAJ BANO</t>
  </si>
  <si>
    <t>FARMAN</t>
  </si>
  <si>
    <t>GAUTAM SINGH</t>
  </si>
  <si>
    <t>SUBHASH SINGH</t>
  </si>
  <si>
    <t>ROOVI</t>
  </si>
  <si>
    <t>VAREESH</t>
  </si>
  <si>
    <t>SHAHANAJ</t>
  </si>
  <si>
    <t>SALEEM</t>
  </si>
  <si>
    <t>GANESHPURI</t>
  </si>
  <si>
    <t>SUNIL KUMAR</t>
  </si>
  <si>
    <t>SAINI NAGAR</t>
  </si>
  <si>
    <t>MAMTESH</t>
  </si>
  <si>
    <t>RAM KUMAR</t>
  </si>
  <si>
    <t>KHEDA PATTI</t>
  </si>
  <si>
    <t>AASMA</t>
  </si>
  <si>
    <t>MOHD. NINNA</t>
  </si>
  <si>
    <t>KAWAL</t>
  </si>
  <si>
    <t>SHABANA</t>
  </si>
  <si>
    <t>IRSHAD</t>
  </si>
  <si>
    <t>SUJRU</t>
  </si>
  <si>
    <t>ANUJ KUMAR</t>
  </si>
  <si>
    <t>JANRATH</t>
  </si>
  <si>
    <t>AFSANA</t>
  </si>
  <si>
    <t>JAVED</t>
  </si>
  <si>
    <t>SARITA</t>
  </si>
  <si>
    <t>GALI NO. 4</t>
  </si>
  <si>
    <t>FIRDOUS</t>
  </si>
  <si>
    <t>IDRISH</t>
  </si>
  <si>
    <t>RAMPUR</t>
  </si>
  <si>
    <t>GEETA DEVI</t>
  </si>
  <si>
    <t>DEVI SINGH</t>
  </si>
  <si>
    <t>SONI SHARMA</t>
  </si>
  <si>
    <t>HEENA</t>
  </si>
  <si>
    <t>KHUSHNASEEB</t>
  </si>
  <si>
    <t>SAIFPUR</t>
  </si>
  <si>
    <t>REENA DEVI</t>
  </si>
  <si>
    <t>SUBODH</t>
  </si>
  <si>
    <t>REENU</t>
  </si>
  <si>
    <t>AMIT KUMAR</t>
  </si>
  <si>
    <t>NITU</t>
  </si>
  <si>
    <t>ARUN KUMAR</t>
  </si>
  <si>
    <t>PRADEEP</t>
  </si>
  <si>
    <t>PALLAV PURAM</t>
  </si>
  <si>
    <t>BHAGWATI</t>
  </si>
  <si>
    <t>AMARNATH</t>
  </si>
  <si>
    <t>NAGLA</t>
  </si>
  <si>
    <t>TARANNUM</t>
  </si>
  <si>
    <t>SAMIK RIZVI</t>
  </si>
  <si>
    <t>BALA</t>
  </si>
  <si>
    <t>ISHVAR SINGH</t>
  </si>
  <si>
    <t>SUJROO</t>
  </si>
  <si>
    <t>GULAFSHA</t>
  </si>
  <si>
    <t>MOHD SAJID</t>
  </si>
  <si>
    <t>MAFARUJA</t>
  </si>
  <si>
    <t>SHAKIR</t>
  </si>
  <si>
    <t>AJAY</t>
  </si>
  <si>
    <t>JANAKPURI</t>
  </si>
  <si>
    <t>GOPAL</t>
  </si>
  <si>
    <t>PL 76</t>
  </si>
  <si>
    <t>ANIL KUMAR</t>
  </si>
  <si>
    <t>PREMPURI</t>
  </si>
  <si>
    <t>PL 77</t>
  </si>
  <si>
    <t>KRISHAN PAL</t>
  </si>
  <si>
    <t>BALAJI PURAM</t>
  </si>
  <si>
    <t>PL 78</t>
  </si>
  <si>
    <t>ANNU</t>
  </si>
  <si>
    <t>RAMESH</t>
  </si>
  <si>
    <t>DAURALA</t>
  </si>
  <si>
    <t>PL 79</t>
  </si>
  <si>
    <t>MUNESH</t>
  </si>
  <si>
    <t>RAJ KUMAR</t>
  </si>
  <si>
    <t>PL 80</t>
  </si>
  <si>
    <t>PRAMILA</t>
  </si>
  <si>
    <t>RAM LILA TILLA</t>
  </si>
  <si>
    <t>PL 81</t>
  </si>
  <si>
    <t>KAUSHAL</t>
  </si>
  <si>
    <t>PL 82</t>
  </si>
  <si>
    <t>NASREEN</t>
  </si>
  <si>
    <t>MOHD. IMRAN</t>
  </si>
  <si>
    <t>PL 83</t>
  </si>
  <si>
    <t>AARJU</t>
  </si>
  <si>
    <t>SUNNY</t>
  </si>
  <si>
    <t>PL 84</t>
  </si>
  <si>
    <t>SHER SINGH</t>
  </si>
  <si>
    <t>PL 85</t>
  </si>
  <si>
    <t>MOHINI SONI</t>
  </si>
  <si>
    <t>DEVENDRA</t>
  </si>
  <si>
    <t>PL 86</t>
  </si>
  <si>
    <t>NEERAJ</t>
  </si>
  <si>
    <t>NEW LAL BAGH</t>
  </si>
  <si>
    <t>PL 87</t>
  </si>
  <si>
    <t>ALKA RANI</t>
  </si>
  <si>
    <t>SATISH CHAND</t>
  </si>
  <si>
    <t>KHANJAPUR</t>
  </si>
  <si>
    <t>PL 88</t>
  </si>
  <si>
    <t>PL 89</t>
  </si>
  <si>
    <t>MUKESH</t>
  </si>
  <si>
    <t>PL 90</t>
  </si>
  <si>
    <t>ANSHU</t>
  </si>
  <si>
    <t>PARDEEP KUMAR</t>
  </si>
  <si>
    <t>PL 91</t>
  </si>
  <si>
    <t>AMARAULI</t>
  </si>
  <si>
    <t>PL 92</t>
  </si>
  <si>
    <t>REKHA</t>
  </si>
  <si>
    <t>KARAN SINGH</t>
  </si>
  <si>
    <t>MOHANIPUR</t>
  </si>
  <si>
    <t>PL 93</t>
  </si>
  <si>
    <t>RAJESH DEVI</t>
  </si>
  <si>
    <t>RAMAN KUMAR</t>
  </si>
  <si>
    <t>MUBARAKPUR</t>
  </si>
  <si>
    <t>PL 94</t>
  </si>
  <si>
    <t>SHIV CHARAN</t>
  </si>
  <si>
    <t>LAWAR</t>
  </si>
  <si>
    <t>PL 95</t>
  </si>
  <si>
    <t>YASMEEN</t>
  </si>
  <si>
    <t>FIROZ AHMAD</t>
  </si>
  <si>
    <t>NAWLA</t>
  </si>
  <si>
    <t>PL 96</t>
  </si>
  <si>
    <t>SANTOSH</t>
  </si>
  <si>
    <t>GHASITU</t>
  </si>
  <si>
    <t>PL 97</t>
  </si>
  <si>
    <t>ALIYA</t>
  </si>
  <si>
    <t>HASAN MIYA</t>
  </si>
  <si>
    <t>PL 98</t>
  </si>
  <si>
    <t>SUNIL</t>
  </si>
  <si>
    <t>SAKATI TANDA</t>
  </si>
  <si>
    <t>PL 99</t>
  </si>
  <si>
    <t>PL 100</t>
  </si>
  <si>
    <t>SANGITA</t>
  </si>
  <si>
    <t>BHANWAR SINGH</t>
  </si>
  <si>
    <t>PL 101</t>
  </si>
  <si>
    <t>VIPIN</t>
  </si>
  <si>
    <t>SOUTH KRISHNAPURI</t>
  </si>
  <si>
    <t>PL 102</t>
  </si>
  <si>
    <t>ANJU</t>
  </si>
  <si>
    <t>GEETAPURI BHOOR</t>
  </si>
  <si>
    <t>PL 103</t>
  </si>
  <si>
    <t>SHIVANI</t>
  </si>
  <si>
    <t>RAHUL</t>
  </si>
  <si>
    <t>PL 104</t>
  </si>
  <si>
    <t>MUNESH DEVI</t>
  </si>
  <si>
    <t>PL 105</t>
  </si>
  <si>
    <t>KHUSHNUMA</t>
  </si>
  <si>
    <t>ANIS</t>
  </si>
  <si>
    <t>GEETAPURI BHURI</t>
  </si>
  <si>
    <t>PL 106</t>
  </si>
  <si>
    <t>RIHANA</t>
  </si>
  <si>
    <t>MEHRAJUDEEN</t>
  </si>
  <si>
    <t>PL 107</t>
  </si>
  <si>
    <t>AYASHA</t>
  </si>
  <si>
    <t>NASIM</t>
  </si>
  <si>
    <t>PL 108</t>
  </si>
  <si>
    <t>GULFAN</t>
  </si>
  <si>
    <t>PL 109</t>
  </si>
  <si>
    <t>MALU</t>
  </si>
  <si>
    <t>PL 110</t>
  </si>
  <si>
    <t>PL 111</t>
  </si>
  <si>
    <t>RAZIYA</t>
  </si>
  <si>
    <t>IRFAN</t>
  </si>
  <si>
    <t>PL 112</t>
  </si>
  <si>
    <t>PL 113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</si>
  <si>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</si>
  <si>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</si>
  <si>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</si>
  <si>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</si>
  <si>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</si>
  <si>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</si>
  <si>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</si>
  <si>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</si>
  <si>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PL 122</t>
  </si>
  <si>
    <t>ADVET VIHAR</t>
  </si>
  <si>
    <t>KHATULI</t>
  </si>
  <si>
    <t>JARODA</t>
  </si>
  <si>
    <t>PALI</t>
  </si>
  <si>
    <t>SONIA</t>
  </si>
  <si>
    <t>BARKHA</t>
  </si>
  <si>
    <t>SABILA</t>
  </si>
  <si>
    <t>MEENA</t>
  </si>
  <si>
    <t>NIDHI</t>
  </si>
  <si>
    <t>SHEHLELTA</t>
  </si>
  <si>
    <t>SUDESH</t>
  </si>
  <si>
    <t>GULISTA</t>
  </si>
  <si>
    <t>BHANU</t>
  </si>
  <si>
    <t>MONU</t>
  </si>
  <si>
    <t>NADEEM</t>
  </si>
  <si>
    <t>NARESH</t>
  </si>
  <si>
    <t>HARISH</t>
  </si>
  <si>
    <t>Ateek</t>
  </si>
  <si>
    <t>ANKIT</t>
  </si>
  <si>
    <t xml:space="preserve">MANJU   </t>
  </si>
  <si>
    <t>SR NO.</t>
  </si>
  <si>
    <t>DATE</t>
  </si>
  <si>
    <t>STAFF NAME</t>
  </si>
  <si>
    <t>CENTER NO.</t>
  </si>
  <si>
    <t>VILLAGE</t>
  </si>
  <si>
    <t>MEMBER NAME</t>
  </si>
  <si>
    <t>FATHER/HUSBAND NAME</t>
  </si>
  <si>
    <t>MOBILE. NO</t>
  </si>
  <si>
    <t>DEMAND</t>
  </si>
  <si>
    <t>CLEAR</t>
  </si>
  <si>
    <t>RECEIVED AMOUNT</t>
  </si>
  <si>
    <t>ADVANCE AMOUNT</t>
  </si>
  <si>
    <t>PENDING AMT</t>
  </si>
  <si>
    <t>TOTAL COLLECTION</t>
  </si>
  <si>
    <t>PREVIOUS OUTSTANDING</t>
  </si>
  <si>
    <t>CURRENT OUTSTANDING</t>
  </si>
  <si>
    <t>KHATAULI DEMAND SHEET MONDAY</t>
  </si>
  <si>
    <t>DAY</t>
  </si>
  <si>
    <t>CENTRE NAME</t>
  </si>
  <si>
    <t>HUSBAND NAME/FATHER NAME</t>
  </si>
  <si>
    <t>MOB.</t>
  </si>
  <si>
    <t>FINAL DISBURSEMENT</t>
  </si>
  <si>
    <t>EMI</t>
  </si>
  <si>
    <t>DIS. DATE</t>
  </si>
  <si>
    <t>CASH DISB. DATE</t>
  </si>
  <si>
    <t>FIRST EMI</t>
  </si>
  <si>
    <t>DIS. STATUS</t>
  </si>
  <si>
    <t>JULY  2026 DISBURSEMENT KHATAULI</t>
  </si>
  <si>
    <t>BALAKRAM</t>
  </si>
  <si>
    <t>PL 123</t>
  </si>
  <si>
    <t>PL 124</t>
  </si>
  <si>
    <t>SHAKILA</t>
  </si>
  <si>
    <t>PARVEEN</t>
  </si>
  <si>
    <t>SALMAN</t>
  </si>
  <si>
    <t>ADHAR NO</t>
  </si>
  <si>
    <t>DISB DATE</t>
  </si>
  <si>
    <t xml:space="preserve">CASH DATE </t>
  </si>
  <si>
    <t>PAID</t>
  </si>
  <si>
    <t>AUGUST  2026 DISBURSEMENT KHATAULI</t>
  </si>
  <si>
    <t>KHATAULI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</si>
  <si>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</si>
  <si>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</si>
  <si>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</si>
  <si>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</si>
  <si>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</si>
  <si>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</si>
  <si>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</si>
  <si>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</si>
  <si>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</si>
  <si>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</si>
  <si>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</si>
  <si>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</si>
  <si>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</si>
  <si>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</si>
  <si>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</si>
  <si>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</si>
  <si>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</si>
  <si>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</si>
  <si>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EXPENSE DETAILS</t>
  </si>
  <si>
    <t>ELECTRICITY</t>
  </si>
  <si>
    <t>PETTY CASH</t>
  </si>
  <si>
    <t>KHATAULI COLLECTION TRACKER JUNE'26</t>
  </si>
  <si>
    <t>ANKIT SALARY</t>
  </si>
  <si>
    <t>SANDEEP SIR'S FUEL</t>
  </si>
  <si>
    <t>kitchen material</t>
  </si>
  <si>
    <t>petty cash</t>
  </si>
  <si>
    <t>ANKIT FUEL</t>
  </si>
  <si>
    <t>POOJA KA SAMAAN AND ELECTRICITY</t>
  </si>
  <si>
    <t>KHATAULI COLLECTION TRACKER JULY'26</t>
  </si>
  <si>
    <t>NOTICE BOARD, WHITE BOARD</t>
  </si>
  <si>
    <t>ANKIT PAL FUEL</t>
  </si>
  <si>
    <t>LIGHT BILL /DEEPAK FUEL</t>
  </si>
  <si>
    <t>INCENTIVE ANKIT PAL</t>
  </si>
  <si>
    <t>KHATAULI DB</t>
  </si>
  <si>
    <t>S.NO</t>
  </si>
  <si>
    <t>NO. OF DB</t>
  </si>
  <si>
    <t>DISBURSED AMOUNT</t>
  </si>
  <si>
    <t>KHATAULI DEMAND SHEET TUESDAY</t>
  </si>
  <si>
    <t>KHATAULI DEMAND SHEET WEDNESDAY</t>
  </si>
  <si>
    <t>KHATAULI DEMAND SHEET THURSDAY</t>
  </si>
  <si>
    <t>AUG'26</t>
  </si>
  <si>
    <t>RASULPUR</t>
  </si>
  <si>
    <t>PL 125</t>
  </si>
  <si>
    <t>PL 126</t>
  </si>
  <si>
    <t>PL 127</t>
  </si>
  <si>
    <t>MAHROJI</t>
  </si>
  <si>
    <t>JAMILA</t>
  </si>
  <si>
    <t>ANAVARI</t>
  </si>
  <si>
    <t>HUSAN</t>
  </si>
  <si>
    <t>AFSAR</t>
  </si>
  <si>
    <t>NOORMAU</t>
  </si>
  <si>
    <t>KHATAULI DEMAND SHEET FRIDAY</t>
  </si>
  <si>
    <t>PL 128</t>
  </si>
  <si>
    <t>PL 129</t>
  </si>
  <si>
    <t>SAVITRI</t>
  </si>
  <si>
    <t>BABLU</t>
  </si>
  <si>
    <t>OMKAR SINGH</t>
  </si>
  <si>
    <t>ANKILPAL</t>
  </si>
  <si>
    <t>MADARIPUR</t>
  </si>
  <si>
    <t>PL 130</t>
  </si>
  <si>
    <t>PL 131</t>
  </si>
  <si>
    <t>PL 132</t>
  </si>
  <si>
    <t>PL 133</t>
  </si>
  <si>
    <t>KESARJAHAN</t>
  </si>
  <si>
    <t>VASIM</t>
  </si>
  <si>
    <t>MOHD ISHRAT</t>
  </si>
  <si>
    <t>DILSHAD</t>
  </si>
  <si>
    <t>SARAFAN</t>
  </si>
  <si>
    <t>PL 134</t>
  </si>
  <si>
    <t>KAMRUDIN</t>
  </si>
  <si>
    <t xml:space="preserve">ADVANCE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</si>
</sst>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333333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indexed="8"/>
      <name val="Calibri"/>
      <family val="2"/>
    </font>
    <font>
      <b/>
      <sz val="18"/>
      <color theme="0"/>
      <name val="Calibri"/>
      <family val="2"/>
    </font>
    <font>
      <b/>
      <sz val="10"/>
      <color theme="1"/>
      <name val="Calibri"/>
      <family val="2"/>
    </font>
    <font>
      <b/>
      <sz val="24"/>
      <color theme="2" tint="-9.9978637043366805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20"/>
      <name val="Calibri"/>
      <family val="2"/>
    </font>
    <font>
      <b/>
      <sz val="24"/>
      <name val="Calibri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0" fontId="17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22" fillId="0" borderId="0" xfId="0" applyFont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0" xfId="0" applyFont="1"/>
    <xf numFmtId="0" fontId="9" fillId="0" borderId="2" xfId="0" applyFont="1" applyBorder="1" applyAlignment="1">
      <alignment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8" fillId="0" borderId="0" xfId="0" applyFont="1"/>
    <xf numFmtId="0" fontId="14" fillId="13" borderId="8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0" fillId="0" borderId="2" xfId="0" applyBorder="1"/>
    <xf numFmtId="43" fontId="3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/>
    <xf numFmtId="0" fontId="2" fillId="0" borderId="2" xfId="0" applyFont="1" applyBorder="1"/>
    <xf numFmtId="0" fontId="4" fillId="0" borderId="2" xfId="0" applyFont="1" applyBorder="1"/>
    <xf numFmtId="0" fontId="4" fillId="5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/>
    </xf>
    <xf numFmtId="0" fontId="13" fillId="0" borderId="2" xfId="0" applyFont="1" applyBorder="1"/>
    <xf numFmtId="0" fontId="18" fillId="0" borderId="2" xfId="0" applyFont="1" applyBorder="1" applyAlignment="1">
      <alignment horizontal="center" vertical="center"/>
    </xf>
    <xf numFmtId="0" fontId="12" fillId="14" borderId="2" xfId="0" applyFont="1" applyFill="1" applyBorder="1"/>
  </cellXfs>
  <cellStyles count="2">
    <cellStyle name="Comma 3" xfId="1" xr:uid="{343CBD46-0B18-4A31-B362-14F706E7BC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EB14-B085-4009-B281-668C7420BE66}">
  <sheetPr filterMode="1"/>
  <dimension ref="A1:AY150"/>
  <sheetViews>
    <sheetView topLeftCell="N143" zoomScale="90" workbookViewId="0">
      <selection activeCell="W149" sqref="W149"/>
    </sheetView>
  </sheetViews>
  <sheetFormatPr defaultRowHeight="15" x14ac:dyDescent="0.25"/>
  <cols>
    <col min="1" max="1" width="9.140625" style="65"/>
    <col min="2" max="2" width="23.42578125" style="65" customWidth="1"/>
    <col min="3" max="3" width="19.5703125" style="65" customWidth="1"/>
    <col min="4" max="4" width="23" style="65" customWidth="1"/>
    <col min="5" max="6" width="16.28515625" style="65" customWidth="1"/>
    <col min="7" max="7" width="20.5703125" style="65" customWidth="1"/>
    <col min="8" max="8" width="21.140625" style="65" customWidth="1"/>
    <col min="9" max="9" width="9.140625" style="65"/>
    <col min="10" max="10" width="15.140625" style="65" customWidth="1"/>
    <col min="11" max="11" width="18.140625" style="65" customWidth="1"/>
    <col min="12" max="12" width="12.42578125" style="65" bestFit="1" customWidth="1"/>
    <col min="13" max="13" width="9.140625" style="65" customWidth="1"/>
    <col min="14" max="14" width="8.85546875" style="65" customWidth="1"/>
    <col min="15" max="15" width="10.42578125" style="65" customWidth="1"/>
    <col min="16" max="16" width="12" style="65" customWidth="1"/>
    <col min="17" max="17" width="13.85546875" style="65" bestFit="1" customWidth="1"/>
    <col min="18" max="18" width="12.28515625" style="65" bestFit="1" customWidth="1"/>
    <col min="19" max="21" width="9.28515625" style="65" bestFit="1" customWidth="1"/>
    <col min="22" max="24" width="9.140625" style="65"/>
    <col min="25" max="25" width="9.28515625" style="65" bestFit="1" customWidth="1"/>
    <col min="26" max="26" width="19.42578125" style="65" customWidth="1"/>
    <col min="27" max="28" width="9.140625" style="65"/>
    <col min="29" max="33" width="9.28515625" style="65" bestFit="1" customWidth="1"/>
    <col min="34" max="34" width="9.140625" style="65"/>
    <col min="35" max="35" width="9.28515625" style="65" bestFit="1" customWidth="1"/>
    <col min="36" max="38" width="9.140625" style="65"/>
    <col min="39" max="39" width="16.140625" style="65" bestFit="1" customWidth="1"/>
    <col min="40" max="43" width="9.28515625" style="65" bestFit="1" customWidth="1"/>
    <col min="44" max="44" width="14.7109375" style="65" customWidth="1"/>
    <col min="45" max="45" width="15.5703125" style="65" customWidth="1"/>
    <col min="46" max="46" width="14.7109375" style="65" customWidth="1"/>
    <col min="47" max="48" width="9.140625" style="65"/>
    <col min="49" max="49" width="9.28515625" style="65" bestFit="1" customWidth="1"/>
    <col min="50" max="16384" width="9.140625" style="65"/>
  </cols>
  <sheetData>
    <row r="1" spans="1:51" ht="33.75" x14ac:dyDescent="0.5">
      <c r="A1" s="62" t="s">
        <v>154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</row>
    <row r="2" spans="1:51" ht="57" customHeight="1" x14ac:dyDescent="0.25">
      <c r="A2" s="66" t="s">
        <v>3</v>
      </c>
      <c r="B2" s="67" t="s">
        <v>4</v>
      </c>
      <c r="C2" s="67" t="s">
        <v>5</v>
      </c>
      <c r="D2" s="67" t="s">
        <v>6</v>
      </c>
      <c r="E2" s="67" t="s">
        <v>7</v>
      </c>
      <c r="F2" s="67" t="s">
        <v>155</v>
      </c>
      <c r="G2" s="67" t="s">
        <v>8</v>
      </c>
      <c r="H2" s="67" t="s">
        <v>9</v>
      </c>
      <c r="I2" s="68" t="s">
        <v>10</v>
      </c>
      <c r="J2" s="25" t="s">
        <v>11</v>
      </c>
      <c r="K2" s="25" t="s">
        <v>12</v>
      </c>
      <c r="L2" s="69" t="s">
        <v>13</v>
      </c>
      <c r="M2" s="25" t="s">
        <v>0</v>
      </c>
      <c r="N2" s="25" t="s">
        <v>1</v>
      </c>
      <c r="O2" s="25" t="s">
        <v>14</v>
      </c>
      <c r="P2" s="25" t="s">
        <v>2</v>
      </c>
      <c r="Q2" s="70" t="s">
        <v>15</v>
      </c>
      <c r="R2" s="70" t="s">
        <v>16</v>
      </c>
      <c r="S2" s="25" t="s">
        <v>17</v>
      </c>
      <c r="T2" s="25" t="s">
        <v>18</v>
      </c>
      <c r="U2" s="25" t="s">
        <v>19</v>
      </c>
      <c r="V2" s="25" t="s">
        <v>20</v>
      </c>
      <c r="W2" s="71" t="s">
        <v>21</v>
      </c>
      <c r="X2" s="25" t="s">
        <v>22</v>
      </c>
      <c r="Y2" s="25" t="s">
        <v>23</v>
      </c>
      <c r="Z2" s="66" t="s">
        <v>24</v>
      </c>
      <c r="AA2" s="69" t="s">
        <v>25</v>
      </c>
      <c r="AB2" s="68" t="s">
        <v>10</v>
      </c>
      <c r="AC2" s="69" t="s">
        <v>26</v>
      </c>
      <c r="AD2" s="66" t="s">
        <v>27</v>
      </c>
      <c r="AE2" s="66" t="s">
        <v>28</v>
      </c>
      <c r="AF2" s="66" t="s">
        <v>29</v>
      </c>
      <c r="AG2" s="66" t="s">
        <v>30</v>
      </c>
      <c r="AH2" s="66" t="s">
        <v>31</v>
      </c>
      <c r="AI2" s="66" t="s">
        <v>32</v>
      </c>
      <c r="AJ2" s="66" t="s">
        <v>33</v>
      </c>
      <c r="AK2" s="72" t="s">
        <v>34</v>
      </c>
      <c r="AL2" s="72" t="s">
        <v>35</v>
      </c>
      <c r="AM2" s="72" t="s">
        <v>36</v>
      </c>
      <c r="AN2" s="69" t="s">
        <v>37</v>
      </c>
      <c r="AO2" s="69" t="s">
        <v>38</v>
      </c>
      <c r="AP2" s="69" t="s">
        <v>39</v>
      </c>
      <c r="AQ2" s="69" t="s">
        <v>40</v>
      </c>
      <c r="AR2" s="69" t="s">
        <v>497</v>
      </c>
      <c r="AS2" s="69" t="s">
        <v>498</v>
      </c>
      <c r="AT2" s="69" t="s">
        <v>41</v>
      </c>
      <c r="AU2" s="66" t="s">
        <v>42</v>
      </c>
      <c r="AV2" s="69" t="s">
        <v>43</v>
      </c>
      <c r="AW2" s="7" t="s">
        <v>44</v>
      </c>
      <c r="AX2" s="69" t="s">
        <v>45</v>
      </c>
      <c r="AY2" s="69" t="s">
        <v>46</v>
      </c>
    </row>
    <row r="3" spans="1:51" hidden="1" x14ac:dyDescent="0.25">
      <c r="A3" s="7" t="str">
        <f t="shared" ref="A3:A66" si="0">IF(Z3=0,"CLOSE","ACTIVE")</f>
        <v>ACTIVE</v>
      </c>
      <c r="B3" s="2" t="s">
        <v>156</v>
      </c>
      <c r="C3" s="2" t="s">
        <v>157</v>
      </c>
      <c r="D3" s="2" t="s">
        <v>158</v>
      </c>
      <c r="E3" s="2" t="s">
        <v>159</v>
      </c>
      <c r="F3" s="2"/>
      <c r="G3" s="2" t="s">
        <v>160</v>
      </c>
      <c r="H3" s="2" t="s">
        <v>161</v>
      </c>
      <c r="I3" s="2" t="s">
        <v>48</v>
      </c>
      <c r="J3" s="2" t="s">
        <v>162</v>
      </c>
      <c r="K3" s="2" t="s">
        <v>163</v>
      </c>
      <c r="L3" s="2">
        <v>9760974967</v>
      </c>
      <c r="M3" s="2">
        <v>20000</v>
      </c>
      <c r="N3" s="2">
        <v>1580</v>
      </c>
      <c r="O3" s="2">
        <f t="shared" ref="O3:O83" si="1">M3-N3</f>
        <v>18420</v>
      </c>
      <c r="P3" s="2">
        <v>810</v>
      </c>
      <c r="Q3" s="11">
        <f t="shared" ref="Q3:Q34" si="2">P3*R3</f>
        <v>0</v>
      </c>
      <c r="R3" s="11">
        <v>0</v>
      </c>
      <c r="S3" s="2">
        <v>36</v>
      </c>
      <c r="T3" s="7">
        <v>15</v>
      </c>
      <c r="U3" s="2">
        <f t="shared" ref="U3:U66" si="3">S3-T3-R3</f>
        <v>21</v>
      </c>
      <c r="V3" s="2"/>
      <c r="W3" s="8"/>
      <c r="X3" s="9"/>
      <c r="Y3" s="2">
        <f t="shared" ref="Y3:Y34" si="4">(T3*P3)-V3+W3</f>
        <v>12150</v>
      </c>
      <c r="Z3" s="2">
        <f t="shared" ref="Z3:Z34" si="5">P3*(R3+U3)+V3-W3</f>
        <v>17010</v>
      </c>
      <c r="AA3" s="2" t="s">
        <v>49</v>
      </c>
      <c r="AB3" s="2" t="s">
        <v>48</v>
      </c>
      <c r="AC3" s="2">
        <f t="shared" ref="AC3:AC66" si="6">R3*14</f>
        <v>0</v>
      </c>
      <c r="AD3" s="2">
        <v>0</v>
      </c>
      <c r="AE3" s="2">
        <f t="shared" ref="AE3:AE66" si="7">AC3*AD3</f>
        <v>0</v>
      </c>
      <c r="AF3" s="2">
        <f t="shared" ref="AF3:AF66" si="8">AC3</f>
        <v>0</v>
      </c>
      <c r="AG3" s="2">
        <v>0</v>
      </c>
      <c r="AH3" s="2" t="str">
        <f t="shared" ref="AH3:AH66" si="9">IF(AC3&gt;90,"YES","NO")</f>
        <v>NO</v>
      </c>
      <c r="AI3" s="2">
        <f t="shared" ref="AI3:AI66" si="10">Z3+AE3</f>
        <v>17010</v>
      </c>
      <c r="AJ3" s="2" t="s">
        <v>50</v>
      </c>
      <c r="AK3" s="2"/>
      <c r="AL3" s="2"/>
      <c r="AM3" s="2">
        <f t="shared" ref="AM3:AM34" si="11">P3*S3</f>
        <v>29160</v>
      </c>
      <c r="AN3" s="2">
        <f t="shared" ref="AN3:AN34" si="12">AM3-M3</f>
        <v>9160</v>
      </c>
      <c r="AO3" s="2">
        <v>0</v>
      </c>
      <c r="AP3" s="4">
        <f t="shared" ref="AP3:AP66" si="13">AN3/S3</f>
        <v>254.44444444444446</v>
      </c>
      <c r="AQ3" s="4">
        <f t="shared" ref="AQ3:AQ66" si="14">AP3*AO3</f>
        <v>0</v>
      </c>
      <c r="AR3" s="5">
        <v>46141</v>
      </c>
      <c r="AS3" s="5"/>
      <c r="AT3" s="5">
        <v>46148</v>
      </c>
      <c r="AU3" s="2" t="str">
        <f t="shared" ref="AU3:AU66" si="15">IF(Z3=0,"CLOSE","ACTIVE")</f>
        <v>ACTIVE</v>
      </c>
      <c r="AV3" s="2"/>
      <c r="AW3" s="2">
        <f t="shared" ref="AW3:AW66" si="16">Q3+V3</f>
        <v>0</v>
      </c>
      <c r="AX3" s="6"/>
      <c r="AY3" s="6"/>
    </row>
    <row r="4" spans="1:51" hidden="1" x14ac:dyDescent="0.25">
      <c r="A4" s="7" t="str">
        <f t="shared" si="0"/>
        <v>ACTIVE</v>
      </c>
      <c r="B4" s="2" t="s">
        <v>156</v>
      </c>
      <c r="C4" s="2" t="s">
        <v>157</v>
      </c>
      <c r="D4" s="2" t="s">
        <v>158</v>
      </c>
      <c r="E4" s="2" t="s">
        <v>47</v>
      </c>
      <c r="F4" s="2"/>
      <c r="G4" s="2" t="s">
        <v>160</v>
      </c>
      <c r="H4" s="2" t="s">
        <v>156</v>
      </c>
      <c r="I4" s="2" t="s">
        <v>51</v>
      </c>
      <c r="J4" s="2" t="s">
        <v>164</v>
      </c>
      <c r="K4" s="2" t="s">
        <v>165</v>
      </c>
      <c r="L4" s="2">
        <v>8791291989</v>
      </c>
      <c r="M4" s="2">
        <v>10000</v>
      </c>
      <c r="N4" s="2">
        <v>820</v>
      </c>
      <c r="O4" s="2">
        <f t="shared" si="1"/>
        <v>9180</v>
      </c>
      <c r="P4" s="2">
        <v>520</v>
      </c>
      <c r="Q4" s="11">
        <f t="shared" si="2"/>
        <v>0</v>
      </c>
      <c r="R4" s="11">
        <v>0</v>
      </c>
      <c r="S4" s="2">
        <v>28</v>
      </c>
      <c r="T4" s="7">
        <v>14</v>
      </c>
      <c r="U4" s="2">
        <f t="shared" si="3"/>
        <v>14</v>
      </c>
      <c r="V4" s="2"/>
      <c r="W4" s="8"/>
      <c r="X4" s="9"/>
      <c r="Y4" s="2">
        <f t="shared" si="4"/>
        <v>7280</v>
      </c>
      <c r="Z4" s="2">
        <f t="shared" si="5"/>
        <v>7280</v>
      </c>
      <c r="AA4" s="2" t="s">
        <v>49</v>
      </c>
      <c r="AB4" s="2" t="s">
        <v>51</v>
      </c>
      <c r="AC4" s="2">
        <f t="shared" si="6"/>
        <v>0</v>
      </c>
      <c r="AD4" s="2">
        <v>0</v>
      </c>
      <c r="AE4" s="2">
        <f t="shared" si="7"/>
        <v>0</v>
      </c>
      <c r="AF4" s="2">
        <f t="shared" si="8"/>
        <v>0</v>
      </c>
      <c r="AG4" s="2">
        <v>0</v>
      </c>
      <c r="AH4" s="2" t="str">
        <f t="shared" si="9"/>
        <v>NO</v>
      </c>
      <c r="AI4" s="2">
        <f t="shared" si="10"/>
        <v>7280</v>
      </c>
      <c r="AJ4" s="2" t="s">
        <v>50</v>
      </c>
      <c r="AK4" s="2"/>
      <c r="AL4" s="2"/>
      <c r="AM4" s="2">
        <f t="shared" si="11"/>
        <v>14560</v>
      </c>
      <c r="AN4" s="2">
        <f t="shared" si="12"/>
        <v>4560</v>
      </c>
      <c r="AO4" s="2">
        <v>0</v>
      </c>
      <c r="AP4" s="4">
        <f t="shared" si="13"/>
        <v>162.85714285714286</v>
      </c>
      <c r="AQ4" s="4">
        <f t="shared" si="14"/>
        <v>0</v>
      </c>
      <c r="AR4" s="5">
        <v>46148</v>
      </c>
      <c r="AS4" s="5"/>
      <c r="AT4" s="5">
        <v>46155</v>
      </c>
      <c r="AU4" s="2" t="str">
        <f t="shared" si="15"/>
        <v>ACTIVE</v>
      </c>
      <c r="AV4" s="2"/>
      <c r="AW4" s="2">
        <f t="shared" si="16"/>
        <v>0</v>
      </c>
      <c r="AX4" s="6"/>
      <c r="AY4" s="6"/>
    </row>
    <row r="5" spans="1:51" hidden="1" x14ac:dyDescent="0.25">
      <c r="A5" s="7" t="str">
        <f t="shared" si="0"/>
        <v>ACTIVE</v>
      </c>
      <c r="B5" s="2" t="s">
        <v>156</v>
      </c>
      <c r="C5" s="2" t="s">
        <v>157</v>
      </c>
      <c r="D5" s="2" t="s">
        <v>158</v>
      </c>
      <c r="E5" s="2" t="s">
        <v>47</v>
      </c>
      <c r="F5" s="2"/>
      <c r="G5" s="2" t="s">
        <v>166</v>
      </c>
      <c r="H5" s="2" t="s">
        <v>156</v>
      </c>
      <c r="I5" s="2" t="s">
        <v>54</v>
      </c>
      <c r="J5" s="2" t="s">
        <v>167</v>
      </c>
      <c r="K5" s="2" t="s">
        <v>168</v>
      </c>
      <c r="L5" s="2">
        <v>8218027633</v>
      </c>
      <c r="M5" s="2">
        <v>20000</v>
      </c>
      <c r="N5" s="2">
        <v>1580</v>
      </c>
      <c r="O5" s="2">
        <f t="shared" si="1"/>
        <v>18420</v>
      </c>
      <c r="P5" s="2">
        <v>810</v>
      </c>
      <c r="Q5" s="11">
        <f t="shared" si="2"/>
        <v>0</v>
      </c>
      <c r="R5" s="11">
        <v>0</v>
      </c>
      <c r="S5" s="2">
        <v>36</v>
      </c>
      <c r="T5" s="7">
        <v>14</v>
      </c>
      <c r="U5" s="2">
        <f t="shared" si="3"/>
        <v>22</v>
      </c>
      <c r="V5" s="2"/>
      <c r="W5" s="8"/>
      <c r="X5" s="3"/>
      <c r="Y5" s="2">
        <f t="shared" si="4"/>
        <v>11340</v>
      </c>
      <c r="Z5" s="2">
        <f t="shared" si="5"/>
        <v>17820</v>
      </c>
      <c r="AA5" s="2" t="s">
        <v>67</v>
      </c>
      <c r="AB5" s="2" t="s">
        <v>54</v>
      </c>
      <c r="AC5" s="2">
        <f t="shared" si="6"/>
        <v>0</v>
      </c>
      <c r="AD5" s="2">
        <v>0</v>
      </c>
      <c r="AE5" s="2">
        <f t="shared" si="7"/>
        <v>0</v>
      </c>
      <c r="AF5" s="2">
        <f t="shared" si="8"/>
        <v>0</v>
      </c>
      <c r="AG5" s="2">
        <v>0</v>
      </c>
      <c r="AH5" s="2" t="str">
        <f t="shared" si="9"/>
        <v>NO</v>
      </c>
      <c r="AI5" s="2">
        <f t="shared" si="10"/>
        <v>17820</v>
      </c>
      <c r="AJ5" s="2" t="s">
        <v>50</v>
      </c>
      <c r="AK5" s="2"/>
      <c r="AL5" s="2"/>
      <c r="AM5" s="2">
        <f t="shared" si="11"/>
        <v>29160</v>
      </c>
      <c r="AN5" s="2">
        <f t="shared" si="12"/>
        <v>9160</v>
      </c>
      <c r="AO5" s="2">
        <v>0</v>
      </c>
      <c r="AP5" s="4">
        <f t="shared" si="13"/>
        <v>254.44444444444446</v>
      </c>
      <c r="AQ5" s="4">
        <f t="shared" si="14"/>
        <v>0</v>
      </c>
      <c r="AR5" s="5">
        <v>46153</v>
      </c>
      <c r="AS5" s="5"/>
      <c r="AT5" s="5">
        <v>46156</v>
      </c>
      <c r="AU5" s="2" t="str">
        <f t="shared" si="15"/>
        <v>ACTIVE</v>
      </c>
      <c r="AV5" s="2"/>
      <c r="AW5" s="2">
        <f t="shared" si="16"/>
        <v>0</v>
      </c>
      <c r="AX5" s="6"/>
      <c r="AY5" s="6"/>
    </row>
    <row r="6" spans="1:51" hidden="1" x14ac:dyDescent="0.25">
      <c r="A6" s="7" t="str">
        <f t="shared" si="0"/>
        <v>ACTIVE</v>
      </c>
      <c r="B6" s="2" t="s">
        <v>156</v>
      </c>
      <c r="C6" s="2" t="s">
        <v>157</v>
      </c>
      <c r="D6" s="2" t="s">
        <v>158</v>
      </c>
      <c r="E6" s="2" t="s">
        <v>47</v>
      </c>
      <c r="F6" s="2"/>
      <c r="G6" s="2" t="s">
        <v>166</v>
      </c>
      <c r="H6" s="2" t="s">
        <v>156</v>
      </c>
      <c r="I6" s="2" t="s">
        <v>56</v>
      </c>
      <c r="J6" s="2" t="s">
        <v>169</v>
      </c>
      <c r="K6" s="2" t="s">
        <v>170</v>
      </c>
      <c r="L6" s="2">
        <v>9540525013</v>
      </c>
      <c r="M6" s="2">
        <v>20000</v>
      </c>
      <c r="N6" s="2">
        <v>1580</v>
      </c>
      <c r="O6" s="2">
        <f t="shared" si="1"/>
        <v>18420</v>
      </c>
      <c r="P6" s="2">
        <v>810</v>
      </c>
      <c r="Q6" s="11">
        <f t="shared" si="2"/>
        <v>0</v>
      </c>
      <c r="R6" s="11">
        <v>0</v>
      </c>
      <c r="S6" s="2">
        <v>36</v>
      </c>
      <c r="T6" s="7">
        <v>14</v>
      </c>
      <c r="U6" s="2">
        <f t="shared" si="3"/>
        <v>22</v>
      </c>
      <c r="V6" s="2"/>
      <c r="W6" s="8"/>
      <c r="X6" s="3"/>
      <c r="Y6" s="2">
        <f t="shared" si="4"/>
        <v>11340</v>
      </c>
      <c r="Z6" s="2">
        <f t="shared" si="5"/>
        <v>17820</v>
      </c>
      <c r="AA6" s="2" t="s">
        <v>67</v>
      </c>
      <c r="AB6" s="2" t="s">
        <v>56</v>
      </c>
      <c r="AC6" s="2">
        <f t="shared" si="6"/>
        <v>0</v>
      </c>
      <c r="AD6" s="2">
        <v>0</v>
      </c>
      <c r="AE6" s="2">
        <f t="shared" si="7"/>
        <v>0</v>
      </c>
      <c r="AF6" s="2">
        <f t="shared" si="8"/>
        <v>0</v>
      </c>
      <c r="AG6" s="2">
        <v>0</v>
      </c>
      <c r="AH6" s="2" t="str">
        <f t="shared" si="9"/>
        <v>NO</v>
      </c>
      <c r="AI6" s="2">
        <f t="shared" si="10"/>
        <v>17820</v>
      </c>
      <c r="AJ6" s="2" t="s">
        <v>50</v>
      </c>
      <c r="AK6" s="2"/>
      <c r="AL6" s="2"/>
      <c r="AM6" s="2">
        <f t="shared" si="11"/>
        <v>29160</v>
      </c>
      <c r="AN6" s="2">
        <f t="shared" si="12"/>
        <v>9160</v>
      </c>
      <c r="AO6" s="2">
        <v>0</v>
      </c>
      <c r="AP6" s="4">
        <f t="shared" si="13"/>
        <v>254.44444444444446</v>
      </c>
      <c r="AQ6" s="4">
        <f t="shared" si="14"/>
        <v>0</v>
      </c>
      <c r="AR6" s="5">
        <v>46153</v>
      </c>
      <c r="AS6" s="5"/>
      <c r="AT6" s="5">
        <v>46156</v>
      </c>
      <c r="AU6" s="2" t="str">
        <f t="shared" si="15"/>
        <v>ACTIVE</v>
      </c>
      <c r="AV6" s="2"/>
      <c r="AW6" s="2">
        <f t="shared" si="16"/>
        <v>0</v>
      </c>
      <c r="AX6" s="6"/>
      <c r="AY6" s="6"/>
    </row>
    <row r="7" spans="1:51" hidden="1" x14ac:dyDescent="0.25">
      <c r="A7" s="7" t="str">
        <f t="shared" si="0"/>
        <v>ACTIVE</v>
      </c>
      <c r="B7" s="2" t="s">
        <v>156</v>
      </c>
      <c r="C7" s="2" t="s">
        <v>157</v>
      </c>
      <c r="D7" s="2" t="s">
        <v>158</v>
      </c>
      <c r="E7" s="2" t="s">
        <v>47</v>
      </c>
      <c r="F7" s="2"/>
      <c r="G7" s="2" t="s">
        <v>160</v>
      </c>
      <c r="H7" s="2" t="s">
        <v>171</v>
      </c>
      <c r="I7" s="2" t="s">
        <v>58</v>
      </c>
      <c r="J7" s="2" t="s">
        <v>172</v>
      </c>
      <c r="K7" s="2" t="s">
        <v>173</v>
      </c>
      <c r="L7" s="2">
        <v>9520845279</v>
      </c>
      <c r="M7" s="2">
        <v>20000</v>
      </c>
      <c r="N7" s="2">
        <v>1580</v>
      </c>
      <c r="O7" s="2">
        <f t="shared" si="1"/>
        <v>18420</v>
      </c>
      <c r="P7" s="2">
        <v>810</v>
      </c>
      <c r="Q7" s="11">
        <f t="shared" si="2"/>
        <v>0</v>
      </c>
      <c r="R7" s="11">
        <v>0</v>
      </c>
      <c r="S7" s="2">
        <v>36</v>
      </c>
      <c r="T7" s="7">
        <v>14</v>
      </c>
      <c r="U7" s="2">
        <f t="shared" si="3"/>
        <v>22</v>
      </c>
      <c r="V7" s="2"/>
      <c r="W7" s="8"/>
      <c r="X7" s="3"/>
      <c r="Y7" s="2">
        <f t="shared" si="4"/>
        <v>11340</v>
      </c>
      <c r="Z7" s="2">
        <f t="shared" si="5"/>
        <v>17820</v>
      </c>
      <c r="AA7" s="2" t="s">
        <v>57</v>
      </c>
      <c r="AB7" s="2" t="s">
        <v>58</v>
      </c>
      <c r="AC7" s="2">
        <f t="shared" si="6"/>
        <v>0</v>
      </c>
      <c r="AD7" s="2">
        <v>0</v>
      </c>
      <c r="AE7" s="2">
        <f t="shared" si="7"/>
        <v>0</v>
      </c>
      <c r="AF7" s="2">
        <f t="shared" si="8"/>
        <v>0</v>
      </c>
      <c r="AG7" s="2">
        <v>0</v>
      </c>
      <c r="AH7" s="2" t="str">
        <f t="shared" si="9"/>
        <v>NO</v>
      </c>
      <c r="AI7" s="2">
        <f t="shared" si="10"/>
        <v>17820</v>
      </c>
      <c r="AJ7" s="2" t="s">
        <v>50</v>
      </c>
      <c r="AK7" s="2"/>
      <c r="AL7" s="2"/>
      <c r="AM7" s="2">
        <f t="shared" si="11"/>
        <v>29160</v>
      </c>
      <c r="AN7" s="2">
        <f t="shared" si="12"/>
        <v>9160</v>
      </c>
      <c r="AO7" s="2">
        <v>0</v>
      </c>
      <c r="AP7" s="4">
        <f t="shared" si="13"/>
        <v>254.44444444444446</v>
      </c>
      <c r="AQ7" s="4">
        <f t="shared" si="14"/>
        <v>0</v>
      </c>
      <c r="AR7" s="5">
        <v>46153</v>
      </c>
      <c r="AS7" s="5"/>
      <c r="AT7" s="5">
        <v>46157</v>
      </c>
      <c r="AU7" s="2" t="str">
        <f t="shared" si="15"/>
        <v>ACTIVE</v>
      </c>
      <c r="AV7" s="2"/>
      <c r="AW7" s="2">
        <f t="shared" si="16"/>
        <v>0</v>
      </c>
      <c r="AX7" s="6"/>
      <c r="AY7" s="6"/>
    </row>
    <row r="8" spans="1:51" x14ac:dyDescent="0.25">
      <c r="A8" s="7" t="str">
        <f t="shared" si="0"/>
        <v>ACTIVE</v>
      </c>
      <c r="B8" s="2" t="s">
        <v>156</v>
      </c>
      <c r="C8" s="2" t="s">
        <v>157</v>
      </c>
      <c r="D8" s="2" t="s">
        <v>158</v>
      </c>
      <c r="E8" s="2" t="s">
        <v>47</v>
      </c>
      <c r="F8" s="2"/>
      <c r="G8" s="2" t="s">
        <v>166</v>
      </c>
      <c r="H8" s="2" t="s">
        <v>156</v>
      </c>
      <c r="I8" s="2" t="s">
        <v>60</v>
      </c>
      <c r="J8" s="2" t="s">
        <v>174</v>
      </c>
      <c r="K8" s="2" t="s">
        <v>175</v>
      </c>
      <c r="L8" s="2">
        <v>7417106202</v>
      </c>
      <c r="M8" s="2">
        <v>20000</v>
      </c>
      <c r="N8" s="2">
        <v>1580</v>
      </c>
      <c r="O8" s="2">
        <f t="shared" si="1"/>
        <v>18420</v>
      </c>
      <c r="P8" s="2">
        <v>810</v>
      </c>
      <c r="Q8" s="11">
        <f t="shared" si="2"/>
        <v>0</v>
      </c>
      <c r="R8" s="11">
        <v>0</v>
      </c>
      <c r="S8" s="2">
        <v>36</v>
      </c>
      <c r="T8" s="7">
        <v>14</v>
      </c>
      <c r="U8" s="2">
        <f t="shared" si="3"/>
        <v>22</v>
      </c>
      <c r="V8" s="2"/>
      <c r="W8" s="8"/>
      <c r="X8" s="3"/>
      <c r="Y8" s="2">
        <f t="shared" si="4"/>
        <v>11340</v>
      </c>
      <c r="Z8" s="2">
        <f t="shared" si="5"/>
        <v>17820</v>
      </c>
      <c r="AA8" s="2" t="s">
        <v>53</v>
      </c>
      <c r="AB8" s="2" t="s">
        <v>60</v>
      </c>
      <c r="AC8" s="2">
        <f t="shared" si="6"/>
        <v>0</v>
      </c>
      <c r="AD8" s="2">
        <v>0</v>
      </c>
      <c r="AE8" s="2">
        <f t="shared" si="7"/>
        <v>0</v>
      </c>
      <c r="AF8" s="2">
        <f t="shared" si="8"/>
        <v>0</v>
      </c>
      <c r="AG8" s="2">
        <v>0</v>
      </c>
      <c r="AH8" s="2" t="str">
        <f t="shared" si="9"/>
        <v>NO</v>
      </c>
      <c r="AI8" s="2">
        <f t="shared" si="10"/>
        <v>17820</v>
      </c>
      <c r="AJ8" s="2" t="s">
        <v>50</v>
      </c>
      <c r="AK8" s="2"/>
      <c r="AL8" s="2"/>
      <c r="AM8" s="2">
        <f t="shared" si="11"/>
        <v>29160</v>
      </c>
      <c r="AN8" s="2">
        <f t="shared" si="12"/>
        <v>9160</v>
      </c>
      <c r="AO8" s="2">
        <v>0</v>
      </c>
      <c r="AP8" s="4">
        <f t="shared" si="13"/>
        <v>254.44444444444446</v>
      </c>
      <c r="AQ8" s="4">
        <f t="shared" si="14"/>
        <v>0</v>
      </c>
      <c r="AR8" s="5">
        <v>46153</v>
      </c>
      <c r="AS8" s="5"/>
      <c r="AT8" s="5">
        <v>46154</v>
      </c>
      <c r="AU8" s="2" t="str">
        <f t="shared" si="15"/>
        <v>ACTIVE</v>
      </c>
      <c r="AV8" s="2"/>
      <c r="AW8" s="2">
        <f t="shared" si="16"/>
        <v>0</v>
      </c>
      <c r="AX8" s="6"/>
      <c r="AY8" s="6"/>
    </row>
    <row r="9" spans="1:51" hidden="1" x14ac:dyDescent="0.25">
      <c r="A9" s="7" t="str">
        <f t="shared" si="0"/>
        <v>ACTIVE</v>
      </c>
      <c r="B9" s="2" t="s">
        <v>156</v>
      </c>
      <c r="C9" s="2" t="s">
        <v>157</v>
      </c>
      <c r="D9" s="2" t="s">
        <v>158</v>
      </c>
      <c r="E9" s="2" t="s">
        <v>47</v>
      </c>
      <c r="F9" s="2"/>
      <c r="G9" s="2" t="s">
        <v>166</v>
      </c>
      <c r="H9" s="2" t="s">
        <v>156</v>
      </c>
      <c r="I9" s="2" t="s">
        <v>61</v>
      </c>
      <c r="J9" s="2" t="s">
        <v>176</v>
      </c>
      <c r="K9" s="2" t="s">
        <v>177</v>
      </c>
      <c r="L9" s="2">
        <v>8477037076</v>
      </c>
      <c r="M9" s="2">
        <v>20000</v>
      </c>
      <c r="N9" s="2">
        <v>1580</v>
      </c>
      <c r="O9" s="2">
        <f t="shared" si="1"/>
        <v>18420</v>
      </c>
      <c r="P9" s="2">
        <v>810</v>
      </c>
      <c r="Q9" s="11">
        <f t="shared" si="2"/>
        <v>0</v>
      </c>
      <c r="R9" s="11">
        <v>0</v>
      </c>
      <c r="S9" s="2">
        <v>36</v>
      </c>
      <c r="T9" s="7">
        <v>14</v>
      </c>
      <c r="U9" s="2">
        <f t="shared" si="3"/>
        <v>22</v>
      </c>
      <c r="V9" s="2"/>
      <c r="W9" s="8"/>
      <c r="X9" s="3"/>
      <c r="Y9" s="2">
        <f t="shared" si="4"/>
        <v>11340</v>
      </c>
      <c r="Z9" s="2">
        <f t="shared" si="5"/>
        <v>17820</v>
      </c>
      <c r="AA9" s="2" t="s">
        <v>67</v>
      </c>
      <c r="AB9" s="2" t="s">
        <v>61</v>
      </c>
      <c r="AC9" s="2">
        <f t="shared" si="6"/>
        <v>0</v>
      </c>
      <c r="AD9" s="2">
        <v>0</v>
      </c>
      <c r="AE9" s="2">
        <f t="shared" si="7"/>
        <v>0</v>
      </c>
      <c r="AF9" s="2">
        <f t="shared" si="8"/>
        <v>0</v>
      </c>
      <c r="AG9" s="2">
        <v>0</v>
      </c>
      <c r="AH9" s="2" t="str">
        <f t="shared" si="9"/>
        <v>NO</v>
      </c>
      <c r="AI9" s="2">
        <f t="shared" si="10"/>
        <v>17820</v>
      </c>
      <c r="AJ9" s="2" t="s">
        <v>50</v>
      </c>
      <c r="AK9" s="2"/>
      <c r="AL9" s="2"/>
      <c r="AM9" s="2">
        <f t="shared" si="11"/>
        <v>29160</v>
      </c>
      <c r="AN9" s="2">
        <f t="shared" si="12"/>
        <v>9160</v>
      </c>
      <c r="AO9" s="2">
        <v>0</v>
      </c>
      <c r="AP9" s="4">
        <f t="shared" si="13"/>
        <v>254.44444444444446</v>
      </c>
      <c r="AQ9" s="4">
        <f t="shared" si="14"/>
        <v>0</v>
      </c>
      <c r="AR9" s="5">
        <v>46153</v>
      </c>
      <c r="AS9" s="5"/>
      <c r="AT9" s="5">
        <v>46156</v>
      </c>
      <c r="AU9" s="2" t="str">
        <f t="shared" si="15"/>
        <v>ACTIVE</v>
      </c>
      <c r="AV9" s="2"/>
      <c r="AW9" s="2">
        <f t="shared" si="16"/>
        <v>0</v>
      </c>
      <c r="AX9" s="6"/>
      <c r="AY9" s="6"/>
    </row>
    <row r="10" spans="1:51" hidden="1" x14ac:dyDescent="0.25">
      <c r="A10" s="7" t="str">
        <f t="shared" si="0"/>
        <v>ACTIVE</v>
      </c>
      <c r="B10" s="2" t="s">
        <v>156</v>
      </c>
      <c r="C10" s="2" t="s">
        <v>157</v>
      </c>
      <c r="D10" s="2" t="s">
        <v>158</v>
      </c>
      <c r="E10" s="2" t="s">
        <v>47</v>
      </c>
      <c r="F10" s="2"/>
      <c r="G10" s="2" t="s">
        <v>166</v>
      </c>
      <c r="H10" s="2" t="s">
        <v>156</v>
      </c>
      <c r="I10" s="2" t="s">
        <v>62</v>
      </c>
      <c r="J10" s="2" t="s">
        <v>178</v>
      </c>
      <c r="K10" s="2" t="s">
        <v>179</v>
      </c>
      <c r="L10" s="2">
        <v>9536012427</v>
      </c>
      <c r="M10" s="2">
        <v>20000</v>
      </c>
      <c r="N10" s="2">
        <v>1580</v>
      </c>
      <c r="O10" s="2">
        <f t="shared" si="1"/>
        <v>18420</v>
      </c>
      <c r="P10" s="2">
        <v>810</v>
      </c>
      <c r="Q10" s="11">
        <f t="shared" si="2"/>
        <v>0</v>
      </c>
      <c r="R10" s="11">
        <v>0</v>
      </c>
      <c r="S10" s="2">
        <v>36</v>
      </c>
      <c r="T10" s="7">
        <v>13</v>
      </c>
      <c r="U10" s="2">
        <f t="shared" si="3"/>
        <v>23</v>
      </c>
      <c r="V10" s="2"/>
      <c r="W10" s="8">
        <v>810</v>
      </c>
      <c r="X10" s="3"/>
      <c r="Y10" s="2">
        <f t="shared" si="4"/>
        <v>11340</v>
      </c>
      <c r="Z10" s="2">
        <f t="shared" si="5"/>
        <v>17820</v>
      </c>
      <c r="AA10" s="2" t="s">
        <v>67</v>
      </c>
      <c r="AB10" s="2" t="s">
        <v>62</v>
      </c>
      <c r="AC10" s="2">
        <f t="shared" si="6"/>
        <v>0</v>
      </c>
      <c r="AD10" s="2">
        <v>0</v>
      </c>
      <c r="AE10" s="2">
        <f t="shared" si="7"/>
        <v>0</v>
      </c>
      <c r="AF10" s="2">
        <f t="shared" si="8"/>
        <v>0</v>
      </c>
      <c r="AG10" s="2">
        <v>0</v>
      </c>
      <c r="AH10" s="2" t="str">
        <f t="shared" si="9"/>
        <v>NO</v>
      </c>
      <c r="AI10" s="2">
        <f t="shared" si="10"/>
        <v>17820</v>
      </c>
      <c r="AJ10" s="2" t="s">
        <v>50</v>
      </c>
      <c r="AK10" s="2"/>
      <c r="AL10" s="2"/>
      <c r="AM10" s="2">
        <f t="shared" si="11"/>
        <v>29160</v>
      </c>
      <c r="AN10" s="2">
        <f t="shared" si="12"/>
        <v>9160</v>
      </c>
      <c r="AO10" s="2">
        <v>0</v>
      </c>
      <c r="AP10" s="4">
        <f t="shared" si="13"/>
        <v>254.44444444444446</v>
      </c>
      <c r="AQ10" s="4">
        <f t="shared" si="14"/>
        <v>0</v>
      </c>
      <c r="AR10" s="5">
        <v>46156</v>
      </c>
      <c r="AS10" s="5"/>
      <c r="AT10" s="5">
        <v>46163</v>
      </c>
      <c r="AU10" s="2" t="str">
        <f t="shared" si="15"/>
        <v>ACTIVE</v>
      </c>
      <c r="AV10" s="2"/>
      <c r="AW10" s="2">
        <f t="shared" si="16"/>
        <v>0</v>
      </c>
      <c r="AX10" s="6"/>
      <c r="AY10" s="6"/>
    </row>
    <row r="11" spans="1:51" hidden="1" x14ac:dyDescent="0.25">
      <c r="A11" s="7" t="str">
        <f t="shared" si="0"/>
        <v>ACTIVE</v>
      </c>
      <c r="B11" s="2" t="s">
        <v>156</v>
      </c>
      <c r="C11" s="2" t="s">
        <v>157</v>
      </c>
      <c r="D11" s="2" t="s">
        <v>158</v>
      </c>
      <c r="E11" s="2" t="s">
        <v>47</v>
      </c>
      <c r="F11" s="2"/>
      <c r="G11" s="2" t="s">
        <v>166</v>
      </c>
      <c r="H11" s="2" t="s">
        <v>180</v>
      </c>
      <c r="I11" s="2" t="s">
        <v>63</v>
      </c>
      <c r="J11" s="2" t="s">
        <v>181</v>
      </c>
      <c r="K11" s="2" t="s">
        <v>182</v>
      </c>
      <c r="L11" s="2">
        <v>7533889263</v>
      </c>
      <c r="M11" s="2">
        <v>15000</v>
      </c>
      <c r="N11" s="2">
        <v>1260</v>
      </c>
      <c r="O11" s="2">
        <f t="shared" si="1"/>
        <v>13740</v>
      </c>
      <c r="P11" s="2">
        <v>730</v>
      </c>
      <c r="Q11" s="11">
        <f t="shared" si="2"/>
        <v>0</v>
      </c>
      <c r="R11" s="11">
        <v>0</v>
      </c>
      <c r="S11" s="2">
        <v>30</v>
      </c>
      <c r="T11" s="7">
        <v>13</v>
      </c>
      <c r="U11" s="2">
        <f t="shared" si="3"/>
        <v>17</v>
      </c>
      <c r="V11" s="2"/>
      <c r="W11" s="8">
        <v>730</v>
      </c>
      <c r="X11" s="3"/>
      <c r="Y11" s="2">
        <f t="shared" si="4"/>
        <v>10220</v>
      </c>
      <c r="Z11" s="2">
        <f t="shared" si="5"/>
        <v>11680</v>
      </c>
      <c r="AA11" s="2" t="s">
        <v>67</v>
      </c>
      <c r="AB11" s="2" t="s">
        <v>63</v>
      </c>
      <c r="AC11" s="2">
        <f t="shared" si="6"/>
        <v>0</v>
      </c>
      <c r="AD11" s="2">
        <v>0</v>
      </c>
      <c r="AE11" s="2">
        <f t="shared" si="7"/>
        <v>0</v>
      </c>
      <c r="AF11" s="2">
        <f t="shared" si="8"/>
        <v>0</v>
      </c>
      <c r="AG11" s="2">
        <v>0</v>
      </c>
      <c r="AH11" s="2" t="str">
        <f t="shared" si="9"/>
        <v>NO</v>
      </c>
      <c r="AI11" s="2">
        <f t="shared" si="10"/>
        <v>11680</v>
      </c>
      <c r="AJ11" s="2" t="s">
        <v>50</v>
      </c>
      <c r="AK11" s="2"/>
      <c r="AL11" s="2"/>
      <c r="AM11" s="2">
        <f t="shared" si="11"/>
        <v>21900</v>
      </c>
      <c r="AN11" s="2">
        <f t="shared" si="12"/>
        <v>6900</v>
      </c>
      <c r="AO11" s="2">
        <v>0</v>
      </c>
      <c r="AP11" s="4">
        <f t="shared" si="13"/>
        <v>230</v>
      </c>
      <c r="AQ11" s="4">
        <f t="shared" si="14"/>
        <v>0</v>
      </c>
      <c r="AR11" s="5">
        <v>46156</v>
      </c>
      <c r="AS11" s="5"/>
      <c r="AT11" s="5">
        <v>46163</v>
      </c>
      <c r="AU11" s="2" t="str">
        <f t="shared" si="15"/>
        <v>ACTIVE</v>
      </c>
      <c r="AV11" s="2"/>
      <c r="AW11" s="2">
        <f t="shared" si="16"/>
        <v>0</v>
      </c>
      <c r="AX11" s="6"/>
      <c r="AY11" s="6"/>
    </row>
    <row r="12" spans="1:51" hidden="1" x14ac:dyDescent="0.25">
      <c r="A12" s="7" t="str">
        <f t="shared" si="0"/>
        <v>ACTIVE</v>
      </c>
      <c r="B12" s="2" t="s">
        <v>156</v>
      </c>
      <c r="C12" s="2" t="s">
        <v>157</v>
      </c>
      <c r="D12" s="2" t="s">
        <v>158</v>
      </c>
      <c r="E12" s="2" t="s">
        <v>47</v>
      </c>
      <c r="F12" s="2"/>
      <c r="G12" s="2" t="s">
        <v>160</v>
      </c>
      <c r="H12" s="2" t="s">
        <v>183</v>
      </c>
      <c r="I12" s="2" t="s">
        <v>66</v>
      </c>
      <c r="J12" s="2" t="s">
        <v>184</v>
      </c>
      <c r="K12" s="2" t="s">
        <v>185</v>
      </c>
      <c r="L12" s="2">
        <v>9458561289</v>
      </c>
      <c r="M12" s="2">
        <v>20000</v>
      </c>
      <c r="N12" s="2">
        <v>1580</v>
      </c>
      <c r="O12" s="2">
        <f t="shared" si="1"/>
        <v>18420</v>
      </c>
      <c r="P12" s="2">
        <v>810</v>
      </c>
      <c r="Q12" s="11">
        <f t="shared" si="2"/>
        <v>0</v>
      </c>
      <c r="R12" s="11">
        <v>0</v>
      </c>
      <c r="S12" s="2">
        <v>36</v>
      </c>
      <c r="T12" s="7">
        <v>13</v>
      </c>
      <c r="U12" s="2">
        <f t="shared" si="3"/>
        <v>23</v>
      </c>
      <c r="V12" s="2"/>
      <c r="W12" s="8">
        <v>810</v>
      </c>
      <c r="X12" s="3"/>
      <c r="Y12" s="2">
        <f t="shared" si="4"/>
        <v>11340</v>
      </c>
      <c r="Z12" s="2">
        <f t="shared" si="5"/>
        <v>17820</v>
      </c>
      <c r="AA12" s="2" t="s">
        <v>57</v>
      </c>
      <c r="AB12" s="2" t="s">
        <v>66</v>
      </c>
      <c r="AC12" s="2">
        <f t="shared" si="6"/>
        <v>0</v>
      </c>
      <c r="AD12" s="2">
        <v>0</v>
      </c>
      <c r="AE12" s="2">
        <f t="shared" si="7"/>
        <v>0</v>
      </c>
      <c r="AF12" s="2">
        <f t="shared" si="8"/>
        <v>0</v>
      </c>
      <c r="AG12" s="2">
        <v>0</v>
      </c>
      <c r="AH12" s="2" t="str">
        <f t="shared" si="9"/>
        <v>NO</v>
      </c>
      <c r="AI12" s="2">
        <f t="shared" si="10"/>
        <v>17820</v>
      </c>
      <c r="AJ12" s="2" t="s">
        <v>50</v>
      </c>
      <c r="AK12" s="2"/>
      <c r="AL12" s="2"/>
      <c r="AM12" s="2">
        <f t="shared" si="11"/>
        <v>29160</v>
      </c>
      <c r="AN12" s="2">
        <f t="shared" si="12"/>
        <v>9160</v>
      </c>
      <c r="AO12" s="2">
        <v>0</v>
      </c>
      <c r="AP12" s="4">
        <f t="shared" si="13"/>
        <v>254.44444444444446</v>
      </c>
      <c r="AQ12" s="4">
        <f t="shared" si="14"/>
        <v>0</v>
      </c>
      <c r="AR12" s="5">
        <v>46156</v>
      </c>
      <c r="AS12" s="5"/>
      <c r="AT12" s="5">
        <v>46164</v>
      </c>
      <c r="AU12" s="2" t="str">
        <f t="shared" si="15"/>
        <v>ACTIVE</v>
      </c>
      <c r="AV12" s="2"/>
      <c r="AW12" s="2">
        <f t="shared" si="16"/>
        <v>0</v>
      </c>
      <c r="AX12" s="6"/>
      <c r="AY12" s="6"/>
    </row>
    <row r="13" spans="1:51" hidden="1" x14ac:dyDescent="0.25">
      <c r="A13" s="7" t="str">
        <f t="shared" si="0"/>
        <v>ACTIVE</v>
      </c>
      <c r="B13" s="2" t="s">
        <v>156</v>
      </c>
      <c r="C13" s="2" t="s">
        <v>157</v>
      </c>
      <c r="D13" s="2" t="s">
        <v>158</v>
      </c>
      <c r="E13" s="2" t="s">
        <v>47</v>
      </c>
      <c r="F13" s="2"/>
      <c r="G13" s="2" t="s">
        <v>160</v>
      </c>
      <c r="H13" s="2" t="s">
        <v>183</v>
      </c>
      <c r="I13" s="2" t="s">
        <v>68</v>
      </c>
      <c r="J13" s="2" t="s">
        <v>186</v>
      </c>
      <c r="K13" s="2" t="s">
        <v>187</v>
      </c>
      <c r="L13" s="2">
        <v>9456916405</v>
      </c>
      <c r="M13" s="2">
        <v>20000</v>
      </c>
      <c r="N13" s="2">
        <v>1580</v>
      </c>
      <c r="O13" s="2">
        <f t="shared" si="1"/>
        <v>18420</v>
      </c>
      <c r="P13" s="2">
        <v>810</v>
      </c>
      <c r="Q13" s="11">
        <f t="shared" si="2"/>
        <v>0</v>
      </c>
      <c r="R13" s="11">
        <v>0</v>
      </c>
      <c r="S13" s="2">
        <v>36</v>
      </c>
      <c r="T13" s="7">
        <v>13</v>
      </c>
      <c r="U13" s="2">
        <f t="shared" si="3"/>
        <v>23</v>
      </c>
      <c r="V13" s="2"/>
      <c r="W13" s="8">
        <v>810</v>
      </c>
      <c r="X13" s="3"/>
      <c r="Y13" s="2">
        <f t="shared" si="4"/>
        <v>11340</v>
      </c>
      <c r="Z13" s="2">
        <f t="shared" si="5"/>
        <v>17820</v>
      </c>
      <c r="AA13" s="2" t="s">
        <v>57</v>
      </c>
      <c r="AB13" s="2" t="s">
        <v>68</v>
      </c>
      <c r="AC13" s="2">
        <f t="shared" si="6"/>
        <v>0</v>
      </c>
      <c r="AD13" s="2">
        <v>0</v>
      </c>
      <c r="AE13" s="2">
        <f t="shared" si="7"/>
        <v>0</v>
      </c>
      <c r="AF13" s="2">
        <f t="shared" si="8"/>
        <v>0</v>
      </c>
      <c r="AG13" s="2">
        <v>0</v>
      </c>
      <c r="AH13" s="2" t="str">
        <f t="shared" si="9"/>
        <v>NO</v>
      </c>
      <c r="AI13" s="2">
        <f t="shared" si="10"/>
        <v>17820</v>
      </c>
      <c r="AJ13" s="2" t="s">
        <v>50</v>
      </c>
      <c r="AK13" s="2"/>
      <c r="AL13" s="2"/>
      <c r="AM13" s="2">
        <f t="shared" si="11"/>
        <v>29160</v>
      </c>
      <c r="AN13" s="2">
        <f t="shared" si="12"/>
        <v>9160</v>
      </c>
      <c r="AO13" s="2">
        <v>0</v>
      </c>
      <c r="AP13" s="4">
        <f t="shared" si="13"/>
        <v>254.44444444444446</v>
      </c>
      <c r="AQ13" s="4">
        <f t="shared" si="14"/>
        <v>0</v>
      </c>
      <c r="AR13" s="5">
        <v>46156</v>
      </c>
      <c r="AS13" s="5"/>
      <c r="AT13" s="5">
        <v>46164</v>
      </c>
      <c r="AU13" s="2" t="str">
        <f t="shared" si="15"/>
        <v>ACTIVE</v>
      </c>
      <c r="AV13" s="2"/>
      <c r="AW13" s="2">
        <f t="shared" si="16"/>
        <v>0</v>
      </c>
      <c r="AX13" s="6"/>
      <c r="AY13" s="6"/>
    </row>
    <row r="14" spans="1:51" hidden="1" x14ac:dyDescent="0.25">
      <c r="A14" s="7" t="str">
        <f t="shared" si="0"/>
        <v>ACTIVE</v>
      </c>
      <c r="B14" s="2" t="s">
        <v>156</v>
      </c>
      <c r="C14" s="2" t="s">
        <v>157</v>
      </c>
      <c r="D14" s="2" t="s">
        <v>158</v>
      </c>
      <c r="E14" s="2" t="s">
        <v>47</v>
      </c>
      <c r="F14" s="2"/>
      <c r="G14" s="2" t="s">
        <v>166</v>
      </c>
      <c r="H14" s="2" t="s">
        <v>180</v>
      </c>
      <c r="I14" s="2" t="s">
        <v>69</v>
      </c>
      <c r="J14" s="2" t="s">
        <v>188</v>
      </c>
      <c r="K14" s="2" t="s">
        <v>189</v>
      </c>
      <c r="L14" s="2">
        <v>8126425940</v>
      </c>
      <c r="M14" s="2">
        <v>25000</v>
      </c>
      <c r="N14" s="2">
        <v>1860</v>
      </c>
      <c r="O14" s="2">
        <f t="shared" si="1"/>
        <v>23140</v>
      </c>
      <c r="P14" s="2">
        <v>830</v>
      </c>
      <c r="Q14" s="11">
        <f t="shared" si="2"/>
        <v>0</v>
      </c>
      <c r="R14" s="11">
        <v>0</v>
      </c>
      <c r="S14" s="2">
        <v>44</v>
      </c>
      <c r="T14" s="7">
        <v>13</v>
      </c>
      <c r="U14" s="2">
        <f t="shared" si="3"/>
        <v>31</v>
      </c>
      <c r="V14" s="2"/>
      <c r="W14" s="8">
        <v>830</v>
      </c>
      <c r="X14" s="3"/>
      <c r="Y14" s="2">
        <f t="shared" si="4"/>
        <v>11620</v>
      </c>
      <c r="Z14" s="2">
        <f t="shared" si="5"/>
        <v>24900</v>
      </c>
      <c r="AA14" s="2" t="s">
        <v>67</v>
      </c>
      <c r="AB14" s="2" t="s">
        <v>69</v>
      </c>
      <c r="AC14" s="2">
        <f t="shared" si="6"/>
        <v>0</v>
      </c>
      <c r="AD14" s="2">
        <v>0</v>
      </c>
      <c r="AE14" s="2">
        <f t="shared" si="7"/>
        <v>0</v>
      </c>
      <c r="AF14" s="2">
        <f t="shared" si="8"/>
        <v>0</v>
      </c>
      <c r="AG14" s="2">
        <v>0</v>
      </c>
      <c r="AH14" s="2" t="str">
        <f t="shared" si="9"/>
        <v>NO</v>
      </c>
      <c r="AI14" s="2">
        <f t="shared" si="10"/>
        <v>24900</v>
      </c>
      <c r="AJ14" s="2" t="s">
        <v>50</v>
      </c>
      <c r="AK14" s="2"/>
      <c r="AL14" s="2"/>
      <c r="AM14" s="2">
        <f t="shared" si="11"/>
        <v>36520</v>
      </c>
      <c r="AN14" s="2">
        <f t="shared" si="12"/>
        <v>11520</v>
      </c>
      <c r="AO14" s="2">
        <v>0</v>
      </c>
      <c r="AP14" s="4">
        <f t="shared" si="13"/>
        <v>261.81818181818181</v>
      </c>
      <c r="AQ14" s="4">
        <f t="shared" si="14"/>
        <v>0</v>
      </c>
      <c r="AR14" s="5">
        <v>46158</v>
      </c>
      <c r="AS14" s="5"/>
      <c r="AT14" s="5">
        <v>46163</v>
      </c>
      <c r="AU14" s="2" t="str">
        <f t="shared" si="15"/>
        <v>ACTIVE</v>
      </c>
      <c r="AV14" s="2"/>
      <c r="AW14" s="2">
        <f t="shared" si="16"/>
        <v>0</v>
      </c>
      <c r="AX14" s="6"/>
      <c r="AY14" s="6"/>
    </row>
    <row r="15" spans="1:51" hidden="1" x14ac:dyDescent="0.25">
      <c r="A15" s="7" t="str">
        <f t="shared" si="0"/>
        <v>ACTIVE</v>
      </c>
      <c r="B15" s="2" t="s">
        <v>156</v>
      </c>
      <c r="C15" s="2" t="s">
        <v>157</v>
      </c>
      <c r="D15" s="2" t="s">
        <v>158</v>
      </c>
      <c r="E15" s="2" t="s">
        <v>47</v>
      </c>
      <c r="F15" s="2"/>
      <c r="G15" s="2" t="s">
        <v>166</v>
      </c>
      <c r="H15" s="2" t="s">
        <v>190</v>
      </c>
      <c r="I15" s="2" t="s">
        <v>71</v>
      </c>
      <c r="J15" s="2" t="s">
        <v>191</v>
      </c>
      <c r="K15" s="2" t="s">
        <v>192</v>
      </c>
      <c r="L15" s="2">
        <v>7417419213</v>
      </c>
      <c r="M15" s="2">
        <v>20000</v>
      </c>
      <c r="N15" s="2">
        <v>1580</v>
      </c>
      <c r="O15" s="2">
        <f t="shared" si="1"/>
        <v>18420</v>
      </c>
      <c r="P15" s="2">
        <v>810</v>
      </c>
      <c r="Q15" s="11">
        <f t="shared" si="2"/>
        <v>0</v>
      </c>
      <c r="R15" s="11">
        <v>0</v>
      </c>
      <c r="S15" s="2">
        <v>36</v>
      </c>
      <c r="T15" s="7">
        <v>13</v>
      </c>
      <c r="U15" s="2">
        <f t="shared" si="3"/>
        <v>23</v>
      </c>
      <c r="V15" s="2"/>
      <c r="W15" s="8">
        <v>810</v>
      </c>
      <c r="X15" s="3"/>
      <c r="Y15" s="2">
        <f t="shared" si="4"/>
        <v>11340</v>
      </c>
      <c r="Z15" s="2">
        <f t="shared" si="5"/>
        <v>17820</v>
      </c>
      <c r="AA15" s="2" t="s">
        <v>67</v>
      </c>
      <c r="AB15" s="2" t="s">
        <v>71</v>
      </c>
      <c r="AC15" s="2">
        <f t="shared" si="6"/>
        <v>0</v>
      </c>
      <c r="AD15" s="2">
        <v>0</v>
      </c>
      <c r="AE15" s="2">
        <f t="shared" si="7"/>
        <v>0</v>
      </c>
      <c r="AF15" s="2">
        <f t="shared" si="8"/>
        <v>0</v>
      </c>
      <c r="AG15" s="2">
        <v>0</v>
      </c>
      <c r="AH15" s="2" t="str">
        <f t="shared" si="9"/>
        <v>NO</v>
      </c>
      <c r="AI15" s="2">
        <f t="shared" si="10"/>
        <v>17820</v>
      </c>
      <c r="AJ15" s="2" t="s">
        <v>50</v>
      </c>
      <c r="AK15" s="2"/>
      <c r="AL15" s="2"/>
      <c r="AM15" s="2">
        <f t="shared" si="11"/>
        <v>29160</v>
      </c>
      <c r="AN15" s="2">
        <f t="shared" si="12"/>
        <v>9160</v>
      </c>
      <c r="AO15" s="2">
        <v>0</v>
      </c>
      <c r="AP15" s="4">
        <f t="shared" si="13"/>
        <v>254.44444444444446</v>
      </c>
      <c r="AQ15" s="4">
        <f t="shared" si="14"/>
        <v>0</v>
      </c>
      <c r="AR15" s="5">
        <v>46158</v>
      </c>
      <c r="AS15" s="5"/>
      <c r="AT15" s="5">
        <v>46163</v>
      </c>
      <c r="AU15" s="2" t="str">
        <f t="shared" si="15"/>
        <v>ACTIVE</v>
      </c>
      <c r="AV15" s="2"/>
      <c r="AW15" s="2">
        <f t="shared" si="16"/>
        <v>0</v>
      </c>
      <c r="AX15" s="6"/>
      <c r="AY15" s="6"/>
    </row>
    <row r="16" spans="1:51" hidden="1" x14ac:dyDescent="0.25">
      <c r="A16" s="7" t="str">
        <f t="shared" si="0"/>
        <v>ACTIVE</v>
      </c>
      <c r="B16" s="2" t="s">
        <v>156</v>
      </c>
      <c r="C16" s="2" t="s">
        <v>157</v>
      </c>
      <c r="D16" s="2" t="s">
        <v>158</v>
      </c>
      <c r="E16" s="2" t="s">
        <v>47</v>
      </c>
      <c r="F16" s="2"/>
      <c r="G16" s="2" t="s">
        <v>166</v>
      </c>
      <c r="H16" s="2" t="s">
        <v>193</v>
      </c>
      <c r="I16" s="2" t="s">
        <v>72</v>
      </c>
      <c r="J16" s="2" t="s">
        <v>101</v>
      </c>
      <c r="K16" s="2" t="s">
        <v>194</v>
      </c>
      <c r="L16" s="2">
        <v>9837853969</v>
      </c>
      <c r="M16" s="2">
        <v>20000</v>
      </c>
      <c r="N16" s="2">
        <v>1580</v>
      </c>
      <c r="O16" s="2">
        <f t="shared" si="1"/>
        <v>18420</v>
      </c>
      <c r="P16" s="2">
        <v>810</v>
      </c>
      <c r="Q16" s="11">
        <f t="shared" si="2"/>
        <v>0</v>
      </c>
      <c r="R16" s="11">
        <v>0</v>
      </c>
      <c r="S16" s="2">
        <v>36</v>
      </c>
      <c r="T16" s="7">
        <v>13</v>
      </c>
      <c r="U16" s="2">
        <f t="shared" si="3"/>
        <v>23</v>
      </c>
      <c r="V16" s="2"/>
      <c r="W16" s="8"/>
      <c r="X16" s="3"/>
      <c r="Y16" s="2">
        <f t="shared" si="4"/>
        <v>10530</v>
      </c>
      <c r="Z16" s="2">
        <f t="shared" si="5"/>
        <v>18630</v>
      </c>
      <c r="AA16" s="2" t="s">
        <v>67</v>
      </c>
      <c r="AB16" s="2" t="s">
        <v>72</v>
      </c>
      <c r="AC16" s="2">
        <f t="shared" si="6"/>
        <v>0</v>
      </c>
      <c r="AD16" s="2">
        <v>0</v>
      </c>
      <c r="AE16" s="2">
        <f t="shared" si="7"/>
        <v>0</v>
      </c>
      <c r="AF16" s="2">
        <f t="shared" si="8"/>
        <v>0</v>
      </c>
      <c r="AG16" s="2">
        <v>0</v>
      </c>
      <c r="AH16" s="2" t="str">
        <f t="shared" si="9"/>
        <v>NO</v>
      </c>
      <c r="AI16" s="2">
        <f t="shared" si="10"/>
        <v>18630</v>
      </c>
      <c r="AJ16" s="2" t="s">
        <v>50</v>
      </c>
      <c r="AK16" s="2"/>
      <c r="AL16" s="2"/>
      <c r="AM16" s="2">
        <f t="shared" si="11"/>
        <v>29160</v>
      </c>
      <c r="AN16" s="2">
        <f t="shared" si="12"/>
        <v>9160</v>
      </c>
      <c r="AO16" s="2">
        <v>0</v>
      </c>
      <c r="AP16" s="4">
        <f t="shared" si="13"/>
        <v>254.44444444444446</v>
      </c>
      <c r="AQ16" s="4">
        <f t="shared" si="14"/>
        <v>0</v>
      </c>
      <c r="AR16" s="5">
        <v>46158</v>
      </c>
      <c r="AS16" s="5"/>
      <c r="AT16" s="5">
        <v>46163</v>
      </c>
      <c r="AU16" s="2" t="str">
        <f t="shared" si="15"/>
        <v>ACTIVE</v>
      </c>
      <c r="AV16" s="2"/>
      <c r="AW16" s="2">
        <f t="shared" si="16"/>
        <v>0</v>
      </c>
      <c r="AX16" s="6"/>
      <c r="AY16" s="6"/>
    </row>
    <row r="17" spans="1:51" hidden="1" x14ac:dyDescent="0.25">
      <c r="A17" s="7" t="str">
        <f t="shared" si="0"/>
        <v>ACTIVE</v>
      </c>
      <c r="B17" s="2" t="s">
        <v>156</v>
      </c>
      <c r="C17" s="2" t="s">
        <v>157</v>
      </c>
      <c r="D17" s="2" t="s">
        <v>158</v>
      </c>
      <c r="E17" s="2" t="s">
        <v>47</v>
      </c>
      <c r="F17" s="2"/>
      <c r="G17" s="2" t="s">
        <v>166</v>
      </c>
      <c r="H17" s="2" t="s">
        <v>195</v>
      </c>
      <c r="I17" s="2" t="s">
        <v>74</v>
      </c>
      <c r="J17" s="2" t="s">
        <v>196</v>
      </c>
      <c r="K17" s="2" t="s">
        <v>197</v>
      </c>
      <c r="L17" s="2">
        <v>8445673660</v>
      </c>
      <c r="M17" s="2">
        <v>10000</v>
      </c>
      <c r="N17" s="2">
        <v>820</v>
      </c>
      <c r="O17" s="2">
        <f t="shared" si="1"/>
        <v>9180</v>
      </c>
      <c r="P17" s="2">
        <v>520</v>
      </c>
      <c r="Q17" s="11">
        <f t="shared" si="2"/>
        <v>0</v>
      </c>
      <c r="R17" s="11">
        <v>0</v>
      </c>
      <c r="S17" s="2">
        <v>28</v>
      </c>
      <c r="T17" s="7">
        <v>13</v>
      </c>
      <c r="U17" s="2">
        <f t="shared" si="3"/>
        <v>15</v>
      </c>
      <c r="V17" s="2"/>
      <c r="W17" s="8">
        <v>520</v>
      </c>
      <c r="X17" s="3"/>
      <c r="Y17" s="2">
        <f t="shared" si="4"/>
        <v>7280</v>
      </c>
      <c r="Z17" s="2">
        <f t="shared" si="5"/>
        <v>7280</v>
      </c>
      <c r="AA17" s="2" t="s">
        <v>67</v>
      </c>
      <c r="AB17" s="2" t="s">
        <v>74</v>
      </c>
      <c r="AC17" s="2">
        <f t="shared" si="6"/>
        <v>0</v>
      </c>
      <c r="AD17" s="2">
        <v>0</v>
      </c>
      <c r="AE17" s="2">
        <f t="shared" si="7"/>
        <v>0</v>
      </c>
      <c r="AF17" s="2">
        <f t="shared" si="8"/>
        <v>0</v>
      </c>
      <c r="AG17" s="2">
        <v>0</v>
      </c>
      <c r="AH17" s="2" t="str">
        <f t="shared" si="9"/>
        <v>NO</v>
      </c>
      <c r="AI17" s="2">
        <f t="shared" si="10"/>
        <v>7280</v>
      </c>
      <c r="AJ17" s="2" t="s">
        <v>50</v>
      </c>
      <c r="AK17" s="2"/>
      <c r="AL17" s="2"/>
      <c r="AM17" s="2">
        <f t="shared" si="11"/>
        <v>14560</v>
      </c>
      <c r="AN17" s="2">
        <f t="shared" si="12"/>
        <v>4560</v>
      </c>
      <c r="AO17" s="2">
        <v>0</v>
      </c>
      <c r="AP17" s="4">
        <f t="shared" si="13"/>
        <v>162.85714285714286</v>
      </c>
      <c r="AQ17" s="4">
        <f t="shared" si="14"/>
        <v>0</v>
      </c>
      <c r="AR17" s="5">
        <v>46158</v>
      </c>
      <c r="AS17" s="5"/>
      <c r="AT17" s="5">
        <v>46163</v>
      </c>
      <c r="AU17" s="2" t="str">
        <f t="shared" si="15"/>
        <v>ACTIVE</v>
      </c>
      <c r="AV17" s="2"/>
      <c r="AW17" s="2">
        <f t="shared" si="16"/>
        <v>0</v>
      </c>
      <c r="AX17" s="6"/>
      <c r="AY17" s="6"/>
    </row>
    <row r="18" spans="1:51" hidden="1" x14ac:dyDescent="0.25">
      <c r="A18" s="7" t="str">
        <f t="shared" si="0"/>
        <v>ACTIVE</v>
      </c>
      <c r="B18" s="2" t="s">
        <v>156</v>
      </c>
      <c r="C18" s="2" t="s">
        <v>157</v>
      </c>
      <c r="D18" s="2" t="s">
        <v>158</v>
      </c>
      <c r="E18" s="2" t="s">
        <v>47</v>
      </c>
      <c r="F18" s="2"/>
      <c r="G18" s="2" t="s">
        <v>166</v>
      </c>
      <c r="H18" s="2" t="s">
        <v>198</v>
      </c>
      <c r="I18" s="2" t="s">
        <v>75</v>
      </c>
      <c r="J18" s="2" t="s">
        <v>199</v>
      </c>
      <c r="K18" s="2" t="s">
        <v>200</v>
      </c>
      <c r="L18" s="2">
        <v>9997579868</v>
      </c>
      <c r="M18" s="2">
        <v>15000</v>
      </c>
      <c r="N18" s="2">
        <v>1260</v>
      </c>
      <c r="O18" s="2">
        <f t="shared" si="1"/>
        <v>13740</v>
      </c>
      <c r="P18" s="2">
        <v>730</v>
      </c>
      <c r="Q18" s="11">
        <f t="shared" si="2"/>
        <v>0</v>
      </c>
      <c r="R18" s="11">
        <v>0</v>
      </c>
      <c r="S18" s="2">
        <v>30</v>
      </c>
      <c r="T18" s="7">
        <v>13</v>
      </c>
      <c r="U18" s="2">
        <f t="shared" si="3"/>
        <v>17</v>
      </c>
      <c r="V18" s="2"/>
      <c r="W18" s="8">
        <v>730</v>
      </c>
      <c r="X18" s="3"/>
      <c r="Y18" s="2">
        <f t="shared" si="4"/>
        <v>10220</v>
      </c>
      <c r="Z18" s="2">
        <f t="shared" si="5"/>
        <v>11680</v>
      </c>
      <c r="AA18" s="2" t="s">
        <v>67</v>
      </c>
      <c r="AB18" s="2" t="s">
        <v>75</v>
      </c>
      <c r="AC18" s="2">
        <f t="shared" si="6"/>
        <v>0</v>
      </c>
      <c r="AD18" s="2">
        <v>0</v>
      </c>
      <c r="AE18" s="2">
        <f t="shared" si="7"/>
        <v>0</v>
      </c>
      <c r="AF18" s="2">
        <f t="shared" si="8"/>
        <v>0</v>
      </c>
      <c r="AG18" s="2">
        <v>0</v>
      </c>
      <c r="AH18" s="2" t="str">
        <f t="shared" si="9"/>
        <v>NO</v>
      </c>
      <c r="AI18" s="2">
        <f t="shared" si="10"/>
        <v>11680</v>
      </c>
      <c r="AJ18" s="2" t="s">
        <v>50</v>
      </c>
      <c r="AK18" s="2"/>
      <c r="AL18" s="2"/>
      <c r="AM18" s="2">
        <f t="shared" si="11"/>
        <v>21900</v>
      </c>
      <c r="AN18" s="2">
        <f t="shared" si="12"/>
        <v>6900</v>
      </c>
      <c r="AO18" s="2">
        <v>0</v>
      </c>
      <c r="AP18" s="4">
        <f t="shared" si="13"/>
        <v>230</v>
      </c>
      <c r="AQ18" s="4">
        <f t="shared" si="14"/>
        <v>0</v>
      </c>
      <c r="AR18" s="5">
        <v>46156</v>
      </c>
      <c r="AS18" s="5">
        <v>46160</v>
      </c>
      <c r="AT18" s="5">
        <v>46163</v>
      </c>
      <c r="AU18" s="2" t="str">
        <f t="shared" si="15"/>
        <v>ACTIVE</v>
      </c>
      <c r="AV18" s="2"/>
      <c r="AW18" s="2">
        <f t="shared" si="16"/>
        <v>0</v>
      </c>
      <c r="AX18" s="6"/>
      <c r="AY18" s="6"/>
    </row>
    <row r="19" spans="1:51" x14ac:dyDescent="0.25">
      <c r="A19" s="7" t="str">
        <f t="shared" si="0"/>
        <v>ACTIVE</v>
      </c>
      <c r="B19" s="2" t="s">
        <v>156</v>
      </c>
      <c r="C19" s="2" t="s">
        <v>157</v>
      </c>
      <c r="D19" s="2" t="s">
        <v>158</v>
      </c>
      <c r="E19" s="2" t="s">
        <v>47</v>
      </c>
      <c r="F19" s="2"/>
      <c r="G19" s="2" t="s">
        <v>160</v>
      </c>
      <c r="H19" s="2" t="s">
        <v>201</v>
      </c>
      <c r="I19" s="2" t="s">
        <v>77</v>
      </c>
      <c r="J19" s="2" t="s">
        <v>202</v>
      </c>
      <c r="K19" s="2" t="s">
        <v>163</v>
      </c>
      <c r="L19" s="2">
        <v>8958993258</v>
      </c>
      <c r="M19" s="2">
        <v>15000</v>
      </c>
      <c r="N19" s="2">
        <v>1260</v>
      </c>
      <c r="O19" s="2">
        <f t="shared" si="1"/>
        <v>13740</v>
      </c>
      <c r="P19" s="2">
        <v>730</v>
      </c>
      <c r="Q19" s="11">
        <f t="shared" si="2"/>
        <v>0</v>
      </c>
      <c r="R19" s="11">
        <v>0</v>
      </c>
      <c r="S19" s="2">
        <v>30</v>
      </c>
      <c r="T19" s="7">
        <v>12</v>
      </c>
      <c r="U19" s="2">
        <f t="shared" si="3"/>
        <v>18</v>
      </c>
      <c r="V19" s="2"/>
      <c r="W19" s="8"/>
      <c r="X19" s="3"/>
      <c r="Y19" s="2">
        <f t="shared" si="4"/>
        <v>8760</v>
      </c>
      <c r="Z19" s="2">
        <f t="shared" si="5"/>
        <v>13140</v>
      </c>
      <c r="AA19" s="2" t="s">
        <v>53</v>
      </c>
      <c r="AB19" s="2" t="s">
        <v>77</v>
      </c>
      <c r="AC19" s="2">
        <f t="shared" si="6"/>
        <v>0</v>
      </c>
      <c r="AD19" s="2">
        <v>0</v>
      </c>
      <c r="AE19" s="2">
        <f t="shared" si="7"/>
        <v>0</v>
      </c>
      <c r="AF19" s="2">
        <f t="shared" si="8"/>
        <v>0</v>
      </c>
      <c r="AG19" s="2">
        <v>0</v>
      </c>
      <c r="AH19" s="2" t="str">
        <f t="shared" si="9"/>
        <v>NO</v>
      </c>
      <c r="AI19" s="2">
        <f t="shared" si="10"/>
        <v>13140</v>
      </c>
      <c r="AJ19" s="2" t="s">
        <v>50</v>
      </c>
      <c r="AK19" s="2"/>
      <c r="AL19" s="2"/>
      <c r="AM19" s="2">
        <f t="shared" si="11"/>
        <v>21900</v>
      </c>
      <c r="AN19" s="2">
        <f t="shared" si="12"/>
        <v>6900</v>
      </c>
      <c r="AO19" s="2">
        <v>0</v>
      </c>
      <c r="AP19" s="4">
        <f t="shared" si="13"/>
        <v>230</v>
      </c>
      <c r="AQ19" s="4">
        <f t="shared" si="14"/>
        <v>0</v>
      </c>
      <c r="AR19" s="5">
        <v>46160</v>
      </c>
      <c r="AS19" s="5">
        <v>46161</v>
      </c>
      <c r="AT19" s="5">
        <v>46168</v>
      </c>
      <c r="AU19" s="2" t="str">
        <f t="shared" si="15"/>
        <v>ACTIVE</v>
      </c>
      <c r="AV19" s="2"/>
      <c r="AW19" s="2">
        <f t="shared" si="16"/>
        <v>0</v>
      </c>
      <c r="AX19" s="6"/>
      <c r="AY19" s="6"/>
    </row>
    <row r="20" spans="1:51" x14ac:dyDescent="0.25">
      <c r="A20" s="7" t="str">
        <f t="shared" si="0"/>
        <v>ACTIVE</v>
      </c>
      <c r="B20" s="2" t="s">
        <v>156</v>
      </c>
      <c r="C20" s="2" t="s">
        <v>157</v>
      </c>
      <c r="D20" s="2" t="s">
        <v>158</v>
      </c>
      <c r="E20" s="2" t="s">
        <v>47</v>
      </c>
      <c r="F20" s="2"/>
      <c r="G20" s="2" t="s">
        <v>160</v>
      </c>
      <c r="H20" s="2" t="s">
        <v>203</v>
      </c>
      <c r="I20" s="2" t="s">
        <v>79</v>
      </c>
      <c r="J20" s="2" t="s">
        <v>204</v>
      </c>
      <c r="K20" s="2" t="s">
        <v>205</v>
      </c>
      <c r="L20" s="2">
        <v>7248019636</v>
      </c>
      <c r="M20" s="2">
        <v>10000</v>
      </c>
      <c r="N20" s="2">
        <v>820</v>
      </c>
      <c r="O20" s="2">
        <f t="shared" si="1"/>
        <v>9180</v>
      </c>
      <c r="P20" s="2">
        <v>520</v>
      </c>
      <c r="Q20" s="11">
        <f t="shared" si="2"/>
        <v>0</v>
      </c>
      <c r="R20" s="11">
        <v>0</v>
      </c>
      <c r="S20" s="2">
        <v>28</v>
      </c>
      <c r="T20" s="7">
        <v>12</v>
      </c>
      <c r="U20" s="2">
        <f t="shared" si="3"/>
        <v>16</v>
      </c>
      <c r="V20" s="2"/>
      <c r="W20" s="8"/>
      <c r="X20" s="3"/>
      <c r="Y20" s="2">
        <f t="shared" si="4"/>
        <v>6240</v>
      </c>
      <c r="Z20" s="2">
        <f t="shared" si="5"/>
        <v>8320</v>
      </c>
      <c r="AA20" s="2" t="s">
        <v>53</v>
      </c>
      <c r="AB20" s="2" t="s">
        <v>79</v>
      </c>
      <c r="AC20" s="2">
        <f t="shared" si="6"/>
        <v>0</v>
      </c>
      <c r="AD20" s="2">
        <v>0</v>
      </c>
      <c r="AE20" s="2">
        <f t="shared" si="7"/>
        <v>0</v>
      </c>
      <c r="AF20" s="2">
        <f t="shared" si="8"/>
        <v>0</v>
      </c>
      <c r="AG20" s="2">
        <v>0</v>
      </c>
      <c r="AH20" s="2" t="str">
        <f t="shared" si="9"/>
        <v>NO</v>
      </c>
      <c r="AI20" s="2">
        <f t="shared" si="10"/>
        <v>8320</v>
      </c>
      <c r="AJ20" s="2" t="s">
        <v>50</v>
      </c>
      <c r="AK20" s="2"/>
      <c r="AL20" s="2"/>
      <c r="AM20" s="2">
        <f t="shared" si="11"/>
        <v>14560</v>
      </c>
      <c r="AN20" s="2">
        <f t="shared" si="12"/>
        <v>4560</v>
      </c>
      <c r="AO20" s="2">
        <v>0</v>
      </c>
      <c r="AP20" s="4">
        <f t="shared" si="13"/>
        <v>162.85714285714286</v>
      </c>
      <c r="AQ20" s="4">
        <f t="shared" si="14"/>
        <v>0</v>
      </c>
      <c r="AR20" s="5">
        <v>46160</v>
      </c>
      <c r="AS20" s="5">
        <v>46161</v>
      </c>
      <c r="AT20" s="5">
        <v>46168</v>
      </c>
      <c r="AU20" s="2" t="str">
        <f t="shared" si="15"/>
        <v>ACTIVE</v>
      </c>
      <c r="AV20" s="2"/>
      <c r="AW20" s="2">
        <f t="shared" si="16"/>
        <v>0</v>
      </c>
      <c r="AX20" s="6"/>
      <c r="AY20" s="6"/>
    </row>
    <row r="21" spans="1:51" x14ac:dyDescent="0.25">
      <c r="A21" s="7" t="str">
        <f t="shared" si="0"/>
        <v>ACTIVE</v>
      </c>
      <c r="B21" s="2" t="s">
        <v>156</v>
      </c>
      <c r="C21" s="2" t="s">
        <v>157</v>
      </c>
      <c r="D21" s="2" t="s">
        <v>158</v>
      </c>
      <c r="E21" s="2" t="s">
        <v>47</v>
      </c>
      <c r="F21" s="2"/>
      <c r="G21" s="2" t="s">
        <v>160</v>
      </c>
      <c r="H21" s="2" t="s">
        <v>203</v>
      </c>
      <c r="I21" s="2" t="s">
        <v>81</v>
      </c>
      <c r="J21" s="2" t="s">
        <v>206</v>
      </c>
      <c r="K21" s="2" t="s">
        <v>207</v>
      </c>
      <c r="L21" s="2">
        <v>7060261720</v>
      </c>
      <c r="M21" s="2">
        <v>20000</v>
      </c>
      <c r="N21" s="2">
        <v>1580</v>
      </c>
      <c r="O21" s="2">
        <f t="shared" si="1"/>
        <v>18420</v>
      </c>
      <c r="P21" s="2">
        <v>810</v>
      </c>
      <c r="Q21" s="11">
        <f t="shared" si="2"/>
        <v>0</v>
      </c>
      <c r="R21" s="11">
        <v>0</v>
      </c>
      <c r="S21" s="2">
        <v>36</v>
      </c>
      <c r="T21" s="7">
        <v>12</v>
      </c>
      <c r="U21" s="2">
        <f t="shared" si="3"/>
        <v>24</v>
      </c>
      <c r="V21" s="2"/>
      <c r="W21" s="8"/>
      <c r="X21" s="3"/>
      <c r="Y21" s="2">
        <f t="shared" si="4"/>
        <v>9720</v>
      </c>
      <c r="Z21" s="2">
        <f t="shared" si="5"/>
        <v>19440</v>
      </c>
      <c r="AA21" s="2" t="s">
        <v>53</v>
      </c>
      <c r="AB21" s="2" t="s">
        <v>81</v>
      </c>
      <c r="AC21" s="2">
        <f t="shared" si="6"/>
        <v>0</v>
      </c>
      <c r="AD21" s="2">
        <v>0</v>
      </c>
      <c r="AE21" s="2">
        <f t="shared" si="7"/>
        <v>0</v>
      </c>
      <c r="AF21" s="2">
        <f t="shared" si="8"/>
        <v>0</v>
      </c>
      <c r="AG21" s="2">
        <v>0</v>
      </c>
      <c r="AH21" s="2" t="str">
        <f t="shared" si="9"/>
        <v>NO</v>
      </c>
      <c r="AI21" s="2">
        <f t="shared" si="10"/>
        <v>19440</v>
      </c>
      <c r="AJ21" s="2" t="s">
        <v>50</v>
      </c>
      <c r="AK21" s="2"/>
      <c r="AL21" s="2"/>
      <c r="AM21" s="2">
        <f t="shared" si="11"/>
        <v>29160</v>
      </c>
      <c r="AN21" s="2">
        <f t="shared" si="12"/>
        <v>9160</v>
      </c>
      <c r="AO21" s="2">
        <v>0</v>
      </c>
      <c r="AP21" s="4">
        <f t="shared" si="13"/>
        <v>254.44444444444446</v>
      </c>
      <c r="AQ21" s="4">
        <f t="shared" si="14"/>
        <v>0</v>
      </c>
      <c r="AR21" s="5">
        <v>46158</v>
      </c>
      <c r="AS21" s="5">
        <v>46161</v>
      </c>
      <c r="AT21" s="5">
        <v>46168</v>
      </c>
      <c r="AU21" s="2" t="str">
        <f t="shared" si="15"/>
        <v>ACTIVE</v>
      </c>
      <c r="AV21" s="2"/>
      <c r="AW21" s="2">
        <f t="shared" si="16"/>
        <v>0</v>
      </c>
      <c r="AX21" s="6"/>
      <c r="AY21" s="6"/>
    </row>
    <row r="22" spans="1:51" x14ac:dyDescent="0.25">
      <c r="A22" s="7" t="str">
        <f t="shared" si="0"/>
        <v>ACTIVE</v>
      </c>
      <c r="B22" s="2" t="s">
        <v>156</v>
      </c>
      <c r="C22" s="2" t="s">
        <v>157</v>
      </c>
      <c r="D22" s="2" t="s">
        <v>158</v>
      </c>
      <c r="E22" s="2" t="s">
        <v>47</v>
      </c>
      <c r="F22" s="2"/>
      <c r="G22" s="2" t="s">
        <v>166</v>
      </c>
      <c r="H22" s="2" t="s">
        <v>208</v>
      </c>
      <c r="I22" s="2" t="s">
        <v>82</v>
      </c>
      <c r="J22" s="2" t="s">
        <v>209</v>
      </c>
      <c r="K22" s="2" t="s">
        <v>210</v>
      </c>
      <c r="L22" s="2">
        <v>6396468391</v>
      </c>
      <c r="M22" s="2">
        <v>20000</v>
      </c>
      <c r="N22" s="2">
        <v>1580</v>
      </c>
      <c r="O22" s="2">
        <f t="shared" si="1"/>
        <v>18420</v>
      </c>
      <c r="P22" s="2">
        <v>810</v>
      </c>
      <c r="Q22" s="11">
        <f t="shared" si="2"/>
        <v>0</v>
      </c>
      <c r="R22" s="11">
        <v>0</v>
      </c>
      <c r="S22" s="2">
        <v>36</v>
      </c>
      <c r="T22" s="7">
        <v>12</v>
      </c>
      <c r="U22" s="2">
        <f t="shared" si="3"/>
        <v>24</v>
      </c>
      <c r="V22" s="2"/>
      <c r="W22" s="8"/>
      <c r="X22" s="3"/>
      <c r="Y22" s="2">
        <f t="shared" si="4"/>
        <v>9720</v>
      </c>
      <c r="Z22" s="2">
        <f t="shared" si="5"/>
        <v>19440</v>
      </c>
      <c r="AA22" s="2" t="s">
        <v>53</v>
      </c>
      <c r="AB22" s="2" t="s">
        <v>82</v>
      </c>
      <c r="AC22" s="2">
        <f t="shared" si="6"/>
        <v>0</v>
      </c>
      <c r="AD22" s="2">
        <v>0</v>
      </c>
      <c r="AE22" s="2">
        <f t="shared" si="7"/>
        <v>0</v>
      </c>
      <c r="AF22" s="2">
        <f t="shared" si="8"/>
        <v>0</v>
      </c>
      <c r="AG22" s="2">
        <v>0</v>
      </c>
      <c r="AH22" s="2" t="str">
        <f t="shared" si="9"/>
        <v>NO</v>
      </c>
      <c r="AI22" s="2">
        <f t="shared" si="10"/>
        <v>19440</v>
      </c>
      <c r="AJ22" s="2" t="s">
        <v>50</v>
      </c>
      <c r="AK22" s="2"/>
      <c r="AL22" s="2"/>
      <c r="AM22" s="2">
        <f t="shared" si="11"/>
        <v>29160</v>
      </c>
      <c r="AN22" s="2">
        <f t="shared" si="12"/>
        <v>9160</v>
      </c>
      <c r="AO22" s="2">
        <v>0</v>
      </c>
      <c r="AP22" s="4">
        <f t="shared" si="13"/>
        <v>254.44444444444446</v>
      </c>
      <c r="AQ22" s="4">
        <f t="shared" si="14"/>
        <v>0</v>
      </c>
      <c r="AR22" s="5">
        <v>46161</v>
      </c>
      <c r="AS22" s="5">
        <v>46162</v>
      </c>
      <c r="AT22" s="5">
        <v>46168</v>
      </c>
      <c r="AU22" s="2" t="str">
        <f t="shared" si="15"/>
        <v>ACTIVE</v>
      </c>
      <c r="AV22" s="2"/>
      <c r="AW22" s="2">
        <f t="shared" si="16"/>
        <v>0</v>
      </c>
      <c r="AX22" s="6"/>
      <c r="AY22" s="6"/>
    </row>
    <row r="23" spans="1:51" x14ac:dyDescent="0.25">
      <c r="A23" s="7" t="str">
        <f t="shared" si="0"/>
        <v>ACTIVE</v>
      </c>
      <c r="B23" s="2" t="s">
        <v>156</v>
      </c>
      <c r="C23" s="2" t="s">
        <v>157</v>
      </c>
      <c r="D23" s="2" t="s">
        <v>158</v>
      </c>
      <c r="E23" s="2" t="s">
        <v>47</v>
      </c>
      <c r="F23" s="2"/>
      <c r="G23" s="2" t="s">
        <v>166</v>
      </c>
      <c r="H23" s="2" t="s">
        <v>208</v>
      </c>
      <c r="I23" s="2" t="s">
        <v>84</v>
      </c>
      <c r="J23" s="2" t="s">
        <v>55</v>
      </c>
      <c r="K23" s="2" t="s">
        <v>211</v>
      </c>
      <c r="L23" s="2">
        <v>6396207660</v>
      </c>
      <c r="M23" s="2">
        <v>10000</v>
      </c>
      <c r="N23" s="2">
        <v>820</v>
      </c>
      <c r="O23" s="2">
        <f t="shared" si="1"/>
        <v>9180</v>
      </c>
      <c r="P23" s="2">
        <v>520</v>
      </c>
      <c r="Q23" s="11">
        <f t="shared" si="2"/>
        <v>0</v>
      </c>
      <c r="R23" s="11">
        <v>0</v>
      </c>
      <c r="S23" s="2">
        <v>28</v>
      </c>
      <c r="T23" s="7">
        <v>12</v>
      </c>
      <c r="U23" s="2">
        <f t="shared" si="3"/>
        <v>16</v>
      </c>
      <c r="V23" s="2"/>
      <c r="W23" s="8"/>
      <c r="X23" s="3"/>
      <c r="Y23" s="2">
        <f t="shared" si="4"/>
        <v>6240</v>
      </c>
      <c r="Z23" s="2">
        <f t="shared" si="5"/>
        <v>8320</v>
      </c>
      <c r="AA23" s="2" t="s">
        <v>53</v>
      </c>
      <c r="AB23" s="2" t="s">
        <v>84</v>
      </c>
      <c r="AC23" s="2">
        <f t="shared" si="6"/>
        <v>0</v>
      </c>
      <c r="AD23" s="2">
        <v>0</v>
      </c>
      <c r="AE23" s="2">
        <f t="shared" si="7"/>
        <v>0</v>
      </c>
      <c r="AF23" s="2">
        <f t="shared" si="8"/>
        <v>0</v>
      </c>
      <c r="AG23" s="2">
        <v>0</v>
      </c>
      <c r="AH23" s="2" t="str">
        <f t="shared" si="9"/>
        <v>NO</v>
      </c>
      <c r="AI23" s="2">
        <f t="shared" si="10"/>
        <v>8320</v>
      </c>
      <c r="AJ23" s="2" t="s">
        <v>50</v>
      </c>
      <c r="AK23" s="2"/>
      <c r="AL23" s="2"/>
      <c r="AM23" s="2">
        <f t="shared" si="11"/>
        <v>14560</v>
      </c>
      <c r="AN23" s="2">
        <f t="shared" si="12"/>
        <v>4560</v>
      </c>
      <c r="AO23" s="2">
        <v>0</v>
      </c>
      <c r="AP23" s="4">
        <f t="shared" si="13"/>
        <v>162.85714285714286</v>
      </c>
      <c r="AQ23" s="4">
        <f t="shared" si="14"/>
        <v>0</v>
      </c>
      <c r="AR23" s="5">
        <v>46161</v>
      </c>
      <c r="AS23" s="5">
        <v>46162</v>
      </c>
      <c r="AT23" s="5">
        <v>46168</v>
      </c>
      <c r="AU23" s="2" t="str">
        <f t="shared" si="15"/>
        <v>ACTIVE</v>
      </c>
      <c r="AV23" s="2"/>
      <c r="AW23" s="2">
        <f t="shared" si="16"/>
        <v>0</v>
      </c>
      <c r="AX23" s="6"/>
      <c r="AY23" s="6"/>
    </row>
    <row r="24" spans="1:51" x14ac:dyDescent="0.25">
      <c r="A24" s="7" t="str">
        <f t="shared" si="0"/>
        <v>ACTIVE</v>
      </c>
      <c r="B24" s="2" t="s">
        <v>156</v>
      </c>
      <c r="C24" s="2" t="s">
        <v>157</v>
      </c>
      <c r="D24" s="2" t="s">
        <v>158</v>
      </c>
      <c r="E24" s="2" t="s">
        <v>47</v>
      </c>
      <c r="F24" s="2"/>
      <c r="G24" s="2" t="s">
        <v>166</v>
      </c>
      <c r="H24" s="2" t="s">
        <v>208</v>
      </c>
      <c r="I24" s="2" t="s">
        <v>85</v>
      </c>
      <c r="J24" s="2" t="s">
        <v>212</v>
      </c>
      <c r="K24" s="2" t="s">
        <v>76</v>
      </c>
      <c r="L24" s="2">
        <v>8445992449</v>
      </c>
      <c r="M24" s="2">
        <v>20000</v>
      </c>
      <c r="N24" s="2">
        <v>1580</v>
      </c>
      <c r="O24" s="2">
        <f t="shared" si="1"/>
        <v>18420</v>
      </c>
      <c r="P24" s="2">
        <v>810</v>
      </c>
      <c r="Q24" s="11">
        <f t="shared" si="2"/>
        <v>0</v>
      </c>
      <c r="R24" s="11">
        <v>0</v>
      </c>
      <c r="S24" s="2">
        <v>36</v>
      </c>
      <c r="T24" s="7">
        <v>12</v>
      </c>
      <c r="U24" s="2">
        <f t="shared" si="3"/>
        <v>24</v>
      </c>
      <c r="V24" s="2"/>
      <c r="W24" s="8"/>
      <c r="X24" s="3"/>
      <c r="Y24" s="2">
        <f t="shared" si="4"/>
        <v>9720</v>
      </c>
      <c r="Z24" s="2">
        <f t="shared" si="5"/>
        <v>19440</v>
      </c>
      <c r="AA24" s="2" t="s">
        <v>53</v>
      </c>
      <c r="AB24" s="2" t="s">
        <v>85</v>
      </c>
      <c r="AC24" s="2">
        <f t="shared" si="6"/>
        <v>0</v>
      </c>
      <c r="AD24" s="2">
        <v>0</v>
      </c>
      <c r="AE24" s="2">
        <f t="shared" si="7"/>
        <v>0</v>
      </c>
      <c r="AF24" s="2">
        <f t="shared" si="8"/>
        <v>0</v>
      </c>
      <c r="AG24" s="2">
        <v>0</v>
      </c>
      <c r="AH24" s="2" t="str">
        <f t="shared" si="9"/>
        <v>NO</v>
      </c>
      <c r="AI24" s="2">
        <f t="shared" si="10"/>
        <v>19440</v>
      </c>
      <c r="AJ24" s="2" t="s">
        <v>50</v>
      </c>
      <c r="AK24" s="2"/>
      <c r="AL24" s="2"/>
      <c r="AM24" s="2">
        <f t="shared" si="11"/>
        <v>29160</v>
      </c>
      <c r="AN24" s="2">
        <f t="shared" si="12"/>
        <v>9160</v>
      </c>
      <c r="AO24" s="2">
        <v>0</v>
      </c>
      <c r="AP24" s="4">
        <f t="shared" si="13"/>
        <v>254.44444444444446</v>
      </c>
      <c r="AQ24" s="4">
        <f t="shared" si="14"/>
        <v>0</v>
      </c>
      <c r="AR24" s="5">
        <v>46161</v>
      </c>
      <c r="AS24" s="5">
        <v>46164</v>
      </c>
      <c r="AT24" s="5">
        <v>46168</v>
      </c>
      <c r="AU24" s="2" t="str">
        <f t="shared" si="15"/>
        <v>ACTIVE</v>
      </c>
      <c r="AV24" s="2"/>
      <c r="AW24" s="2">
        <f t="shared" si="16"/>
        <v>0</v>
      </c>
      <c r="AX24" s="6"/>
      <c r="AY24" s="6"/>
    </row>
    <row r="25" spans="1:51" x14ac:dyDescent="0.25">
      <c r="A25" s="7" t="str">
        <f t="shared" si="0"/>
        <v>ACTIVE</v>
      </c>
      <c r="B25" s="2" t="s">
        <v>156</v>
      </c>
      <c r="C25" s="2" t="s">
        <v>157</v>
      </c>
      <c r="D25" s="2" t="s">
        <v>158</v>
      </c>
      <c r="E25" s="2" t="s">
        <v>47</v>
      </c>
      <c r="F25" s="2"/>
      <c r="G25" s="2" t="s">
        <v>166</v>
      </c>
      <c r="H25" s="2" t="s">
        <v>208</v>
      </c>
      <c r="I25" s="2" t="s">
        <v>87</v>
      </c>
      <c r="J25" s="2" t="s">
        <v>213</v>
      </c>
      <c r="K25" s="2" t="s">
        <v>214</v>
      </c>
      <c r="L25" s="2">
        <v>9411611874</v>
      </c>
      <c r="M25" s="2">
        <v>10000</v>
      </c>
      <c r="N25" s="2">
        <v>820</v>
      </c>
      <c r="O25" s="2">
        <f t="shared" si="1"/>
        <v>9180</v>
      </c>
      <c r="P25" s="2">
        <v>520</v>
      </c>
      <c r="Q25" s="11">
        <f t="shared" si="2"/>
        <v>0</v>
      </c>
      <c r="R25" s="11">
        <v>0</v>
      </c>
      <c r="S25" s="2">
        <v>28</v>
      </c>
      <c r="T25" s="7">
        <v>12</v>
      </c>
      <c r="U25" s="2">
        <f t="shared" si="3"/>
        <v>16</v>
      </c>
      <c r="V25" s="2"/>
      <c r="W25" s="8"/>
      <c r="X25" s="3"/>
      <c r="Y25" s="2">
        <f t="shared" si="4"/>
        <v>6240</v>
      </c>
      <c r="Z25" s="2">
        <f t="shared" si="5"/>
        <v>8320</v>
      </c>
      <c r="AA25" s="2" t="s">
        <v>53</v>
      </c>
      <c r="AB25" s="2" t="s">
        <v>87</v>
      </c>
      <c r="AC25" s="2">
        <f t="shared" si="6"/>
        <v>0</v>
      </c>
      <c r="AD25" s="2">
        <v>0</v>
      </c>
      <c r="AE25" s="2">
        <f t="shared" si="7"/>
        <v>0</v>
      </c>
      <c r="AF25" s="2">
        <f t="shared" si="8"/>
        <v>0</v>
      </c>
      <c r="AG25" s="2">
        <v>0</v>
      </c>
      <c r="AH25" s="2" t="str">
        <f t="shared" si="9"/>
        <v>NO</v>
      </c>
      <c r="AI25" s="2">
        <f t="shared" si="10"/>
        <v>8320</v>
      </c>
      <c r="AJ25" s="2" t="s">
        <v>50</v>
      </c>
      <c r="AK25" s="2"/>
      <c r="AL25" s="2"/>
      <c r="AM25" s="2">
        <f t="shared" si="11"/>
        <v>14560</v>
      </c>
      <c r="AN25" s="2">
        <f t="shared" si="12"/>
        <v>4560</v>
      </c>
      <c r="AO25" s="2">
        <v>0</v>
      </c>
      <c r="AP25" s="4">
        <f t="shared" si="13"/>
        <v>162.85714285714286</v>
      </c>
      <c r="AQ25" s="4">
        <f t="shared" si="14"/>
        <v>0</v>
      </c>
      <c r="AR25" s="5">
        <v>46161</v>
      </c>
      <c r="AS25" s="5">
        <v>46164</v>
      </c>
      <c r="AT25" s="5">
        <v>46168</v>
      </c>
      <c r="AU25" s="2" t="str">
        <f t="shared" si="15"/>
        <v>ACTIVE</v>
      </c>
      <c r="AV25" s="2"/>
      <c r="AW25" s="2">
        <f t="shared" si="16"/>
        <v>0</v>
      </c>
      <c r="AX25" s="6"/>
      <c r="AY25" s="6"/>
    </row>
    <row r="26" spans="1:51" x14ac:dyDescent="0.25">
      <c r="A26" s="7" t="str">
        <f t="shared" si="0"/>
        <v>ACTIVE</v>
      </c>
      <c r="B26" s="2" t="s">
        <v>156</v>
      </c>
      <c r="C26" s="2" t="s">
        <v>157</v>
      </c>
      <c r="D26" s="2" t="s">
        <v>158</v>
      </c>
      <c r="E26" s="2" t="s">
        <v>47</v>
      </c>
      <c r="F26" s="2"/>
      <c r="G26" s="2" t="s">
        <v>166</v>
      </c>
      <c r="H26" s="2" t="s">
        <v>215</v>
      </c>
      <c r="I26" s="2" t="s">
        <v>88</v>
      </c>
      <c r="J26" s="2" t="s">
        <v>216</v>
      </c>
      <c r="K26" s="2" t="s">
        <v>217</v>
      </c>
      <c r="L26" s="2">
        <v>9557832745</v>
      </c>
      <c r="M26" s="2">
        <v>20000</v>
      </c>
      <c r="N26" s="2">
        <v>1580</v>
      </c>
      <c r="O26" s="2">
        <f t="shared" si="1"/>
        <v>18420</v>
      </c>
      <c r="P26" s="2">
        <v>810</v>
      </c>
      <c r="Q26" s="11">
        <f t="shared" si="2"/>
        <v>0</v>
      </c>
      <c r="R26" s="11">
        <v>0</v>
      </c>
      <c r="S26" s="2">
        <v>36</v>
      </c>
      <c r="T26" s="7">
        <v>12</v>
      </c>
      <c r="U26" s="2">
        <f t="shared" si="3"/>
        <v>24</v>
      </c>
      <c r="V26" s="2"/>
      <c r="W26" s="8"/>
      <c r="X26" s="3"/>
      <c r="Y26" s="2">
        <f t="shared" si="4"/>
        <v>9720</v>
      </c>
      <c r="Z26" s="2">
        <f t="shared" si="5"/>
        <v>19440</v>
      </c>
      <c r="AA26" s="2" t="s">
        <v>53</v>
      </c>
      <c r="AB26" s="2" t="s">
        <v>88</v>
      </c>
      <c r="AC26" s="2">
        <f t="shared" si="6"/>
        <v>0</v>
      </c>
      <c r="AD26" s="2">
        <v>0</v>
      </c>
      <c r="AE26" s="2">
        <f t="shared" si="7"/>
        <v>0</v>
      </c>
      <c r="AF26" s="2">
        <f t="shared" si="8"/>
        <v>0</v>
      </c>
      <c r="AG26" s="2">
        <v>0</v>
      </c>
      <c r="AH26" s="2" t="str">
        <f t="shared" si="9"/>
        <v>NO</v>
      </c>
      <c r="AI26" s="2">
        <f t="shared" si="10"/>
        <v>19440</v>
      </c>
      <c r="AJ26" s="2" t="s">
        <v>50</v>
      </c>
      <c r="AK26" s="2"/>
      <c r="AL26" s="2"/>
      <c r="AM26" s="2">
        <f t="shared" si="11"/>
        <v>29160</v>
      </c>
      <c r="AN26" s="2">
        <f t="shared" si="12"/>
        <v>9160</v>
      </c>
      <c r="AO26" s="2">
        <v>0</v>
      </c>
      <c r="AP26" s="4">
        <f t="shared" si="13"/>
        <v>254.44444444444446</v>
      </c>
      <c r="AQ26" s="4">
        <f t="shared" si="14"/>
        <v>0</v>
      </c>
      <c r="AR26" s="5">
        <v>46161</v>
      </c>
      <c r="AS26" s="5">
        <v>46164</v>
      </c>
      <c r="AT26" s="5">
        <v>46168</v>
      </c>
      <c r="AU26" s="2" t="str">
        <f t="shared" si="15"/>
        <v>ACTIVE</v>
      </c>
      <c r="AV26" s="2"/>
      <c r="AW26" s="2">
        <f t="shared" si="16"/>
        <v>0</v>
      </c>
      <c r="AX26" s="6"/>
      <c r="AY26" s="6"/>
    </row>
    <row r="27" spans="1:51" x14ac:dyDescent="0.25">
      <c r="A27" s="7" t="str">
        <f t="shared" si="0"/>
        <v>ACTIVE</v>
      </c>
      <c r="B27" s="2" t="s">
        <v>156</v>
      </c>
      <c r="C27" s="2" t="s">
        <v>157</v>
      </c>
      <c r="D27" s="2" t="s">
        <v>158</v>
      </c>
      <c r="E27" s="2" t="s">
        <v>47</v>
      </c>
      <c r="F27" s="2"/>
      <c r="G27" s="2" t="s">
        <v>166</v>
      </c>
      <c r="H27" s="2" t="s">
        <v>218</v>
      </c>
      <c r="I27" s="2" t="s">
        <v>89</v>
      </c>
      <c r="J27" s="2" t="s">
        <v>219</v>
      </c>
      <c r="K27" s="2" t="s">
        <v>220</v>
      </c>
      <c r="L27" s="2">
        <v>8534887576</v>
      </c>
      <c r="M27" s="2">
        <v>20000</v>
      </c>
      <c r="N27" s="2">
        <v>1580</v>
      </c>
      <c r="O27" s="2">
        <f t="shared" si="1"/>
        <v>18420</v>
      </c>
      <c r="P27" s="2">
        <v>810</v>
      </c>
      <c r="Q27" s="11">
        <f t="shared" si="2"/>
        <v>0</v>
      </c>
      <c r="R27" s="11">
        <v>0</v>
      </c>
      <c r="S27" s="2">
        <v>36</v>
      </c>
      <c r="T27" s="7">
        <v>12</v>
      </c>
      <c r="U27" s="2">
        <f t="shared" si="3"/>
        <v>24</v>
      </c>
      <c r="V27" s="2"/>
      <c r="W27" s="8"/>
      <c r="X27" s="3"/>
      <c r="Y27" s="2">
        <f t="shared" si="4"/>
        <v>9720</v>
      </c>
      <c r="Z27" s="2">
        <f t="shared" si="5"/>
        <v>19440</v>
      </c>
      <c r="AA27" s="2" t="s">
        <v>53</v>
      </c>
      <c r="AB27" s="2" t="s">
        <v>89</v>
      </c>
      <c r="AC27" s="2">
        <f t="shared" si="6"/>
        <v>0</v>
      </c>
      <c r="AD27" s="2">
        <v>0</v>
      </c>
      <c r="AE27" s="2">
        <f t="shared" si="7"/>
        <v>0</v>
      </c>
      <c r="AF27" s="2">
        <f t="shared" si="8"/>
        <v>0</v>
      </c>
      <c r="AG27" s="2">
        <v>0</v>
      </c>
      <c r="AH27" s="2" t="str">
        <f t="shared" si="9"/>
        <v>NO</v>
      </c>
      <c r="AI27" s="2">
        <f t="shared" si="10"/>
        <v>19440</v>
      </c>
      <c r="AJ27" s="2" t="s">
        <v>50</v>
      </c>
      <c r="AK27" s="2"/>
      <c r="AL27" s="2"/>
      <c r="AM27" s="2">
        <f t="shared" si="11"/>
        <v>29160</v>
      </c>
      <c r="AN27" s="2">
        <f t="shared" si="12"/>
        <v>9160</v>
      </c>
      <c r="AO27" s="2">
        <v>0</v>
      </c>
      <c r="AP27" s="4">
        <f t="shared" si="13"/>
        <v>254.44444444444446</v>
      </c>
      <c r="AQ27" s="4">
        <f t="shared" si="14"/>
        <v>0</v>
      </c>
      <c r="AR27" s="5">
        <v>46161</v>
      </c>
      <c r="AS27" s="5">
        <v>46164</v>
      </c>
      <c r="AT27" s="5">
        <v>46168</v>
      </c>
      <c r="AU27" s="2" t="str">
        <f t="shared" si="15"/>
        <v>ACTIVE</v>
      </c>
      <c r="AV27" s="2"/>
      <c r="AW27" s="2">
        <f t="shared" si="16"/>
        <v>0</v>
      </c>
      <c r="AX27" s="6"/>
      <c r="AY27" s="6"/>
    </row>
    <row r="28" spans="1:51" hidden="1" x14ac:dyDescent="0.25">
      <c r="A28" s="7" t="str">
        <f t="shared" si="0"/>
        <v>ACTIVE</v>
      </c>
      <c r="B28" s="2" t="s">
        <v>156</v>
      </c>
      <c r="C28" s="2" t="s">
        <v>157</v>
      </c>
      <c r="D28" s="2" t="s">
        <v>158</v>
      </c>
      <c r="E28" s="2" t="s">
        <v>47</v>
      </c>
      <c r="F28" s="2"/>
      <c r="G28" s="2" t="s">
        <v>160</v>
      </c>
      <c r="H28" s="2" t="s">
        <v>221</v>
      </c>
      <c r="I28" s="2" t="s">
        <v>90</v>
      </c>
      <c r="J28" s="2" t="s">
        <v>222</v>
      </c>
      <c r="K28" s="2" t="s">
        <v>223</v>
      </c>
      <c r="L28" s="2">
        <v>9457303017</v>
      </c>
      <c r="M28" s="2">
        <v>10000</v>
      </c>
      <c r="N28" s="2">
        <v>820</v>
      </c>
      <c r="O28" s="2">
        <f t="shared" si="1"/>
        <v>9180</v>
      </c>
      <c r="P28" s="2">
        <v>520</v>
      </c>
      <c r="Q28" s="11">
        <f t="shared" si="2"/>
        <v>0</v>
      </c>
      <c r="R28" s="11">
        <v>0</v>
      </c>
      <c r="S28" s="2">
        <v>28</v>
      </c>
      <c r="T28" s="7">
        <v>12</v>
      </c>
      <c r="U28" s="2">
        <f t="shared" si="3"/>
        <v>16</v>
      </c>
      <c r="V28" s="2"/>
      <c r="W28" s="8"/>
      <c r="X28" s="9"/>
      <c r="Y28" s="2">
        <f t="shared" si="4"/>
        <v>6240</v>
      </c>
      <c r="Z28" s="2">
        <f t="shared" si="5"/>
        <v>8320</v>
      </c>
      <c r="AA28" s="2" t="s">
        <v>49</v>
      </c>
      <c r="AB28" s="2" t="s">
        <v>90</v>
      </c>
      <c r="AC28" s="2">
        <f t="shared" si="6"/>
        <v>0</v>
      </c>
      <c r="AD28" s="2">
        <v>0</v>
      </c>
      <c r="AE28" s="2">
        <f t="shared" si="7"/>
        <v>0</v>
      </c>
      <c r="AF28" s="2">
        <f t="shared" si="8"/>
        <v>0</v>
      </c>
      <c r="AG28" s="2">
        <v>0</v>
      </c>
      <c r="AH28" s="2" t="str">
        <f t="shared" si="9"/>
        <v>NO</v>
      </c>
      <c r="AI28" s="2">
        <f t="shared" si="10"/>
        <v>8320</v>
      </c>
      <c r="AJ28" s="2" t="s">
        <v>50</v>
      </c>
      <c r="AK28" s="2"/>
      <c r="AL28" s="2"/>
      <c r="AM28" s="2">
        <f t="shared" si="11"/>
        <v>14560</v>
      </c>
      <c r="AN28" s="2">
        <f t="shared" si="12"/>
        <v>4560</v>
      </c>
      <c r="AO28" s="2">
        <v>0</v>
      </c>
      <c r="AP28" s="4">
        <f t="shared" si="13"/>
        <v>162.85714285714286</v>
      </c>
      <c r="AQ28" s="4">
        <f t="shared" si="14"/>
        <v>0</v>
      </c>
      <c r="AR28" s="5">
        <v>46162</v>
      </c>
      <c r="AS28" s="5">
        <v>46164</v>
      </c>
      <c r="AT28" s="5">
        <v>46169</v>
      </c>
      <c r="AU28" s="2" t="str">
        <f t="shared" si="15"/>
        <v>ACTIVE</v>
      </c>
      <c r="AV28" s="2"/>
      <c r="AW28" s="2">
        <f t="shared" si="16"/>
        <v>0</v>
      </c>
      <c r="AX28" s="6"/>
      <c r="AY28" s="6"/>
    </row>
    <row r="29" spans="1:51" hidden="1" x14ac:dyDescent="0.25">
      <c r="A29" s="7" t="str">
        <f t="shared" si="0"/>
        <v>ACTIVE</v>
      </c>
      <c r="B29" s="2" t="s">
        <v>156</v>
      </c>
      <c r="C29" s="2" t="s">
        <v>157</v>
      </c>
      <c r="D29" s="2" t="s">
        <v>158</v>
      </c>
      <c r="E29" s="2" t="s">
        <v>47</v>
      </c>
      <c r="F29" s="2"/>
      <c r="G29" s="2" t="s">
        <v>166</v>
      </c>
      <c r="H29" s="2" t="s">
        <v>193</v>
      </c>
      <c r="I29" s="2" t="s">
        <v>91</v>
      </c>
      <c r="J29" s="2" t="s">
        <v>117</v>
      </c>
      <c r="K29" s="2" t="s">
        <v>224</v>
      </c>
      <c r="L29" s="2">
        <v>8864814546</v>
      </c>
      <c r="M29" s="2">
        <v>20000</v>
      </c>
      <c r="N29" s="2">
        <v>1580</v>
      </c>
      <c r="O29" s="2">
        <f t="shared" si="1"/>
        <v>18420</v>
      </c>
      <c r="P29" s="2">
        <v>810</v>
      </c>
      <c r="Q29" s="11">
        <f t="shared" si="2"/>
        <v>0</v>
      </c>
      <c r="R29" s="11">
        <v>0</v>
      </c>
      <c r="S29" s="2">
        <v>36</v>
      </c>
      <c r="T29" s="7">
        <v>12</v>
      </c>
      <c r="U29" s="2">
        <f t="shared" si="3"/>
        <v>24</v>
      </c>
      <c r="V29" s="2"/>
      <c r="W29" s="8"/>
      <c r="X29" s="3"/>
      <c r="Y29" s="2">
        <f t="shared" si="4"/>
        <v>9720</v>
      </c>
      <c r="Z29" s="2">
        <f t="shared" si="5"/>
        <v>19440</v>
      </c>
      <c r="AA29" s="2" t="s">
        <v>67</v>
      </c>
      <c r="AB29" s="2" t="s">
        <v>91</v>
      </c>
      <c r="AC29" s="2">
        <f t="shared" si="6"/>
        <v>0</v>
      </c>
      <c r="AD29" s="2">
        <v>0</v>
      </c>
      <c r="AE29" s="2">
        <f t="shared" si="7"/>
        <v>0</v>
      </c>
      <c r="AF29" s="2">
        <f t="shared" si="8"/>
        <v>0</v>
      </c>
      <c r="AG29" s="2">
        <v>0</v>
      </c>
      <c r="AH29" s="2" t="str">
        <f t="shared" si="9"/>
        <v>NO</v>
      </c>
      <c r="AI29" s="2">
        <f t="shared" si="10"/>
        <v>19440</v>
      </c>
      <c r="AJ29" s="2" t="s">
        <v>50</v>
      </c>
      <c r="AK29" s="2"/>
      <c r="AL29" s="2"/>
      <c r="AM29" s="2">
        <f t="shared" si="11"/>
        <v>29160</v>
      </c>
      <c r="AN29" s="2">
        <f t="shared" si="12"/>
        <v>9160</v>
      </c>
      <c r="AO29" s="2">
        <v>0</v>
      </c>
      <c r="AP29" s="4">
        <f t="shared" si="13"/>
        <v>254.44444444444446</v>
      </c>
      <c r="AQ29" s="4">
        <f t="shared" si="14"/>
        <v>0</v>
      </c>
      <c r="AR29" s="5">
        <v>46162</v>
      </c>
      <c r="AS29" s="5">
        <v>46164</v>
      </c>
      <c r="AT29" s="5">
        <v>46170</v>
      </c>
      <c r="AU29" s="2" t="str">
        <f t="shared" si="15"/>
        <v>ACTIVE</v>
      </c>
      <c r="AV29" s="2"/>
      <c r="AW29" s="2">
        <f t="shared" si="16"/>
        <v>0</v>
      </c>
      <c r="AX29" s="6"/>
      <c r="AY29" s="6"/>
    </row>
    <row r="30" spans="1:51" hidden="1" x14ac:dyDescent="0.25">
      <c r="A30" s="7" t="str">
        <f t="shared" si="0"/>
        <v>ACTIVE</v>
      </c>
      <c r="B30" s="2" t="s">
        <v>156</v>
      </c>
      <c r="C30" s="2" t="s">
        <v>157</v>
      </c>
      <c r="D30" s="2" t="s">
        <v>158</v>
      </c>
      <c r="E30" s="2" t="s">
        <v>47</v>
      </c>
      <c r="F30" s="2"/>
      <c r="G30" s="2" t="s">
        <v>166</v>
      </c>
      <c r="H30" s="2" t="s">
        <v>225</v>
      </c>
      <c r="I30" s="2" t="s">
        <v>93</v>
      </c>
      <c r="J30" s="2" t="s">
        <v>226</v>
      </c>
      <c r="K30" s="2" t="s">
        <v>118</v>
      </c>
      <c r="L30" s="2">
        <v>7037081981</v>
      </c>
      <c r="M30" s="2">
        <v>20000</v>
      </c>
      <c r="N30" s="2">
        <v>1580</v>
      </c>
      <c r="O30" s="2">
        <f t="shared" si="1"/>
        <v>18420</v>
      </c>
      <c r="P30" s="2">
        <v>810</v>
      </c>
      <c r="Q30" s="11">
        <f t="shared" si="2"/>
        <v>0</v>
      </c>
      <c r="R30" s="11">
        <v>0</v>
      </c>
      <c r="S30" s="2">
        <v>36</v>
      </c>
      <c r="T30" s="7">
        <v>12</v>
      </c>
      <c r="U30" s="2">
        <f t="shared" si="3"/>
        <v>24</v>
      </c>
      <c r="V30" s="2"/>
      <c r="W30" s="8"/>
      <c r="X30" s="3"/>
      <c r="Y30" s="2">
        <f t="shared" si="4"/>
        <v>9720</v>
      </c>
      <c r="Z30" s="2">
        <f t="shared" si="5"/>
        <v>19440</v>
      </c>
      <c r="AA30" s="2" t="s">
        <v>67</v>
      </c>
      <c r="AB30" s="2" t="s">
        <v>93</v>
      </c>
      <c r="AC30" s="2">
        <f t="shared" si="6"/>
        <v>0</v>
      </c>
      <c r="AD30" s="2">
        <v>0</v>
      </c>
      <c r="AE30" s="2">
        <f t="shared" si="7"/>
        <v>0</v>
      </c>
      <c r="AF30" s="2">
        <f t="shared" si="8"/>
        <v>0</v>
      </c>
      <c r="AG30" s="2">
        <v>0</v>
      </c>
      <c r="AH30" s="2" t="str">
        <f t="shared" si="9"/>
        <v>NO</v>
      </c>
      <c r="AI30" s="2">
        <f t="shared" si="10"/>
        <v>19440</v>
      </c>
      <c r="AJ30" s="2" t="s">
        <v>50</v>
      </c>
      <c r="AK30" s="2"/>
      <c r="AL30" s="2"/>
      <c r="AM30" s="2">
        <f t="shared" si="11"/>
        <v>29160</v>
      </c>
      <c r="AN30" s="2">
        <f t="shared" si="12"/>
        <v>9160</v>
      </c>
      <c r="AO30" s="2">
        <v>0</v>
      </c>
      <c r="AP30" s="4">
        <f t="shared" si="13"/>
        <v>254.44444444444446</v>
      </c>
      <c r="AQ30" s="4">
        <f t="shared" si="14"/>
        <v>0</v>
      </c>
      <c r="AR30" s="5">
        <v>46162</v>
      </c>
      <c r="AS30" s="5">
        <v>46164</v>
      </c>
      <c r="AT30" s="5">
        <v>46170</v>
      </c>
      <c r="AU30" s="2" t="str">
        <f t="shared" si="15"/>
        <v>ACTIVE</v>
      </c>
      <c r="AV30" s="2"/>
      <c r="AW30" s="2">
        <f t="shared" si="16"/>
        <v>0</v>
      </c>
      <c r="AX30" s="6"/>
      <c r="AY30" s="6"/>
    </row>
    <row r="31" spans="1:51" hidden="1" x14ac:dyDescent="0.25">
      <c r="A31" s="7" t="str">
        <f t="shared" si="0"/>
        <v>ACTIVE</v>
      </c>
      <c r="B31" s="2" t="s">
        <v>156</v>
      </c>
      <c r="C31" s="2" t="s">
        <v>157</v>
      </c>
      <c r="D31" s="2" t="s">
        <v>158</v>
      </c>
      <c r="E31" s="2" t="s">
        <v>47</v>
      </c>
      <c r="F31" s="2"/>
      <c r="G31" s="2" t="s">
        <v>160</v>
      </c>
      <c r="H31" s="2" t="s">
        <v>227</v>
      </c>
      <c r="I31" s="2" t="s">
        <v>94</v>
      </c>
      <c r="J31" s="2" t="s">
        <v>228</v>
      </c>
      <c r="K31" s="2" t="s">
        <v>229</v>
      </c>
      <c r="L31" s="2">
        <v>7830263688</v>
      </c>
      <c r="M31" s="2">
        <v>20000</v>
      </c>
      <c r="N31" s="2">
        <v>1580</v>
      </c>
      <c r="O31" s="2">
        <f t="shared" si="1"/>
        <v>18420</v>
      </c>
      <c r="P31" s="2">
        <v>810</v>
      </c>
      <c r="Q31" s="11">
        <f t="shared" si="2"/>
        <v>0</v>
      </c>
      <c r="R31" s="11">
        <v>0</v>
      </c>
      <c r="S31" s="2">
        <v>36</v>
      </c>
      <c r="T31" s="7">
        <v>12</v>
      </c>
      <c r="U31" s="2">
        <f t="shared" si="3"/>
        <v>24</v>
      </c>
      <c r="V31" s="2"/>
      <c r="W31" s="8"/>
      <c r="X31" s="3"/>
      <c r="Y31" s="2">
        <f t="shared" si="4"/>
        <v>9720</v>
      </c>
      <c r="Z31" s="2">
        <f t="shared" si="5"/>
        <v>19440</v>
      </c>
      <c r="AA31" s="2" t="s">
        <v>57</v>
      </c>
      <c r="AB31" s="2" t="s">
        <v>94</v>
      </c>
      <c r="AC31" s="2">
        <f t="shared" si="6"/>
        <v>0</v>
      </c>
      <c r="AD31" s="2">
        <v>0</v>
      </c>
      <c r="AE31" s="2">
        <f t="shared" si="7"/>
        <v>0</v>
      </c>
      <c r="AF31" s="2">
        <f t="shared" si="8"/>
        <v>0</v>
      </c>
      <c r="AG31" s="2">
        <v>0</v>
      </c>
      <c r="AH31" s="2" t="str">
        <f t="shared" si="9"/>
        <v>NO</v>
      </c>
      <c r="AI31" s="2">
        <f t="shared" si="10"/>
        <v>19440</v>
      </c>
      <c r="AJ31" s="2" t="s">
        <v>50</v>
      </c>
      <c r="AK31" s="2"/>
      <c r="AL31" s="2"/>
      <c r="AM31" s="2">
        <f t="shared" si="11"/>
        <v>29160</v>
      </c>
      <c r="AN31" s="2">
        <f t="shared" si="12"/>
        <v>9160</v>
      </c>
      <c r="AO31" s="2">
        <v>0</v>
      </c>
      <c r="AP31" s="4">
        <f t="shared" si="13"/>
        <v>254.44444444444446</v>
      </c>
      <c r="AQ31" s="4">
        <f t="shared" si="14"/>
        <v>0</v>
      </c>
      <c r="AR31" s="5">
        <v>46162</v>
      </c>
      <c r="AS31" s="5">
        <v>46164</v>
      </c>
      <c r="AT31" s="5">
        <v>46171</v>
      </c>
      <c r="AU31" s="2" t="str">
        <f t="shared" si="15"/>
        <v>ACTIVE</v>
      </c>
      <c r="AV31" s="2"/>
      <c r="AW31" s="2">
        <f t="shared" si="16"/>
        <v>0</v>
      </c>
      <c r="AX31" s="6"/>
      <c r="AY31" s="6"/>
    </row>
    <row r="32" spans="1:51" x14ac:dyDescent="0.25">
      <c r="A32" s="7" t="str">
        <f t="shared" si="0"/>
        <v>ACTIVE</v>
      </c>
      <c r="B32" s="2" t="s">
        <v>156</v>
      </c>
      <c r="C32" s="2" t="s">
        <v>157</v>
      </c>
      <c r="D32" s="2" t="s">
        <v>158</v>
      </c>
      <c r="E32" s="2" t="s">
        <v>47</v>
      </c>
      <c r="F32" s="2"/>
      <c r="G32" s="2" t="s">
        <v>166</v>
      </c>
      <c r="H32" s="2" t="s">
        <v>230</v>
      </c>
      <c r="I32" s="2" t="s">
        <v>95</v>
      </c>
      <c r="J32" s="2" t="s">
        <v>231</v>
      </c>
      <c r="K32" s="2" t="s">
        <v>232</v>
      </c>
      <c r="L32" s="2">
        <v>7273121150</v>
      </c>
      <c r="M32" s="2">
        <v>20000</v>
      </c>
      <c r="N32" s="2">
        <v>1580</v>
      </c>
      <c r="O32" s="2">
        <f t="shared" si="1"/>
        <v>18420</v>
      </c>
      <c r="P32" s="2">
        <v>810</v>
      </c>
      <c r="Q32" s="11">
        <f t="shared" si="2"/>
        <v>0</v>
      </c>
      <c r="R32" s="11">
        <v>0</v>
      </c>
      <c r="S32" s="2">
        <v>36</v>
      </c>
      <c r="T32" s="7">
        <v>12</v>
      </c>
      <c r="U32" s="2">
        <f t="shared" si="3"/>
        <v>24</v>
      </c>
      <c r="V32" s="2"/>
      <c r="W32" s="8"/>
      <c r="X32" s="3"/>
      <c r="Y32" s="2">
        <f t="shared" si="4"/>
        <v>9720</v>
      </c>
      <c r="Z32" s="2">
        <f t="shared" si="5"/>
        <v>19440</v>
      </c>
      <c r="AA32" s="2" t="s">
        <v>53</v>
      </c>
      <c r="AB32" s="2" t="s">
        <v>95</v>
      </c>
      <c r="AC32" s="2">
        <f t="shared" si="6"/>
        <v>0</v>
      </c>
      <c r="AD32" s="2">
        <v>0</v>
      </c>
      <c r="AE32" s="2">
        <f t="shared" si="7"/>
        <v>0</v>
      </c>
      <c r="AF32" s="2">
        <f t="shared" si="8"/>
        <v>0</v>
      </c>
      <c r="AG32" s="2">
        <v>0</v>
      </c>
      <c r="AH32" s="2" t="str">
        <f t="shared" si="9"/>
        <v>NO</v>
      </c>
      <c r="AI32" s="2">
        <f t="shared" si="10"/>
        <v>19440</v>
      </c>
      <c r="AJ32" s="2" t="s">
        <v>50</v>
      </c>
      <c r="AK32" s="2"/>
      <c r="AL32" s="2"/>
      <c r="AM32" s="2">
        <f t="shared" si="11"/>
        <v>29160</v>
      </c>
      <c r="AN32" s="2">
        <f t="shared" si="12"/>
        <v>9160</v>
      </c>
      <c r="AO32" s="2">
        <v>0</v>
      </c>
      <c r="AP32" s="4">
        <f t="shared" si="13"/>
        <v>254.44444444444446</v>
      </c>
      <c r="AQ32" s="4">
        <f t="shared" si="14"/>
        <v>0</v>
      </c>
      <c r="AR32" s="5">
        <v>46161</v>
      </c>
      <c r="AS32" s="5">
        <v>46164</v>
      </c>
      <c r="AT32" s="5">
        <v>46168</v>
      </c>
      <c r="AU32" s="2" t="str">
        <f t="shared" si="15"/>
        <v>ACTIVE</v>
      </c>
      <c r="AV32" s="2"/>
      <c r="AW32" s="2">
        <f t="shared" si="16"/>
        <v>0</v>
      </c>
      <c r="AX32" s="6"/>
      <c r="AY32" s="6"/>
    </row>
    <row r="33" spans="1:51" hidden="1" x14ac:dyDescent="0.25">
      <c r="A33" s="7" t="str">
        <f t="shared" si="0"/>
        <v>ACTIVE</v>
      </c>
      <c r="B33" s="2" t="s">
        <v>156</v>
      </c>
      <c r="C33" s="2" t="s">
        <v>157</v>
      </c>
      <c r="D33" s="2" t="s">
        <v>158</v>
      </c>
      <c r="E33" s="2" t="s">
        <v>47</v>
      </c>
      <c r="F33" s="2"/>
      <c r="G33" s="2" t="s">
        <v>160</v>
      </c>
      <c r="H33" s="2" t="s">
        <v>233</v>
      </c>
      <c r="I33" s="2" t="s">
        <v>96</v>
      </c>
      <c r="J33" s="2" t="s">
        <v>234</v>
      </c>
      <c r="K33" s="2" t="s">
        <v>235</v>
      </c>
      <c r="L33" s="2">
        <v>9568131038</v>
      </c>
      <c r="M33" s="2">
        <v>20000</v>
      </c>
      <c r="N33" s="2">
        <v>1580</v>
      </c>
      <c r="O33" s="2">
        <f t="shared" si="1"/>
        <v>18420</v>
      </c>
      <c r="P33" s="2">
        <v>810</v>
      </c>
      <c r="Q33" s="11">
        <f t="shared" si="2"/>
        <v>0</v>
      </c>
      <c r="R33" s="11">
        <v>0</v>
      </c>
      <c r="S33" s="2">
        <v>36</v>
      </c>
      <c r="T33" s="7">
        <v>12</v>
      </c>
      <c r="U33" s="2">
        <f t="shared" si="3"/>
        <v>24</v>
      </c>
      <c r="V33" s="2"/>
      <c r="W33" s="8"/>
      <c r="X33" s="3"/>
      <c r="Y33" s="2">
        <f t="shared" si="4"/>
        <v>9720</v>
      </c>
      <c r="Z33" s="2">
        <f t="shared" si="5"/>
        <v>19440</v>
      </c>
      <c r="AA33" s="2" t="s">
        <v>49</v>
      </c>
      <c r="AB33" s="2" t="s">
        <v>96</v>
      </c>
      <c r="AC33" s="2">
        <f t="shared" si="6"/>
        <v>0</v>
      </c>
      <c r="AD33" s="2">
        <v>0</v>
      </c>
      <c r="AE33" s="2">
        <f t="shared" si="7"/>
        <v>0</v>
      </c>
      <c r="AF33" s="2">
        <f t="shared" si="8"/>
        <v>0</v>
      </c>
      <c r="AG33" s="2">
        <v>0</v>
      </c>
      <c r="AH33" s="2" t="str">
        <f t="shared" si="9"/>
        <v>NO</v>
      </c>
      <c r="AI33" s="2">
        <f t="shared" si="10"/>
        <v>19440</v>
      </c>
      <c r="AJ33" s="2" t="s">
        <v>50</v>
      </c>
      <c r="AK33" s="2"/>
      <c r="AL33" s="2"/>
      <c r="AM33" s="2">
        <f t="shared" si="11"/>
        <v>29160</v>
      </c>
      <c r="AN33" s="2">
        <f t="shared" si="12"/>
        <v>9160</v>
      </c>
      <c r="AO33" s="2">
        <v>0</v>
      </c>
      <c r="AP33" s="4">
        <f t="shared" si="13"/>
        <v>254.44444444444446</v>
      </c>
      <c r="AQ33" s="4">
        <f t="shared" si="14"/>
        <v>0</v>
      </c>
      <c r="AR33" s="5">
        <v>46162</v>
      </c>
      <c r="AS33" s="5">
        <v>46164</v>
      </c>
      <c r="AT33" s="5">
        <v>46169</v>
      </c>
      <c r="AU33" s="2" t="str">
        <f t="shared" si="15"/>
        <v>ACTIVE</v>
      </c>
      <c r="AV33" s="2"/>
      <c r="AW33" s="2">
        <f t="shared" si="16"/>
        <v>0</v>
      </c>
      <c r="AX33" s="6"/>
      <c r="AY33" s="6"/>
    </row>
    <row r="34" spans="1:51" x14ac:dyDescent="0.25">
      <c r="A34" s="7" t="str">
        <f t="shared" si="0"/>
        <v>ACTIVE</v>
      </c>
      <c r="B34" s="2" t="s">
        <v>156</v>
      </c>
      <c r="C34" s="2" t="s">
        <v>157</v>
      </c>
      <c r="D34" s="2" t="s">
        <v>158</v>
      </c>
      <c r="E34" s="2" t="s">
        <v>47</v>
      </c>
      <c r="F34" s="2"/>
      <c r="G34" s="2" t="s">
        <v>160</v>
      </c>
      <c r="H34" s="2" t="s">
        <v>203</v>
      </c>
      <c r="I34" s="2" t="s">
        <v>97</v>
      </c>
      <c r="J34" s="2" t="s">
        <v>236</v>
      </c>
      <c r="K34" s="2" t="s">
        <v>237</v>
      </c>
      <c r="L34" s="2">
        <v>9837327265</v>
      </c>
      <c r="M34" s="2">
        <v>10000</v>
      </c>
      <c r="N34" s="2">
        <v>820</v>
      </c>
      <c r="O34" s="2">
        <f t="shared" si="1"/>
        <v>9180</v>
      </c>
      <c r="P34" s="2">
        <v>520</v>
      </c>
      <c r="Q34" s="11">
        <f t="shared" si="2"/>
        <v>0</v>
      </c>
      <c r="R34" s="11">
        <v>0</v>
      </c>
      <c r="S34" s="2">
        <v>28</v>
      </c>
      <c r="T34" s="7">
        <v>12</v>
      </c>
      <c r="U34" s="2">
        <f t="shared" si="3"/>
        <v>16</v>
      </c>
      <c r="V34" s="2"/>
      <c r="W34" s="8"/>
      <c r="X34" s="3"/>
      <c r="Y34" s="2">
        <f t="shared" si="4"/>
        <v>6240</v>
      </c>
      <c r="Z34" s="2">
        <f t="shared" si="5"/>
        <v>8320</v>
      </c>
      <c r="AA34" s="2" t="s">
        <v>53</v>
      </c>
      <c r="AB34" s="2" t="s">
        <v>97</v>
      </c>
      <c r="AC34" s="2">
        <f t="shared" si="6"/>
        <v>0</v>
      </c>
      <c r="AD34" s="2">
        <v>0</v>
      </c>
      <c r="AE34" s="2">
        <f t="shared" si="7"/>
        <v>0</v>
      </c>
      <c r="AF34" s="2">
        <f t="shared" si="8"/>
        <v>0</v>
      </c>
      <c r="AG34" s="2">
        <v>0</v>
      </c>
      <c r="AH34" s="2" t="str">
        <f t="shared" si="9"/>
        <v>NO</v>
      </c>
      <c r="AI34" s="2">
        <f t="shared" si="10"/>
        <v>8320</v>
      </c>
      <c r="AJ34" s="2" t="s">
        <v>50</v>
      </c>
      <c r="AK34" s="2"/>
      <c r="AL34" s="2"/>
      <c r="AM34" s="2">
        <f t="shared" si="11"/>
        <v>14560</v>
      </c>
      <c r="AN34" s="2">
        <f t="shared" si="12"/>
        <v>4560</v>
      </c>
      <c r="AO34" s="2">
        <v>0</v>
      </c>
      <c r="AP34" s="4">
        <f t="shared" si="13"/>
        <v>162.85714285714286</v>
      </c>
      <c r="AQ34" s="4">
        <f t="shared" si="14"/>
        <v>0</v>
      </c>
      <c r="AR34" s="5">
        <v>46163</v>
      </c>
      <c r="AS34" s="5">
        <v>46164</v>
      </c>
      <c r="AT34" s="5">
        <v>46168</v>
      </c>
      <c r="AU34" s="2" t="str">
        <f t="shared" si="15"/>
        <v>ACTIVE</v>
      </c>
      <c r="AV34" s="2"/>
      <c r="AW34" s="2">
        <f t="shared" si="16"/>
        <v>0</v>
      </c>
      <c r="AX34" s="6"/>
      <c r="AY34" s="6"/>
    </row>
    <row r="35" spans="1:51" x14ac:dyDescent="0.25">
      <c r="A35" s="7" t="str">
        <f t="shared" si="0"/>
        <v>ACTIVE</v>
      </c>
      <c r="B35" s="2" t="s">
        <v>156</v>
      </c>
      <c r="C35" s="2" t="s">
        <v>157</v>
      </c>
      <c r="D35" s="2" t="s">
        <v>158</v>
      </c>
      <c r="E35" s="2" t="s">
        <v>47</v>
      </c>
      <c r="F35" s="2"/>
      <c r="G35" s="2" t="s">
        <v>160</v>
      </c>
      <c r="H35" s="2" t="s">
        <v>238</v>
      </c>
      <c r="I35" s="2" t="s">
        <v>98</v>
      </c>
      <c r="J35" s="2" t="s">
        <v>143</v>
      </c>
      <c r="K35" s="2" t="s">
        <v>239</v>
      </c>
      <c r="L35" s="2">
        <v>6397755011</v>
      </c>
      <c r="M35" s="2">
        <v>10000</v>
      </c>
      <c r="N35" s="2">
        <v>820</v>
      </c>
      <c r="O35" s="2">
        <f t="shared" si="1"/>
        <v>9180</v>
      </c>
      <c r="P35" s="2">
        <v>520</v>
      </c>
      <c r="Q35" s="11">
        <f t="shared" ref="Q35:Q66" si="17">P35*R35</f>
        <v>0</v>
      </c>
      <c r="R35" s="11">
        <v>0</v>
      </c>
      <c r="S35" s="2">
        <v>28</v>
      </c>
      <c r="T35" s="7">
        <v>12</v>
      </c>
      <c r="U35" s="2">
        <f t="shared" si="3"/>
        <v>16</v>
      </c>
      <c r="V35" s="2"/>
      <c r="W35" s="8"/>
      <c r="X35" s="3"/>
      <c r="Y35" s="2">
        <f t="shared" ref="Y35:Y66" si="18">(T35*P35)-V35+W35</f>
        <v>6240</v>
      </c>
      <c r="Z35" s="2">
        <f t="shared" ref="Z35:Z66" si="19">P35*(R35+U35)+V35-W35</f>
        <v>8320</v>
      </c>
      <c r="AA35" s="2" t="s">
        <v>53</v>
      </c>
      <c r="AB35" s="2" t="s">
        <v>98</v>
      </c>
      <c r="AC35" s="2">
        <f t="shared" si="6"/>
        <v>0</v>
      </c>
      <c r="AD35" s="2">
        <v>0</v>
      </c>
      <c r="AE35" s="2">
        <f t="shared" si="7"/>
        <v>0</v>
      </c>
      <c r="AF35" s="2">
        <f t="shared" si="8"/>
        <v>0</v>
      </c>
      <c r="AG35" s="2">
        <v>0</v>
      </c>
      <c r="AH35" s="2" t="str">
        <f t="shared" si="9"/>
        <v>NO</v>
      </c>
      <c r="AI35" s="2">
        <f t="shared" si="10"/>
        <v>8320</v>
      </c>
      <c r="AJ35" s="2" t="s">
        <v>50</v>
      </c>
      <c r="AK35" s="2"/>
      <c r="AL35" s="2"/>
      <c r="AM35" s="2">
        <f t="shared" ref="AM35:AM66" si="20">P35*S35</f>
        <v>14560</v>
      </c>
      <c r="AN35" s="2">
        <f t="shared" ref="AN35:AN66" si="21">AM35-M35</f>
        <v>4560</v>
      </c>
      <c r="AO35" s="2">
        <v>0</v>
      </c>
      <c r="AP35" s="4">
        <f t="shared" si="13"/>
        <v>162.85714285714286</v>
      </c>
      <c r="AQ35" s="4">
        <f t="shared" si="14"/>
        <v>0</v>
      </c>
      <c r="AR35" s="5">
        <v>46163</v>
      </c>
      <c r="AS35" s="5">
        <v>46164</v>
      </c>
      <c r="AT35" s="5">
        <v>46168</v>
      </c>
      <c r="AU35" s="2" t="str">
        <f t="shared" si="15"/>
        <v>ACTIVE</v>
      </c>
      <c r="AV35" s="2"/>
      <c r="AW35" s="2">
        <f t="shared" si="16"/>
        <v>0</v>
      </c>
      <c r="AX35" s="6"/>
      <c r="AY35" s="6"/>
    </row>
    <row r="36" spans="1:51" x14ac:dyDescent="0.25">
      <c r="A36" s="7" t="str">
        <f t="shared" si="0"/>
        <v>ACTIVE</v>
      </c>
      <c r="B36" s="2" t="s">
        <v>156</v>
      </c>
      <c r="C36" s="2" t="s">
        <v>157</v>
      </c>
      <c r="D36" s="2" t="s">
        <v>158</v>
      </c>
      <c r="E36" s="2" t="s">
        <v>47</v>
      </c>
      <c r="F36" s="2"/>
      <c r="G36" s="2" t="s">
        <v>160</v>
      </c>
      <c r="H36" s="2" t="s">
        <v>203</v>
      </c>
      <c r="I36" s="2" t="s">
        <v>100</v>
      </c>
      <c r="J36" s="2" t="s">
        <v>240</v>
      </c>
      <c r="K36" s="2" t="s">
        <v>241</v>
      </c>
      <c r="L36" s="2">
        <v>8755827893</v>
      </c>
      <c r="M36" s="2">
        <v>15000</v>
      </c>
      <c r="N36" s="2">
        <v>1260</v>
      </c>
      <c r="O36" s="2">
        <f t="shared" si="1"/>
        <v>13740</v>
      </c>
      <c r="P36" s="2">
        <v>730</v>
      </c>
      <c r="Q36" s="11">
        <f t="shared" si="17"/>
        <v>0</v>
      </c>
      <c r="R36" s="11">
        <v>0</v>
      </c>
      <c r="S36" s="2">
        <v>30</v>
      </c>
      <c r="T36" s="7">
        <v>12</v>
      </c>
      <c r="U36" s="2">
        <f t="shared" si="3"/>
        <v>18</v>
      </c>
      <c r="V36" s="2"/>
      <c r="W36" s="8"/>
      <c r="X36" s="3"/>
      <c r="Y36" s="2">
        <f t="shared" si="18"/>
        <v>8760</v>
      </c>
      <c r="Z36" s="2">
        <f t="shared" si="19"/>
        <v>13140</v>
      </c>
      <c r="AA36" s="2" t="s">
        <v>53</v>
      </c>
      <c r="AB36" s="2" t="s">
        <v>100</v>
      </c>
      <c r="AC36" s="2">
        <f t="shared" si="6"/>
        <v>0</v>
      </c>
      <c r="AD36" s="2">
        <v>0</v>
      </c>
      <c r="AE36" s="2">
        <f t="shared" si="7"/>
        <v>0</v>
      </c>
      <c r="AF36" s="2">
        <f t="shared" si="8"/>
        <v>0</v>
      </c>
      <c r="AG36" s="2">
        <v>0</v>
      </c>
      <c r="AH36" s="2" t="str">
        <f t="shared" si="9"/>
        <v>NO</v>
      </c>
      <c r="AI36" s="2">
        <f t="shared" si="10"/>
        <v>13140</v>
      </c>
      <c r="AJ36" s="2" t="s">
        <v>50</v>
      </c>
      <c r="AK36" s="2"/>
      <c r="AL36" s="2"/>
      <c r="AM36" s="2">
        <f t="shared" si="20"/>
        <v>21900</v>
      </c>
      <c r="AN36" s="2">
        <f t="shared" si="21"/>
        <v>6900</v>
      </c>
      <c r="AO36" s="2">
        <v>0</v>
      </c>
      <c r="AP36" s="4">
        <f t="shared" si="13"/>
        <v>230</v>
      </c>
      <c r="AQ36" s="4">
        <f t="shared" si="14"/>
        <v>0</v>
      </c>
      <c r="AR36" s="5">
        <v>46163</v>
      </c>
      <c r="AS36" s="5">
        <v>46165</v>
      </c>
      <c r="AT36" s="5">
        <v>46168</v>
      </c>
      <c r="AU36" s="2" t="str">
        <f t="shared" si="15"/>
        <v>ACTIVE</v>
      </c>
      <c r="AV36" s="2"/>
      <c r="AW36" s="2">
        <f t="shared" si="16"/>
        <v>0</v>
      </c>
      <c r="AX36" s="6"/>
      <c r="AY36" s="6"/>
    </row>
    <row r="37" spans="1:51" x14ac:dyDescent="0.25">
      <c r="A37" s="7" t="str">
        <f t="shared" si="0"/>
        <v>ACTIVE</v>
      </c>
      <c r="B37" s="2" t="s">
        <v>156</v>
      </c>
      <c r="C37" s="2" t="s">
        <v>157</v>
      </c>
      <c r="D37" s="2" t="s">
        <v>158</v>
      </c>
      <c r="E37" s="2" t="s">
        <v>47</v>
      </c>
      <c r="F37" s="2"/>
      <c r="G37" s="2" t="s">
        <v>160</v>
      </c>
      <c r="H37" s="2" t="s">
        <v>203</v>
      </c>
      <c r="I37" s="2" t="s">
        <v>102</v>
      </c>
      <c r="J37" s="2" t="s">
        <v>242</v>
      </c>
      <c r="K37" s="2" t="s">
        <v>243</v>
      </c>
      <c r="L37" s="2">
        <v>9927527375</v>
      </c>
      <c r="M37" s="2">
        <v>15000</v>
      </c>
      <c r="N37" s="2">
        <v>1260</v>
      </c>
      <c r="O37" s="2">
        <f t="shared" si="1"/>
        <v>13740</v>
      </c>
      <c r="P37" s="2">
        <v>730</v>
      </c>
      <c r="Q37" s="11">
        <f t="shared" si="17"/>
        <v>0</v>
      </c>
      <c r="R37" s="11">
        <v>0</v>
      </c>
      <c r="S37" s="2">
        <v>30</v>
      </c>
      <c r="T37" s="7">
        <v>12</v>
      </c>
      <c r="U37" s="2">
        <f t="shared" si="3"/>
        <v>18</v>
      </c>
      <c r="V37" s="2"/>
      <c r="W37" s="8"/>
      <c r="X37" s="3"/>
      <c r="Y37" s="2">
        <f t="shared" si="18"/>
        <v>8760</v>
      </c>
      <c r="Z37" s="2">
        <f t="shared" si="19"/>
        <v>13140</v>
      </c>
      <c r="AA37" s="2" t="s">
        <v>53</v>
      </c>
      <c r="AB37" s="2" t="s">
        <v>102</v>
      </c>
      <c r="AC37" s="2">
        <f t="shared" si="6"/>
        <v>0</v>
      </c>
      <c r="AD37" s="2">
        <v>0</v>
      </c>
      <c r="AE37" s="2">
        <f t="shared" si="7"/>
        <v>0</v>
      </c>
      <c r="AF37" s="2">
        <f t="shared" si="8"/>
        <v>0</v>
      </c>
      <c r="AG37" s="2">
        <v>0</v>
      </c>
      <c r="AH37" s="2" t="str">
        <f t="shared" si="9"/>
        <v>NO</v>
      </c>
      <c r="AI37" s="2">
        <f t="shared" si="10"/>
        <v>13140</v>
      </c>
      <c r="AJ37" s="2" t="s">
        <v>50</v>
      </c>
      <c r="AK37" s="2"/>
      <c r="AL37" s="2"/>
      <c r="AM37" s="2">
        <f t="shared" si="20"/>
        <v>21900</v>
      </c>
      <c r="AN37" s="2">
        <f t="shared" si="21"/>
        <v>6900</v>
      </c>
      <c r="AO37" s="2">
        <v>0</v>
      </c>
      <c r="AP37" s="4">
        <f t="shared" si="13"/>
        <v>230</v>
      </c>
      <c r="AQ37" s="4">
        <f t="shared" si="14"/>
        <v>0</v>
      </c>
      <c r="AR37" s="5">
        <v>46163</v>
      </c>
      <c r="AS37" s="5">
        <v>46165</v>
      </c>
      <c r="AT37" s="5">
        <v>46168</v>
      </c>
      <c r="AU37" s="2" t="str">
        <f t="shared" si="15"/>
        <v>ACTIVE</v>
      </c>
      <c r="AV37" s="2"/>
      <c r="AW37" s="2">
        <f t="shared" si="16"/>
        <v>0</v>
      </c>
      <c r="AX37" s="6"/>
      <c r="AY37" s="6"/>
    </row>
    <row r="38" spans="1:51" hidden="1" x14ac:dyDescent="0.25">
      <c r="A38" s="7" t="str">
        <f t="shared" si="0"/>
        <v>ACTIVE</v>
      </c>
      <c r="B38" s="2" t="s">
        <v>156</v>
      </c>
      <c r="C38" s="2" t="s">
        <v>157</v>
      </c>
      <c r="D38" s="2" t="s">
        <v>158</v>
      </c>
      <c r="E38" s="2" t="s">
        <v>47</v>
      </c>
      <c r="F38" s="2"/>
      <c r="G38" s="2" t="s">
        <v>160</v>
      </c>
      <c r="H38" s="2" t="s">
        <v>227</v>
      </c>
      <c r="I38" s="2" t="s">
        <v>104</v>
      </c>
      <c r="J38" s="2" t="s">
        <v>244</v>
      </c>
      <c r="K38" s="2" t="s">
        <v>245</v>
      </c>
      <c r="L38" s="2">
        <v>7455898958</v>
      </c>
      <c r="M38" s="2">
        <v>20000</v>
      </c>
      <c r="N38" s="2">
        <v>1580</v>
      </c>
      <c r="O38" s="2">
        <f t="shared" si="1"/>
        <v>18420</v>
      </c>
      <c r="P38" s="2">
        <v>810</v>
      </c>
      <c r="Q38" s="11">
        <f t="shared" si="17"/>
        <v>0</v>
      </c>
      <c r="R38" s="11">
        <v>0</v>
      </c>
      <c r="S38" s="2">
        <v>36</v>
      </c>
      <c r="T38" s="7">
        <v>12</v>
      </c>
      <c r="U38" s="2">
        <f t="shared" si="3"/>
        <v>24</v>
      </c>
      <c r="V38" s="2"/>
      <c r="W38" s="8"/>
      <c r="X38" s="3"/>
      <c r="Y38" s="2">
        <f t="shared" si="18"/>
        <v>9720</v>
      </c>
      <c r="Z38" s="2">
        <f t="shared" si="19"/>
        <v>19440</v>
      </c>
      <c r="AA38" s="2" t="s">
        <v>57</v>
      </c>
      <c r="AB38" s="2" t="s">
        <v>104</v>
      </c>
      <c r="AC38" s="2">
        <f t="shared" si="6"/>
        <v>0</v>
      </c>
      <c r="AD38" s="2">
        <v>0</v>
      </c>
      <c r="AE38" s="2">
        <f t="shared" si="7"/>
        <v>0</v>
      </c>
      <c r="AF38" s="2">
        <f t="shared" si="8"/>
        <v>0</v>
      </c>
      <c r="AG38" s="2">
        <v>0</v>
      </c>
      <c r="AH38" s="2" t="str">
        <f t="shared" si="9"/>
        <v>NO</v>
      </c>
      <c r="AI38" s="2">
        <f t="shared" si="10"/>
        <v>19440</v>
      </c>
      <c r="AJ38" s="2" t="s">
        <v>50</v>
      </c>
      <c r="AK38" s="2"/>
      <c r="AL38" s="2"/>
      <c r="AM38" s="2">
        <f t="shared" si="20"/>
        <v>29160</v>
      </c>
      <c r="AN38" s="2">
        <f t="shared" si="21"/>
        <v>9160</v>
      </c>
      <c r="AO38" s="2">
        <v>0</v>
      </c>
      <c r="AP38" s="4">
        <f t="shared" si="13"/>
        <v>254.44444444444446</v>
      </c>
      <c r="AQ38" s="4">
        <f t="shared" si="14"/>
        <v>0</v>
      </c>
      <c r="AR38" s="5">
        <v>46165</v>
      </c>
      <c r="AS38" s="5">
        <v>46165</v>
      </c>
      <c r="AT38" s="5">
        <v>46171</v>
      </c>
      <c r="AU38" s="2" t="str">
        <f t="shared" si="15"/>
        <v>ACTIVE</v>
      </c>
      <c r="AV38" s="2"/>
      <c r="AW38" s="2">
        <f t="shared" si="16"/>
        <v>0</v>
      </c>
      <c r="AX38" s="6"/>
      <c r="AY38" s="6"/>
    </row>
    <row r="39" spans="1:51" x14ac:dyDescent="0.25">
      <c r="A39" s="7" t="str">
        <f t="shared" si="0"/>
        <v>ACTIVE</v>
      </c>
      <c r="B39" s="2" t="s">
        <v>156</v>
      </c>
      <c r="C39" s="2" t="s">
        <v>157</v>
      </c>
      <c r="D39" s="2" t="s">
        <v>158</v>
      </c>
      <c r="E39" s="2" t="s">
        <v>47</v>
      </c>
      <c r="F39" s="2"/>
      <c r="G39" s="2" t="s">
        <v>160</v>
      </c>
      <c r="H39" s="2" t="s">
        <v>246</v>
      </c>
      <c r="I39" s="2" t="s">
        <v>105</v>
      </c>
      <c r="J39" s="2" t="s">
        <v>247</v>
      </c>
      <c r="K39" s="2" t="s">
        <v>248</v>
      </c>
      <c r="L39" s="2">
        <v>8449502430</v>
      </c>
      <c r="M39" s="2">
        <v>20000</v>
      </c>
      <c r="N39" s="2">
        <v>1580</v>
      </c>
      <c r="O39" s="2">
        <f t="shared" si="1"/>
        <v>18420</v>
      </c>
      <c r="P39" s="2">
        <v>810</v>
      </c>
      <c r="Q39" s="11">
        <f t="shared" si="17"/>
        <v>0</v>
      </c>
      <c r="R39" s="11">
        <v>0</v>
      </c>
      <c r="S39" s="2">
        <v>36</v>
      </c>
      <c r="T39" s="7">
        <v>11</v>
      </c>
      <c r="U39" s="2">
        <f t="shared" si="3"/>
        <v>25</v>
      </c>
      <c r="V39" s="2"/>
      <c r="W39" s="8"/>
      <c r="X39" s="3"/>
      <c r="Y39" s="2">
        <f t="shared" si="18"/>
        <v>8910</v>
      </c>
      <c r="Z39" s="2">
        <f t="shared" si="19"/>
        <v>20250</v>
      </c>
      <c r="AA39" s="2" t="s">
        <v>53</v>
      </c>
      <c r="AB39" s="2" t="s">
        <v>105</v>
      </c>
      <c r="AC39" s="2">
        <f t="shared" si="6"/>
        <v>0</v>
      </c>
      <c r="AD39" s="2">
        <v>0</v>
      </c>
      <c r="AE39" s="2">
        <f t="shared" si="7"/>
        <v>0</v>
      </c>
      <c r="AF39" s="2">
        <f t="shared" si="8"/>
        <v>0</v>
      </c>
      <c r="AG39" s="2">
        <v>0</v>
      </c>
      <c r="AH39" s="2" t="str">
        <f t="shared" si="9"/>
        <v>NO</v>
      </c>
      <c r="AI39" s="2">
        <f t="shared" si="10"/>
        <v>20250</v>
      </c>
      <c r="AJ39" s="2" t="s">
        <v>50</v>
      </c>
      <c r="AK39" s="2"/>
      <c r="AL39" s="2"/>
      <c r="AM39" s="2">
        <f t="shared" si="20"/>
        <v>29160</v>
      </c>
      <c r="AN39" s="2">
        <f t="shared" si="21"/>
        <v>9160</v>
      </c>
      <c r="AO39" s="2">
        <v>0</v>
      </c>
      <c r="AP39" s="4">
        <f t="shared" si="13"/>
        <v>254.44444444444446</v>
      </c>
      <c r="AQ39" s="4">
        <f t="shared" si="14"/>
        <v>0</v>
      </c>
      <c r="AR39" s="5">
        <v>46167</v>
      </c>
      <c r="AS39" s="5">
        <v>46169</v>
      </c>
      <c r="AT39" s="5">
        <v>46175</v>
      </c>
      <c r="AU39" s="2" t="str">
        <f t="shared" si="15"/>
        <v>ACTIVE</v>
      </c>
      <c r="AV39" s="2"/>
      <c r="AW39" s="2">
        <f t="shared" si="16"/>
        <v>0</v>
      </c>
      <c r="AX39" s="6"/>
      <c r="AY39" s="6"/>
    </row>
    <row r="40" spans="1:51" x14ac:dyDescent="0.25">
      <c r="A40" s="7" t="str">
        <f t="shared" si="0"/>
        <v>ACTIVE</v>
      </c>
      <c r="B40" s="2" t="s">
        <v>156</v>
      </c>
      <c r="C40" s="2" t="s">
        <v>157</v>
      </c>
      <c r="D40" s="2" t="s">
        <v>158</v>
      </c>
      <c r="E40" s="2" t="s">
        <v>47</v>
      </c>
      <c r="F40" s="2"/>
      <c r="G40" s="2" t="s">
        <v>160</v>
      </c>
      <c r="H40" s="2" t="s">
        <v>249</v>
      </c>
      <c r="I40" s="2" t="s">
        <v>106</v>
      </c>
      <c r="J40" s="2" t="s">
        <v>250</v>
      </c>
      <c r="K40" s="2" t="s">
        <v>251</v>
      </c>
      <c r="L40" s="2">
        <v>6399307883</v>
      </c>
      <c r="M40" s="2">
        <v>25000</v>
      </c>
      <c r="N40" s="2">
        <v>1860</v>
      </c>
      <c r="O40" s="2">
        <f t="shared" si="1"/>
        <v>23140</v>
      </c>
      <c r="P40" s="2">
        <v>830</v>
      </c>
      <c r="Q40" s="11">
        <f t="shared" si="17"/>
        <v>0</v>
      </c>
      <c r="R40" s="11">
        <v>0</v>
      </c>
      <c r="S40" s="2">
        <v>44</v>
      </c>
      <c r="T40" s="7">
        <v>11</v>
      </c>
      <c r="U40" s="2">
        <f t="shared" si="3"/>
        <v>33</v>
      </c>
      <c r="V40" s="2"/>
      <c r="W40" s="8">
        <v>830</v>
      </c>
      <c r="X40" s="3"/>
      <c r="Y40" s="2">
        <f t="shared" si="18"/>
        <v>9960</v>
      </c>
      <c r="Z40" s="2">
        <f t="shared" si="19"/>
        <v>26560</v>
      </c>
      <c r="AA40" s="2" t="s">
        <v>53</v>
      </c>
      <c r="AB40" s="2" t="s">
        <v>106</v>
      </c>
      <c r="AC40" s="2">
        <f t="shared" si="6"/>
        <v>0</v>
      </c>
      <c r="AD40" s="2">
        <v>0</v>
      </c>
      <c r="AE40" s="2">
        <f t="shared" si="7"/>
        <v>0</v>
      </c>
      <c r="AF40" s="2">
        <f t="shared" si="8"/>
        <v>0</v>
      </c>
      <c r="AG40" s="2">
        <v>0</v>
      </c>
      <c r="AH40" s="2" t="str">
        <f t="shared" si="9"/>
        <v>NO</v>
      </c>
      <c r="AI40" s="2">
        <f t="shared" si="10"/>
        <v>26560</v>
      </c>
      <c r="AJ40" s="2" t="s">
        <v>50</v>
      </c>
      <c r="AK40" s="2"/>
      <c r="AL40" s="2"/>
      <c r="AM40" s="2">
        <f t="shared" si="20"/>
        <v>36520</v>
      </c>
      <c r="AN40" s="2">
        <f t="shared" si="21"/>
        <v>11520</v>
      </c>
      <c r="AO40" s="2">
        <v>0</v>
      </c>
      <c r="AP40" s="4">
        <f t="shared" si="13"/>
        <v>261.81818181818181</v>
      </c>
      <c r="AQ40" s="4">
        <f t="shared" si="14"/>
        <v>0</v>
      </c>
      <c r="AR40" s="5">
        <v>46167</v>
      </c>
      <c r="AS40" s="5">
        <v>46169</v>
      </c>
      <c r="AT40" s="5">
        <v>46175</v>
      </c>
      <c r="AU40" s="2" t="str">
        <f t="shared" si="15"/>
        <v>ACTIVE</v>
      </c>
      <c r="AV40" s="2"/>
      <c r="AW40" s="2">
        <f t="shared" si="16"/>
        <v>0</v>
      </c>
      <c r="AX40" s="6"/>
      <c r="AY40" s="6"/>
    </row>
    <row r="41" spans="1:51" x14ac:dyDescent="0.25">
      <c r="A41" s="7" t="str">
        <f t="shared" si="0"/>
        <v>ACTIVE</v>
      </c>
      <c r="B41" s="2" t="s">
        <v>156</v>
      </c>
      <c r="C41" s="2" t="s">
        <v>157</v>
      </c>
      <c r="D41" s="2" t="s">
        <v>158</v>
      </c>
      <c r="E41" s="2" t="s">
        <v>47</v>
      </c>
      <c r="F41" s="2"/>
      <c r="G41" s="2" t="s">
        <v>160</v>
      </c>
      <c r="H41" s="2" t="s">
        <v>252</v>
      </c>
      <c r="I41" s="2" t="s">
        <v>108</v>
      </c>
      <c r="J41" s="2" t="s">
        <v>253</v>
      </c>
      <c r="K41" s="2" t="s">
        <v>254</v>
      </c>
      <c r="L41" s="2">
        <v>6398570844</v>
      </c>
      <c r="M41" s="2">
        <v>20000</v>
      </c>
      <c r="N41" s="2">
        <v>1580</v>
      </c>
      <c r="O41" s="2">
        <f t="shared" si="1"/>
        <v>18420</v>
      </c>
      <c r="P41" s="2">
        <v>810</v>
      </c>
      <c r="Q41" s="11">
        <f t="shared" si="17"/>
        <v>0</v>
      </c>
      <c r="R41" s="11">
        <v>0</v>
      </c>
      <c r="S41" s="2">
        <v>36</v>
      </c>
      <c r="T41" s="7">
        <v>11</v>
      </c>
      <c r="U41" s="2">
        <f t="shared" si="3"/>
        <v>25</v>
      </c>
      <c r="V41" s="2"/>
      <c r="W41" s="8"/>
      <c r="X41" s="3"/>
      <c r="Y41" s="2">
        <f t="shared" si="18"/>
        <v>8910</v>
      </c>
      <c r="Z41" s="2">
        <f t="shared" si="19"/>
        <v>20250</v>
      </c>
      <c r="AA41" s="2" t="s">
        <v>53</v>
      </c>
      <c r="AB41" s="2" t="s">
        <v>108</v>
      </c>
      <c r="AC41" s="2">
        <f t="shared" si="6"/>
        <v>0</v>
      </c>
      <c r="AD41" s="2">
        <v>0</v>
      </c>
      <c r="AE41" s="2">
        <f t="shared" si="7"/>
        <v>0</v>
      </c>
      <c r="AF41" s="2">
        <f t="shared" si="8"/>
        <v>0</v>
      </c>
      <c r="AG41" s="2">
        <v>0</v>
      </c>
      <c r="AH41" s="2" t="str">
        <f t="shared" si="9"/>
        <v>NO</v>
      </c>
      <c r="AI41" s="2">
        <f t="shared" si="10"/>
        <v>20250</v>
      </c>
      <c r="AJ41" s="2" t="s">
        <v>50</v>
      </c>
      <c r="AK41" s="2"/>
      <c r="AL41" s="2"/>
      <c r="AM41" s="2">
        <f t="shared" si="20"/>
        <v>29160</v>
      </c>
      <c r="AN41" s="2">
        <f t="shared" si="21"/>
        <v>9160</v>
      </c>
      <c r="AO41" s="2">
        <v>0</v>
      </c>
      <c r="AP41" s="4">
        <f t="shared" si="13"/>
        <v>254.44444444444446</v>
      </c>
      <c r="AQ41" s="4">
        <f t="shared" si="14"/>
        <v>0</v>
      </c>
      <c r="AR41" s="5">
        <v>46167</v>
      </c>
      <c r="AS41" s="5">
        <v>46169</v>
      </c>
      <c r="AT41" s="5">
        <v>46175</v>
      </c>
      <c r="AU41" s="2" t="str">
        <f t="shared" si="15"/>
        <v>ACTIVE</v>
      </c>
      <c r="AV41" s="2"/>
      <c r="AW41" s="2">
        <f t="shared" si="16"/>
        <v>0</v>
      </c>
      <c r="AX41" s="6"/>
      <c r="AY41" s="6"/>
    </row>
    <row r="42" spans="1:51" x14ac:dyDescent="0.25">
      <c r="A42" s="7" t="str">
        <f t="shared" si="0"/>
        <v>ACTIVE</v>
      </c>
      <c r="B42" s="2" t="s">
        <v>156</v>
      </c>
      <c r="C42" s="2" t="s">
        <v>157</v>
      </c>
      <c r="D42" s="2" t="s">
        <v>158</v>
      </c>
      <c r="E42" s="2" t="s">
        <v>47</v>
      </c>
      <c r="F42" s="2"/>
      <c r="G42" s="2" t="s">
        <v>160</v>
      </c>
      <c r="H42" s="2" t="s">
        <v>255</v>
      </c>
      <c r="I42" s="2" t="s">
        <v>109</v>
      </c>
      <c r="J42" s="2" t="s">
        <v>256</v>
      </c>
      <c r="K42" s="2" t="s">
        <v>257</v>
      </c>
      <c r="L42" s="2">
        <v>6397696274</v>
      </c>
      <c r="M42" s="2">
        <v>25000</v>
      </c>
      <c r="N42" s="2">
        <v>1860</v>
      </c>
      <c r="O42" s="2">
        <f t="shared" si="1"/>
        <v>23140</v>
      </c>
      <c r="P42" s="2">
        <v>830</v>
      </c>
      <c r="Q42" s="11">
        <f t="shared" si="17"/>
        <v>0</v>
      </c>
      <c r="R42" s="11">
        <v>0</v>
      </c>
      <c r="S42" s="2">
        <v>44</v>
      </c>
      <c r="T42" s="7">
        <v>11</v>
      </c>
      <c r="U42" s="2">
        <f t="shared" si="3"/>
        <v>33</v>
      </c>
      <c r="V42" s="2"/>
      <c r="W42" s="8">
        <v>830</v>
      </c>
      <c r="X42" s="3"/>
      <c r="Y42" s="2">
        <f t="shared" si="18"/>
        <v>9960</v>
      </c>
      <c r="Z42" s="2">
        <f t="shared" si="19"/>
        <v>26560</v>
      </c>
      <c r="AA42" s="2" t="s">
        <v>53</v>
      </c>
      <c r="AB42" s="2" t="s">
        <v>109</v>
      </c>
      <c r="AC42" s="2">
        <f t="shared" si="6"/>
        <v>0</v>
      </c>
      <c r="AD42" s="2">
        <v>0</v>
      </c>
      <c r="AE42" s="2">
        <f t="shared" si="7"/>
        <v>0</v>
      </c>
      <c r="AF42" s="2">
        <f t="shared" si="8"/>
        <v>0</v>
      </c>
      <c r="AG42" s="2">
        <v>0</v>
      </c>
      <c r="AH42" s="2" t="str">
        <f t="shared" si="9"/>
        <v>NO</v>
      </c>
      <c r="AI42" s="2">
        <f t="shared" si="10"/>
        <v>26560</v>
      </c>
      <c r="AJ42" s="2" t="s">
        <v>50</v>
      </c>
      <c r="AK42" s="2"/>
      <c r="AL42" s="2"/>
      <c r="AM42" s="2">
        <f t="shared" si="20"/>
        <v>36520</v>
      </c>
      <c r="AN42" s="2">
        <f t="shared" si="21"/>
        <v>11520</v>
      </c>
      <c r="AO42" s="2">
        <v>0</v>
      </c>
      <c r="AP42" s="4">
        <f t="shared" si="13"/>
        <v>261.81818181818181</v>
      </c>
      <c r="AQ42" s="4">
        <f t="shared" si="14"/>
        <v>0</v>
      </c>
      <c r="AR42" s="5">
        <v>46167</v>
      </c>
      <c r="AS42" s="5">
        <v>46169</v>
      </c>
      <c r="AT42" s="5">
        <v>46175</v>
      </c>
      <c r="AU42" s="2" t="str">
        <f t="shared" si="15"/>
        <v>ACTIVE</v>
      </c>
      <c r="AV42" s="2"/>
      <c r="AW42" s="2">
        <f t="shared" si="16"/>
        <v>0</v>
      </c>
      <c r="AX42" s="6"/>
      <c r="AY42" s="6"/>
    </row>
    <row r="43" spans="1:51" x14ac:dyDescent="0.25">
      <c r="A43" s="7" t="str">
        <f t="shared" si="0"/>
        <v>ACTIVE</v>
      </c>
      <c r="B43" s="2" t="s">
        <v>156</v>
      </c>
      <c r="C43" s="2" t="s">
        <v>157</v>
      </c>
      <c r="D43" s="2" t="s">
        <v>158</v>
      </c>
      <c r="E43" s="2" t="s">
        <v>47</v>
      </c>
      <c r="F43" s="2"/>
      <c r="G43" s="2" t="s">
        <v>160</v>
      </c>
      <c r="H43" s="2" t="s">
        <v>255</v>
      </c>
      <c r="I43" s="2" t="s">
        <v>110</v>
      </c>
      <c r="J43" s="2" t="s">
        <v>121</v>
      </c>
      <c r="K43" s="2" t="s">
        <v>158</v>
      </c>
      <c r="L43" s="2">
        <v>9259098745</v>
      </c>
      <c r="M43" s="2">
        <v>25000</v>
      </c>
      <c r="N43" s="2">
        <v>1860</v>
      </c>
      <c r="O43" s="2">
        <f t="shared" si="1"/>
        <v>23140</v>
      </c>
      <c r="P43" s="2">
        <v>830</v>
      </c>
      <c r="Q43" s="11">
        <f t="shared" si="17"/>
        <v>0</v>
      </c>
      <c r="R43" s="11">
        <v>0</v>
      </c>
      <c r="S43" s="2">
        <v>44</v>
      </c>
      <c r="T43" s="7">
        <v>11</v>
      </c>
      <c r="U43" s="2">
        <f t="shared" si="3"/>
        <v>33</v>
      </c>
      <c r="V43" s="2"/>
      <c r="W43" s="8">
        <v>830</v>
      </c>
      <c r="X43" s="3"/>
      <c r="Y43" s="2">
        <f t="shared" si="18"/>
        <v>9960</v>
      </c>
      <c r="Z43" s="2">
        <f t="shared" si="19"/>
        <v>26560</v>
      </c>
      <c r="AA43" s="2" t="s">
        <v>53</v>
      </c>
      <c r="AB43" s="2" t="s">
        <v>110</v>
      </c>
      <c r="AC43" s="2">
        <f t="shared" si="6"/>
        <v>0</v>
      </c>
      <c r="AD43" s="2">
        <v>0</v>
      </c>
      <c r="AE43" s="2">
        <f t="shared" si="7"/>
        <v>0</v>
      </c>
      <c r="AF43" s="2">
        <f t="shared" si="8"/>
        <v>0</v>
      </c>
      <c r="AG43" s="2">
        <v>0</v>
      </c>
      <c r="AH43" s="2" t="str">
        <f t="shared" si="9"/>
        <v>NO</v>
      </c>
      <c r="AI43" s="2">
        <f t="shared" si="10"/>
        <v>26560</v>
      </c>
      <c r="AJ43" s="2" t="s">
        <v>50</v>
      </c>
      <c r="AK43" s="2"/>
      <c r="AL43" s="2"/>
      <c r="AM43" s="2">
        <f t="shared" si="20"/>
        <v>36520</v>
      </c>
      <c r="AN43" s="2">
        <f t="shared" si="21"/>
        <v>11520</v>
      </c>
      <c r="AO43" s="2">
        <v>0</v>
      </c>
      <c r="AP43" s="4">
        <f t="shared" si="13"/>
        <v>261.81818181818181</v>
      </c>
      <c r="AQ43" s="4">
        <f t="shared" si="14"/>
        <v>0</v>
      </c>
      <c r="AR43" s="5">
        <v>46167</v>
      </c>
      <c r="AS43" s="5">
        <v>46169</v>
      </c>
      <c r="AT43" s="5">
        <v>46175</v>
      </c>
      <c r="AU43" s="2" t="str">
        <f t="shared" si="15"/>
        <v>ACTIVE</v>
      </c>
      <c r="AV43" s="2"/>
      <c r="AW43" s="2">
        <f t="shared" si="16"/>
        <v>0</v>
      </c>
      <c r="AX43" s="6"/>
      <c r="AY43" s="6"/>
    </row>
    <row r="44" spans="1:51" x14ac:dyDescent="0.25">
      <c r="A44" s="7" t="str">
        <f t="shared" si="0"/>
        <v>ACTIVE</v>
      </c>
      <c r="B44" s="2" t="s">
        <v>156</v>
      </c>
      <c r="C44" s="2" t="s">
        <v>157</v>
      </c>
      <c r="D44" s="2" t="s">
        <v>158</v>
      </c>
      <c r="E44" s="2" t="s">
        <v>47</v>
      </c>
      <c r="F44" s="2"/>
      <c r="G44" s="2" t="s">
        <v>160</v>
      </c>
      <c r="H44" s="2" t="s">
        <v>258</v>
      </c>
      <c r="I44" s="2" t="s">
        <v>111</v>
      </c>
      <c r="J44" s="2" t="s">
        <v>140</v>
      </c>
      <c r="K44" s="2" t="s">
        <v>259</v>
      </c>
      <c r="L44" s="2">
        <v>7351116895</v>
      </c>
      <c r="M44" s="2">
        <v>25000</v>
      </c>
      <c r="N44" s="2">
        <v>1860</v>
      </c>
      <c r="O44" s="2">
        <f t="shared" si="1"/>
        <v>23140</v>
      </c>
      <c r="P44" s="2">
        <v>830</v>
      </c>
      <c r="Q44" s="11">
        <f t="shared" si="17"/>
        <v>0</v>
      </c>
      <c r="R44" s="11">
        <v>0</v>
      </c>
      <c r="S44" s="2">
        <v>44</v>
      </c>
      <c r="T44" s="7">
        <v>11</v>
      </c>
      <c r="U44" s="2">
        <f t="shared" si="3"/>
        <v>33</v>
      </c>
      <c r="V44" s="2"/>
      <c r="W44" s="8">
        <v>830</v>
      </c>
      <c r="X44" s="3"/>
      <c r="Y44" s="2">
        <f t="shared" si="18"/>
        <v>9960</v>
      </c>
      <c r="Z44" s="2">
        <f t="shared" si="19"/>
        <v>26560</v>
      </c>
      <c r="AA44" s="2" t="s">
        <v>53</v>
      </c>
      <c r="AB44" s="2" t="s">
        <v>111</v>
      </c>
      <c r="AC44" s="2">
        <f t="shared" si="6"/>
        <v>0</v>
      </c>
      <c r="AD44" s="2">
        <v>0</v>
      </c>
      <c r="AE44" s="2">
        <f t="shared" si="7"/>
        <v>0</v>
      </c>
      <c r="AF44" s="2">
        <f t="shared" si="8"/>
        <v>0</v>
      </c>
      <c r="AG44" s="2">
        <v>0</v>
      </c>
      <c r="AH44" s="2" t="str">
        <f t="shared" si="9"/>
        <v>NO</v>
      </c>
      <c r="AI44" s="2">
        <f t="shared" si="10"/>
        <v>26560</v>
      </c>
      <c r="AJ44" s="2" t="s">
        <v>50</v>
      </c>
      <c r="AK44" s="2"/>
      <c r="AL44" s="2"/>
      <c r="AM44" s="2">
        <f t="shared" si="20"/>
        <v>36520</v>
      </c>
      <c r="AN44" s="2">
        <f t="shared" si="21"/>
        <v>11520</v>
      </c>
      <c r="AO44" s="2">
        <v>0</v>
      </c>
      <c r="AP44" s="4">
        <f t="shared" si="13"/>
        <v>261.81818181818181</v>
      </c>
      <c r="AQ44" s="4">
        <f t="shared" si="14"/>
        <v>0</v>
      </c>
      <c r="AR44" s="5">
        <v>46169</v>
      </c>
      <c r="AS44" s="5">
        <v>46171</v>
      </c>
      <c r="AT44" s="5">
        <v>46175</v>
      </c>
      <c r="AU44" s="2" t="str">
        <f t="shared" si="15"/>
        <v>ACTIVE</v>
      </c>
      <c r="AV44" s="2"/>
      <c r="AW44" s="2">
        <f t="shared" si="16"/>
        <v>0</v>
      </c>
      <c r="AX44" s="6"/>
      <c r="AY44" s="6"/>
    </row>
    <row r="45" spans="1:51" x14ac:dyDescent="0.25">
      <c r="A45" s="7" t="str">
        <f t="shared" si="0"/>
        <v>ACTIVE</v>
      </c>
      <c r="B45" s="2" t="s">
        <v>156</v>
      </c>
      <c r="C45" s="2" t="s">
        <v>157</v>
      </c>
      <c r="D45" s="2" t="s">
        <v>158</v>
      </c>
      <c r="E45" s="2" t="s">
        <v>47</v>
      </c>
      <c r="F45" s="2"/>
      <c r="G45" s="2" t="s">
        <v>160</v>
      </c>
      <c r="H45" s="2" t="s">
        <v>258</v>
      </c>
      <c r="I45" s="2" t="s">
        <v>112</v>
      </c>
      <c r="J45" s="2" t="s">
        <v>64</v>
      </c>
      <c r="K45" s="2" t="s">
        <v>52</v>
      </c>
      <c r="L45" s="2">
        <v>8630866401</v>
      </c>
      <c r="M45" s="2">
        <v>25000</v>
      </c>
      <c r="N45" s="2">
        <v>1860</v>
      </c>
      <c r="O45" s="2">
        <f t="shared" si="1"/>
        <v>23140</v>
      </c>
      <c r="P45" s="2">
        <v>830</v>
      </c>
      <c r="Q45" s="11">
        <f t="shared" si="17"/>
        <v>0</v>
      </c>
      <c r="R45" s="11">
        <v>0</v>
      </c>
      <c r="S45" s="2">
        <v>44</v>
      </c>
      <c r="T45" s="7">
        <v>11</v>
      </c>
      <c r="U45" s="2">
        <f t="shared" si="3"/>
        <v>33</v>
      </c>
      <c r="V45" s="2"/>
      <c r="W45" s="8">
        <v>830</v>
      </c>
      <c r="X45" s="3"/>
      <c r="Y45" s="2">
        <f t="shared" si="18"/>
        <v>9960</v>
      </c>
      <c r="Z45" s="2">
        <f t="shared" si="19"/>
        <v>26560</v>
      </c>
      <c r="AA45" s="2" t="s">
        <v>53</v>
      </c>
      <c r="AB45" s="2" t="s">
        <v>112</v>
      </c>
      <c r="AC45" s="2">
        <f t="shared" si="6"/>
        <v>0</v>
      </c>
      <c r="AD45" s="2">
        <v>0</v>
      </c>
      <c r="AE45" s="2">
        <f t="shared" si="7"/>
        <v>0</v>
      </c>
      <c r="AF45" s="2">
        <f t="shared" si="8"/>
        <v>0</v>
      </c>
      <c r="AG45" s="2">
        <v>0</v>
      </c>
      <c r="AH45" s="2" t="str">
        <f t="shared" si="9"/>
        <v>NO</v>
      </c>
      <c r="AI45" s="2">
        <f t="shared" si="10"/>
        <v>26560</v>
      </c>
      <c r="AJ45" s="2" t="s">
        <v>50</v>
      </c>
      <c r="AK45" s="2"/>
      <c r="AL45" s="2"/>
      <c r="AM45" s="2">
        <f t="shared" si="20"/>
        <v>36520</v>
      </c>
      <c r="AN45" s="2">
        <f t="shared" si="21"/>
        <v>11520</v>
      </c>
      <c r="AO45" s="2">
        <v>0</v>
      </c>
      <c r="AP45" s="4">
        <f t="shared" si="13"/>
        <v>261.81818181818181</v>
      </c>
      <c r="AQ45" s="4">
        <f t="shared" si="14"/>
        <v>0</v>
      </c>
      <c r="AR45" s="5">
        <v>46169</v>
      </c>
      <c r="AS45" s="5">
        <v>46171</v>
      </c>
      <c r="AT45" s="5">
        <v>46175</v>
      </c>
      <c r="AU45" s="2" t="str">
        <f t="shared" si="15"/>
        <v>ACTIVE</v>
      </c>
      <c r="AV45" s="2"/>
      <c r="AW45" s="2">
        <f t="shared" si="16"/>
        <v>0</v>
      </c>
      <c r="AX45" s="6"/>
      <c r="AY45" s="6"/>
    </row>
    <row r="46" spans="1:51" hidden="1" x14ac:dyDescent="0.25">
      <c r="A46" s="7" t="str">
        <f t="shared" si="0"/>
        <v>ACTIVE</v>
      </c>
      <c r="B46" s="2" t="s">
        <v>156</v>
      </c>
      <c r="C46" s="2" t="s">
        <v>157</v>
      </c>
      <c r="D46" s="2" t="s">
        <v>158</v>
      </c>
      <c r="E46" s="2" t="s">
        <v>47</v>
      </c>
      <c r="F46" s="2"/>
      <c r="G46" s="2" t="s">
        <v>160</v>
      </c>
      <c r="H46" s="2" t="s">
        <v>260</v>
      </c>
      <c r="I46" s="2" t="s">
        <v>113</v>
      </c>
      <c r="J46" s="2" t="s">
        <v>212</v>
      </c>
      <c r="K46" s="2" t="s">
        <v>261</v>
      </c>
      <c r="L46" s="2">
        <v>8923576374</v>
      </c>
      <c r="M46" s="2">
        <v>10000</v>
      </c>
      <c r="N46" s="2">
        <v>820</v>
      </c>
      <c r="O46" s="2">
        <f t="shared" si="1"/>
        <v>9180</v>
      </c>
      <c r="P46" s="2">
        <v>520</v>
      </c>
      <c r="Q46" s="11">
        <f t="shared" si="17"/>
        <v>0</v>
      </c>
      <c r="R46" s="11">
        <v>0</v>
      </c>
      <c r="S46" s="2">
        <v>28</v>
      </c>
      <c r="T46" s="7">
        <v>11</v>
      </c>
      <c r="U46" s="2">
        <f t="shared" si="3"/>
        <v>17</v>
      </c>
      <c r="V46" s="2"/>
      <c r="W46" s="8">
        <v>520</v>
      </c>
      <c r="X46" s="3"/>
      <c r="Y46" s="2">
        <f t="shared" si="18"/>
        <v>6240</v>
      </c>
      <c r="Z46" s="2">
        <f t="shared" si="19"/>
        <v>8320</v>
      </c>
      <c r="AA46" s="2" t="s">
        <v>49</v>
      </c>
      <c r="AB46" s="2" t="s">
        <v>113</v>
      </c>
      <c r="AC46" s="2">
        <f t="shared" si="6"/>
        <v>0</v>
      </c>
      <c r="AD46" s="2">
        <v>0</v>
      </c>
      <c r="AE46" s="2">
        <f t="shared" si="7"/>
        <v>0</v>
      </c>
      <c r="AF46" s="2">
        <f t="shared" si="8"/>
        <v>0</v>
      </c>
      <c r="AG46" s="2">
        <v>0</v>
      </c>
      <c r="AH46" s="2" t="str">
        <f t="shared" si="9"/>
        <v>NO</v>
      </c>
      <c r="AI46" s="2">
        <f t="shared" si="10"/>
        <v>8320</v>
      </c>
      <c r="AJ46" s="2" t="s">
        <v>50</v>
      </c>
      <c r="AK46" s="2"/>
      <c r="AL46" s="2"/>
      <c r="AM46" s="2">
        <f t="shared" si="20"/>
        <v>14560</v>
      </c>
      <c r="AN46" s="2">
        <f t="shared" si="21"/>
        <v>4560</v>
      </c>
      <c r="AO46" s="2">
        <v>0</v>
      </c>
      <c r="AP46" s="4">
        <f t="shared" si="13"/>
        <v>162.85714285714286</v>
      </c>
      <c r="AQ46" s="4">
        <f t="shared" si="14"/>
        <v>0</v>
      </c>
      <c r="AR46" s="5">
        <v>46169</v>
      </c>
      <c r="AS46" s="5">
        <v>46171</v>
      </c>
      <c r="AT46" s="5">
        <v>46176</v>
      </c>
      <c r="AU46" s="2" t="str">
        <f t="shared" si="15"/>
        <v>ACTIVE</v>
      </c>
      <c r="AV46" s="2"/>
      <c r="AW46" s="2">
        <f t="shared" si="16"/>
        <v>0</v>
      </c>
      <c r="AX46" s="6"/>
      <c r="AY46" s="6"/>
    </row>
    <row r="47" spans="1:51" x14ac:dyDescent="0.25">
      <c r="A47" s="7" t="str">
        <f t="shared" si="0"/>
        <v>ACTIVE</v>
      </c>
      <c r="B47" s="2" t="s">
        <v>156</v>
      </c>
      <c r="C47" s="2" t="s">
        <v>157</v>
      </c>
      <c r="D47" s="2" t="s">
        <v>158</v>
      </c>
      <c r="E47" s="2" t="s">
        <v>47</v>
      </c>
      <c r="F47" s="2"/>
      <c r="G47" s="2" t="s">
        <v>160</v>
      </c>
      <c r="H47" s="2" t="s">
        <v>258</v>
      </c>
      <c r="I47" s="2" t="s">
        <v>116</v>
      </c>
      <c r="J47" s="2" t="s">
        <v>231</v>
      </c>
      <c r="K47" s="2" t="s">
        <v>262</v>
      </c>
      <c r="L47" s="2">
        <v>9548706978</v>
      </c>
      <c r="M47" s="2">
        <v>25000</v>
      </c>
      <c r="N47" s="2">
        <v>1860</v>
      </c>
      <c r="O47" s="2">
        <f t="shared" si="1"/>
        <v>23140</v>
      </c>
      <c r="P47" s="2">
        <v>830</v>
      </c>
      <c r="Q47" s="11">
        <f t="shared" si="17"/>
        <v>0</v>
      </c>
      <c r="R47" s="11">
        <v>0</v>
      </c>
      <c r="S47" s="2">
        <v>44</v>
      </c>
      <c r="T47" s="7">
        <v>11</v>
      </c>
      <c r="U47" s="2">
        <f t="shared" si="3"/>
        <v>33</v>
      </c>
      <c r="V47" s="2"/>
      <c r="W47" s="8">
        <v>830</v>
      </c>
      <c r="X47" s="3"/>
      <c r="Y47" s="2">
        <f t="shared" si="18"/>
        <v>9960</v>
      </c>
      <c r="Z47" s="2">
        <f t="shared" si="19"/>
        <v>26560</v>
      </c>
      <c r="AA47" s="2" t="s">
        <v>53</v>
      </c>
      <c r="AB47" s="2" t="s">
        <v>116</v>
      </c>
      <c r="AC47" s="2">
        <f t="shared" si="6"/>
        <v>0</v>
      </c>
      <c r="AD47" s="2">
        <v>0</v>
      </c>
      <c r="AE47" s="2">
        <f t="shared" si="7"/>
        <v>0</v>
      </c>
      <c r="AF47" s="2">
        <f t="shared" si="8"/>
        <v>0</v>
      </c>
      <c r="AG47" s="2">
        <v>0</v>
      </c>
      <c r="AH47" s="2" t="str">
        <f t="shared" si="9"/>
        <v>NO</v>
      </c>
      <c r="AI47" s="2">
        <f t="shared" si="10"/>
        <v>26560</v>
      </c>
      <c r="AJ47" s="2" t="s">
        <v>50</v>
      </c>
      <c r="AK47" s="2"/>
      <c r="AL47" s="2"/>
      <c r="AM47" s="2">
        <f t="shared" si="20"/>
        <v>36520</v>
      </c>
      <c r="AN47" s="2">
        <f t="shared" si="21"/>
        <v>11520</v>
      </c>
      <c r="AO47" s="2">
        <v>0</v>
      </c>
      <c r="AP47" s="4">
        <f t="shared" si="13"/>
        <v>261.81818181818181</v>
      </c>
      <c r="AQ47" s="4">
        <f t="shared" si="14"/>
        <v>0</v>
      </c>
      <c r="AR47" s="5">
        <v>46169</v>
      </c>
      <c r="AS47" s="5">
        <v>46171</v>
      </c>
      <c r="AT47" s="5">
        <v>46175</v>
      </c>
      <c r="AU47" s="2" t="str">
        <f t="shared" si="15"/>
        <v>ACTIVE</v>
      </c>
      <c r="AV47" s="2"/>
      <c r="AW47" s="2">
        <f t="shared" si="16"/>
        <v>0</v>
      </c>
      <c r="AX47" s="6"/>
      <c r="AY47" s="6"/>
    </row>
    <row r="48" spans="1:51" x14ac:dyDescent="0.25">
      <c r="A48" s="7" t="str">
        <f t="shared" si="0"/>
        <v>ACTIVE</v>
      </c>
      <c r="B48" s="2" t="s">
        <v>156</v>
      </c>
      <c r="C48" s="2" t="s">
        <v>157</v>
      </c>
      <c r="D48" s="2" t="s">
        <v>158</v>
      </c>
      <c r="E48" s="2" t="s">
        <v>47</v>
      </c>
      <c r="F48" s="2"/>
      <c r="G48" s="2" t="s">
        <v>160</v>
      </c>
      <c r="H48" s="2" t="s">
        <v>258</v>
      </c>
      <c r="I48" s="2" t="s">
        <v>119</v>
      </c>
      <c r="J48" s="2" t="s">
        <v>263</v>
      </c>
      <c r="K48" s="2" t="s">
        <v>264</v>
      </c>
      <c r="L48" s="2">
        <v>9756745048</v>
      </c>
      <c r="M48" s="2">
        <v>25000</v>
      </c>
      <c r="N48" s="2">
        <v>1860</v>
      </c>
      <c r="O48" s="2">
        <f t="shared" si="1"/>
        <v>23140</v>
      </c>
      <c r="P48" s="2">
        <v>830</v>
      </c>
      <c r="Q48" s="11">
        <f t="shared" si="17"/>
        <v>0</v>
      </c>
      <c r="R48" s="11">
        <v>0</v>
      </c>
      <c r="S48" s="2">
        <v>44</v>
      </c>
      <c r="T48" s="7">
        <v>11</v>
      </c>
      <c r="U48" s="2">
        <f t="shared" si="3"/>
        <v>33</v>
      </c>
      <c r="V48" s="2"/>
      <c r="W48" s="8">
        <v>830</v>
      </c>
      <c r="X48" s="3"/>
      <c r="Y48" s="2">
        <f t="shared" si="18"/>
        <v>9960</v>
      </c>
      <c r="Z48" s="2">
        <f t="shared" si="19"/>
        <v>26560</v>
      </c>
      <c r="AA48" s="2" t="s">
        <v>53</v>
      </c>
      <c r="AB48" s="2" t="s">
        <v>119</v>
      </c>
      <c r="AC48" s="2">
        <f t="shared" si="6"/>
        <v>0</v>
      </c>
      <c r="AD48" s="2">
        <v>0</v>
      </c>
      <c r="AE48" s="2">
        <f t="shared" si="7"/>
        <v>0</v>
      </c>
      <c r="AF48" s="2">
        <f t="shared" si="8"/>
        <v>0</v>
      </c>
      <c r="AG48" s="2">
        <v>0</v>
      </c>
      <c r="AH48" s="2" t="str">
        <f t="shared" si="9"/>
        <v>NO</v>
      </c>
      <c r="AI48" s="2">
        <f t="shared" si="10"/>
        <v>26560</v>
      </c>
      <c r="AJ48" s="2" t="s">
        <v>50</v>
      </c>
      <c r="AK48" s="2"/>
      <c r="AL48" s="2"/>
      <c r="AM48" s="2">
        <f t="shared" si="20"/>
        <v>36520</v>
      </c>
      <c r="AN48" s="2">
        <f t="shared" si="21"/>
        <v>11520</v>
      </c>
      <c r="AO48" s="2">
        <v>0</v>
      </c>
      <c r="AP48" s="4">
        <f t="shared" si="13"/>
        <v>261.81818181818181</v>
      </c>
      <c r="AQ48" s="4">
        <f t="shared" si="14"/>
        <v>0</v>
      </c>
      <c r="AR48" s="5">
        <v>46169</v>
      </c>
      <c r="AS48" s="5">
        <v>46171</v>
      </c>
      <c r="AT48" s="5">
        <v>46175</v>
      </c>
      <c r="AU48" s="2" t="str">
        <f t="shared" si="15"/>
        <v>ACTIVE</v>
      </c>
      <c r="AV48" s="2"/>
      <c r="AW48" s="2">
        <f t="shared" si="16"/>
        <v>0</v>
      </c>
      <c r="AX48" s="6"/>
      <c r="AY48" s="6"/>
    </row>
    <row r="49" spans="1:51" hidden="1" x14ac:dyDescent="0.25">
      <c r="A49" s="7" t="str">
        <f t="shared" si="0"/>
        <v>ACTIVE</v>
      </c>
      <c r="B49" s="2" t="s">
        <v>156</v>
      </c>
      <c r="C49" s="2" t="s">
        <v>157</v>
      </c>
      <c r="D49" s="2" t="s">
        <v>158</v>
      </c>
      <c r="E49" s="2" t="s">
        <v>73</v>
      </c>
      <c r="F49" s="2"/>
      <c r="G49" s="2" t="s">
        <v>160</v>
      </c>
      <c r="H49" s="2" t="s">
        <v>265</v>
      </c>
      <c r="I49" s="2" t="s">
        <v>120</v>
      </c>
      <c r="J49" s="2" t="s">
        <v>266</v>
      </c>
      <c r="K49" s="2" t="s">
        <v>267</v>
      </c>
      <c r="L49" s="2">
        <v>7078208921</v>
      </c>
      <c r="M49" s="2">
        <v>15000</v>
      </c>
      <c r="N49" s="2">
        <v>1260</v>
      </c>
      <c r="O49" s="2">
        <f t="shared" si="1"/>
        <v>13740</v>
      </c>
      <c r="P49" s="2">
        <v>730</v>
      </c>
      <c r="Q49" s="11">
        <f t="shared" si="17"/>
        <v>0</v>
      </c>
      <c r="R49" s="11">
        <v>0</v>
      </c>
      <c r="S49" s="2">
        <v>30</v>
      </c>
      <c r="T49" s="7">
        <v>10</v>
      </c>
      <c r="U49" s="2">
        <f t="shared" si="3"/>
        <v>20</v>
      </c>
      <c r="V49" s="2"/>
      <c r="W49" s="8"/>
      <c r="X49" s="3"/>
      <c r="Y49" s="2">
        <f t="shared" si="18"/>
        <v>7300</v>
      </c>
      <c r="Z49" s="2">
        <f t="shared" si="19"/>
        <v>14600</v>
      </c>
      <c r="AA49" s="2" t="s">
        <v>65</v>
      </c>
      <c r="AB49" s="2" t="s">
        <v>120</v>
      </c>
      <c r="AC49" s="2">
        <f t="shared" si="6"/>
        <v>0</v>
      </c>
      <c r="AD49" s="2">
        <v>1</v>
      </c>
      <c r="AE49" s="2">
        <f t="shared" si="7"/>
        <v>0</v>
      </c>
      <c r="AF49" s="2">
        <f t="shared" si="8"/>
        <v>0</v>
      </c>
      <c r="AG49" s="2">
        <v>1</v>
      </c>
      <c r="AH49" s="2" t="str">
        <f t="shared" si="9"/>
        <v>NO</v>
      </c>
      <c r="AI49" s="2">
        <f t="shared" si="10"/>
        <v>14600</v>
      </c>
      <c r="AJ49" s="2" t="s">
        <v>50</v>
      </c>
      <c r="AK49" s="2"/>
      <c r="AL49" s="2"/>
      <c r="AM49" s="2">
        <f t="shared" si="20"/>
        <v>21900</v>
      </c>
      <c r="AN49" s="2">
        <f t="shared" si="21"/>
        <v>6900</v>
      </c>
      <c r="AO49" s="2">
        <v>0</v>
      </c>
      <c r="AP49" s="4">
        <f t="shared" si="13"/>
        <v>230</v>
      </c>
      <c r="AQ49" s="4">
        <f t="shared" si="14"/>
        <v>0</v>
      </c>
      <c r="AR49" s="5">
        <v>46175</v>
      </c>
      <c r="AS49" s="5">
        <v>46177</v>
      </c>
      <c r="AT49" s="5">
        <v>46181</v>
      </c>
      <c r="AU49" s="2" t="str">
        <f t="shared" si="15"/>
        <v>ACTIVE</v>
      </c>
      <c r="AV49" s="2"/>
      <c r="AW49" s="2">
        <f t="shared" si="16"/>
        <v>0</v>
      </c>
      <c r="AX49" s="6"/>
      <c r="AY49" s="6"/>
    </row>
    <row r="50" spans="1:51" hidden="1" x14ac:dyDescent="0.25">
      <c r="A50" s="7" t="str">
        <f t="shared" si="0"/>
        <v>ACTIVE</v>
      </c>
      <c r="B50" s="2" t="s">
        <v>156</v>
      </c>
      <c r="C50" s="2" t="s">
        <v>157</v>
      </c>
      <c r="D50" s="2" t="s">
        <v>158</v>
      </c>
      <c r="E50" s="2" t="s">
        <v>73</v>
      </c>
      <c r="F50" s="2"/>
      <c r="G50" s="2" t="s">
        <v>160</v>
      </c>
      <c r="H50" s="2" t="s">
        <v>268</v>
      </c>
      <c r="I50" s="2" t="s">
        <v>122</v>
      </c>
      <c r="J50" s="2" t="s">
        <v>269</v>
      </c>
      <c r="K50" s="2" t="s">
        <v>270</v>
      </c>
      <c r="L50" s="2">
        <v>9911998765</v>
      </c>
      <c r="M50" s="2">
        <v>15000</v>
      </c>
      <c r="N50" s="2">
        <v>1260</v>
      </c>
      <c r="O50" s="2">
        <f t="shared" si="1"/>
        <v>13740</v>
      </c>
      <c r="P50" s="2">
        <v>3000</v>
      </c>
      <c r="Q50" s="11">
        <f t="shared" si="17"/>
        <v>0</v>
      </c>
      <c r="R50" s="11">
        <v>0</v>
      </c>
      <c r="S50" s="2">
        <v>7</v>
      </c>
      <c r="T50" s="7">
        <v>3</v>
      </c>
      <c r="U50" s="2">
        <f t="shared" si="3"/>
        <v>4</v>
      </c>
      <c r="V50" s="2"/>
      <c r="W50" s="8"/>
      <c r="X50" s="3"/>
      <c r="Y50" s="2">
        <f t="shared" si="18"/>
        <v>9000</v>
      </c>
      <c r="Z50" s="2">
        <f t="shared" si="19"/>
        <v>12000</v>
      </c>
      <c r="AA50" s="2" t="s">
        <v>271</v>
      </c>
      <c r="AB50" s="2" t="s">
        <v>122</v>
      </c>
      <c r="AC50" s="2">
        <f t="shared" si="6"/>
        <v>0</v>
      </c>
      <c r="AD50" s="2">
        <v>2</v>
      </c>
      <c r="AE50" s="2">
        <f t="shared" si="7"/>
        <v>0</v>
      </c>
      <c r="AF50" s="2">
        <f t="shared" si="8"/>
        <v>0</v>
      </c>
      <c r="AG50" s="2">
        <v>2</v>
      </c>
      <c r="AH50" s="2" t="str">
        <f t="shared" si="9"/>
        <v>NO</v>
      </c>
      <c r="AI50" s="2">
        <f t="shared" si="10"/>
        <v>12000</v>
      </c>
      <c r="AJ50" s="2" t="s">
        <v>50</v>
      </c>
      <c r="AK50" s="2"/>
      <c r="AL50" s="2"/>
      <c r="AM50" s="2">
        <f t="shared" si="20"/>
        <v>21000</v>
      </c>
      <c r="AN50" s="2">
        <f t="shared" si="21"/>
        <v>6000</v>
      </c>
      <c r="AO50" s="2">
        <v>0</v>
      </c>
      <c r="AP50" s="4">
        <f t="shared" si="13"/>
        <v>857.14285714285711</v>
      </c>
      <c r="AQ50" s="4">
        <f t="shared" si="14"/>
        <v>0</v>
      </c>
      <c r="AR50" s="5">
        <v>46175</v>
      </c>
      <c r="AS50" s="5">
        <v>46177</v>
      </c>
      <c r="AT50" s="5">
        <v>46181</v>
      </c>
      <c r="AU50" s="2" t="str">
        <f t="shared" si="15"/>
        <v>ACTIVE</v>
      </c>
      <c r="AV50" s="2"/>
      <c r="AW50" s="2">
        <f t="shared" si="16"/>
        <v>0</v>
      </c>
      <c r="AX50" s="6"/>
      <c r="AY50" s="6"/>
    </row>
    <row r="51" spans="1:51" hidden="1" x14ac:dyDescent="0.25">
      <c r="A51" s="7" t="str">
        <f t="shared" si="0"/>
        <v>ACTIVE</v>
      </c>
      <c r="B51" s="2" t="s">
        <v>156</v>
      </c>
      <c r="C51" s="2" t="s">
        <v>157</v>
      </c>
      <c r="D51" s="2" t="s">
        <v>158</v>
      </c>
      <c r="E51" s="2" t="s">
        <v>73</v>
      </c>
      <c r="F51" s="2"/>
      <c r="G51" s="2" t="s">
        <v>160</v>
      </c>
      <c r="H51" s="2" t="s">
        <v>265</v>
      </c>
      <c r="I51" s="2" t="s">
        <v>123</v>
      </c>
      <c r="J51" s="2" t="s">
        <v>272</v>
      </c>
      <c r="K51" s="2" t="s">
        <v>273</v>
      </c>
      <c r="L51" s="2">
        <v>6397677126</v>
      </c>
      <c r="M51" s="2">
        <v>25000</v>
      </c>
      <c r="N51" s="2">
        <v>1860</v>
      </c>
      <c r="O51" s="2">
        <f t="shared" si="1"/>
        <v>23140</v>
      </c>
      <c r="P51" s="2">
        <v>830</v>
      </c>
      <c r="Q51" s="11">
        <f t="shared" si="17"/>
        <v>0</v>
      </c>
      <c r="R51" s="11">
        <v>0</v>
      </c>
      <c r="S51" s="2">
        <v>44</v>
      </c>
      <c r="T51" s="7">
        <v>10</v>
      </c>
      <c r="U51" s="2">
        <f t="shared" si="3"/>
        <v>34</v>
      </c>
      <c r="V51" s="2"/>
      <c r="W51" s="8"/>
      <c r="X51" s="3"/>
      <c r="Y51" s="2">
        <f t="shared" si="18"/>
        <v>8300</v>
      </c>
      <c r="Z51" s="2">
        <f t="shared" si="19"/>
        <v>28220</v>
      </c>
      <c r="AA51" s="2" t="s">
        <v>65</v>
      </c>
      <c r="AB51" s="2" t="s">
        <v>123</v>
      </c>
      <c r="AC51" s="2">
        <f t="shared" si="6"/>
        <v>0</v>
      </c>
      <c r="AD51" s="2">
        <v>3</v>
      </c>
      <c r="AE51" s="2">
        <f t="shared" si="7"/>
        <v>0</v>
      </c>
      <c r="AF51" s="2">
        <f t="shared" si="8"/>
        <v>0</v>
      </c>
      <c r="AG51" s="2">
        <v>3</v>
      </c>
      <c r="AH51" s="2" t="str">
        <f t="shared" si="9"/>
        <v>NO</v>
      </c>
      <c r="AI51" s="2">
        <f t="shared" si="10"/>
        <v>28220</v>
      </c>
      <c r="AJ51" s="2" t="s">
        <v>50</v>
      </c>
      <c r="AK51" s="2"/>
      <c r="AL51" s="2"/>
      <c r="AM51" s="2">
        <f t="shared" si="20"/>
        <v>36520</v>
      </c>
      <c r="AN51" s="2">
        <f t="shared" si="21"/>
        <v>11520</v>
      </c>
      <c r="AO51" s="2">
        <v>0</v>
      </c>
      <c r="AP51" s="4">
        <f t="shared" si="13"/>
        <v>261.81818181818181</v>
      </c>
      <c r="AQ51" s="4">
        <f t="shared" si="14"/>
        <v>0</v>
      </c>
      <c r="AR51" s="5">
        <v>46172</v>
      </c>
      <c r="AS51" s="5">
        <v>46177</v>
      </c>
      <c r="AT51" s="5">
        <v>46181</v>
      </c>
      <c r="AU51" s="2" t="str">
        <f t="shared" si="15"/>
        <v>ACTIVE</v>
      </c>
      <c r="AV51" s="2"/>
      <c r="AW51" s="2">
        <f t="shared" si="16"/>
        <v>0</v>
      </c>
      <c r="AX51" s="6"/>
      <c r="AY51" s="6"/>
    </row>
    <row r="52" spans="1:51" hidden="1" x14ac:dyDescent="0.25">
      <c r="A52" s="7" t="str">
        <f t="shared" si="0"/>
        <v>ACTIVE</v>
      </c>
      <c r="B52" s="2" t="s">
        <v>156</v>
      </c>
      <c r="C52" s="2" t="s">
        <v>157</v>
      </c>
      <c r="D52" s="2" t="s">
        <v>158</v>
      </c>
      <c r="E52" s="2" t="s">
        <v>73</v>
      </c>
      <c r="F52" s="2"/>
      <c r="G52" s="2" t="s">
        <v>160</v>
      </c>
      <c r="H52" s="2" t="s">
        <v>227</v>
      </c>
      <c r="I52" s="2" t="s">
        <v>124</v>
      </c>
      <c r="J52" s="2" t="s">
        <v>127</v>
      </c>
      <c r="K52" s="2" t="s">
        <v>274</v>
      </c>
      <c r="L52" s="2">
        <v>9627227142</v>
      </c>
      <c r="M52" s="2">
        <v>25000</v>
      </c>
      <c r="N52" s="2">
        <v>1860</v>
      </c>
      <c r="O52" s="2">
        <f t="shared" si="1"/>
        <v>23140</v>
      </c>
      <c r="P52" s="2">
        <v>830</v>
      </c>
      <c r="Q52" s="11">
        <f t="shared" si="17"/>
        <v>0</v>
      </c>
      <c r="R52" s="11">
        <v>0</v>
      </c>
      <c r="S52" s="2">
        <v>44</v>
      </c>
      <c r="T52" s="7">
        <v>10</v>
      </c>
      <c r="U52" s="2">
        <f t="shared" si="3"/>
        <v>34</v>
      </c>
      <c r="V52" s="2"/>
      <c r="W52" s="8"/>
      <c r="X52" s="3"/>
      <c r="Y52" s="2">
        <f t="shared" si="18"/>
        <v>8300</v>
      </c>
      <c r="Z52" s="2">
        <f t="shared" si="19"/>
        <v>28220</v>
      </c>
      <c r="AA52" s="2" t="s">
        <v>57</v>
      </c>
      <c r="AB52" s="2" t="s">
        <v>124</v>
      </c>
      <c r="AC52" s="2">
        <f t="shared" si="6"/>
        <v>0</v>
      </c>
      <c r="AD52" s="2">
        <v>4</v>
      </c>
      <c r="AE52" s="2">
        <f t="shared" si="7"/>
        <v>0</v>
      </c>
      <c r="AF52" s="2">
        <f t="shared" si="8"/>
        <v>0</v>
      </c>
      <c r="AG52" s="2">
        <v>4</v>
      </c>
      <c r="AH52" s="2" t="str">
        <f t="shared" si="9"/>
        <v>NO</v>
      </c>
      <c r="AI52" s="2">
        <f t="shared" si="10"/>
        <v>28220</v>
      </c>
      <c r="AJ52" s="2" t="s">
        <v>50</v>
      </c>
      <c r="AK52" s="2"/>
      <c r="AL52" s="2"/>
      <c r="AM52" s="2">
        <f t="shared" si="20"/>
        <v>36520</v>
      </c>
      <c r="AN52" s="2">
        <f t="shared" si="21"/>
        <v>11520</v>
      </c>
      <c r="AO52" s="2">
        <v>0</v>
      </c>
      <c r="AP52" s="4">
        <f t="shared" si="13"/>
        <v>261.81818181818181</v>
      </c>
      <c r="AQ52" s="4">
        <f t="shared" si="14"/>
        <v>0</v>
      </c>
      <c r="AR52" s="5">
        <v>46175</v>
      </c>
      <c r="AS52" s="5">
        <v>46177</v>
      </c>
      <c r="AT52" s="5">
        <v>46185</v>
      </c>
      <c r="AU52" s="2" t="str">
        <f t="shared" si="15"/>
        <v>ACTIVE</v>
      </c>
      <c r="AV52" s="2"/>
      <c r="AW52" s="2">
        <f t="shared" si="16"/>
        <v>0</v>
      </c>
      <c r="AX52" s="6"/>
      <c r="AY52" s="6"/>
    </row>
    <row r="53" spans="1:51" hidden="1" x14ac:dyDescent="0.25">
      <c r="A53" s="7" t="str">
        <f t="shared" si="0"/>
        <v>ACTIVE</v>
      </c>
      <c r="B53" s="2" t="s">
        <v>156</v>
      </c>
      <c r="C53" s="2" t="s">
        <v>157</v>
      </c>
      <c r="D53" s="2" t="s">
        <v>158</v>
      </c>
      <c r="E53" s="2" t="s">
        <v>73</v>
      </c>
      <c r="F53" s="2"/>
      <c r="G53" s="2" t="s">
        <v>160</v>
      </c>
      <c r="H53" s="2" t="s">
        <v>171</v>
      </c>
      <c r="I53" s="2" t="s">
        <v>125</v>
      </c>
      <c r="J53" s="2" t="s">
        <v>107</v>
      </c>
      <c r="K53" s="2" t="s">
        <v>275</v>
      </c>
      <c r="L53" s="2">
        <v>7409353022</v>
      </c>
      <c r="M53" s="2">
        <v>15000</v>
      </c>
      <c r="N53" s="2">
        <v>1260</v>
      </c>
      <c r="O53" s="2">
        <f t="shared" si="1"/>
        <v>13740</v>
      </c>
      <c r="P53" s="2">
        <v>730</v>
      </c>
      <c r="Q53" s="11">
        <f t="shared" si="17"/>
        <v>0</v>
      </c>
      <c r="R53" s="11">
        <v>0</v>
      </c>
      <c r="S53" s="2">
        <v>30</v>
      </c>
      <c r="T53" s="7">
        <v>10</v>
      </c>
      <c r="U53" s="2">
        <f t="shared" si="3"/>
        <v>20</v>
      </c>
      <c r="V53" s="2"/>
      <c r="W53" s="8"/>
      <c r="X53" s="3"/>
      <c r="Y53" s="2">
        <f t="shared" si="18"/>
        <v>7300</v>
      </c>
      <c r="Z53" s="2">
        <f t="shared" si="19"/>
        <v>14600</v>
      </c>
      <c r="AA53" s="2" t="s">
        <v>57</v>
      </c>
      <c r="AB53" s="2" t="s">
        <v>125</v>
      </c>
      <c r="AC53" s="2">
        <f t="shared" si="6"/>
        <v>0</v>
      </c>
      <c r="AD53" s="2">
        <v>5</v>
      </c>
      <c r="AE53" s="2">
        <f t="shared" si="7"/>
        <v>0</v>
      </c>
      <c r="AF53" s="2">
        <f t="shared" si="8"/>
        <v>0</v>
      </c>
      <c r="AG53" s="2">
        <v>5</v>
      </c>
      <c r="AH53" s="2" t="str">
        <f t="shared" si="9"/>
        <v>NO</v>
      </c>
      <c r="AI53" s="2">
        <f t="shared" si="10"/>
        <v>14600</v>
      </c>
      <c r="AJ53" s="2" t="s">
        <v>50</v>
      </c>
      <c r="AK53" s="2"/>
      <c r="AL53" s="2"/>
      <c r="AM53" s="2">
        <f t="shared" si="20"/>
        <v>21900</v>
      </c>
      <c r="AN53" s="2">
        <f t="shared" si="21"/>
        <v>6900</v>
      </c>
      <c r="AO53" s="2">
        <v>0</v>
      </c>
      <c r="AP53" s="4">
        <f t="shared" si="13"/>
        <v>230</v>
      </c>
      <c r="AQ53" s="4">
        <f t="shared" si="14"/>
        <v>0</v>
      </c>
      <c r="AR53" s="5">
        <v>46175</v>
      </c>
      <c r="AS53" s="5">
        <v>46177</v>
      </c>
      <c r="AT53" s="5">
        <v>46185</v>
      </c>
      <c r="AU53" s="2" t="str">
        <f t="shared" si="15"/>
        <v>ACTIVE</v>
      </c>
      <c r="AV53" s="2"/>
      <c r="AW53" s="2">
        <f t="shared" si="16"/>
        <v>0</v>
      </c>
      <c r="AX53" s="6"/>
      <c r="AY53" s="6"/>
    </row>
    <row r="54" spans="1:51" x14ac:dyDescent="0.25">
      <c r="A54" s="7" t="str">
        <f t="shared" si="0"/>
        <v>ACTIVE</v>
      </c>
      <c r="B54" s="2" t="s">
        <v>156</v>
      </c>
      <c r="C54" s="2" t="s">
        <v>157</v>
      </c>
      <c r="D54" s="2" t="s">
        <v>158</v>
      </c>
      <c r="E54" s="2" t="s">
        <v>73</v>
      </c>
      <c r="F54" s="2"/>
      <c r="G54" s="2" t="s">
        <v>160</v>
      </c>
      <c r="H54" s="2" t="s">
        <v>203</v>
      </c>
      <c r="I54" s="2" t="s">
        <v>126</v>
      </c>
      <c r="J54" s="2" t="s">
        <v>276</v>
      </c>
      <c r="K54" s="2" t="s">
        <v>277</v>
      </c>
      <c r="L54" s="2">
        <v>9634030105</v>
      </c>
      <c r="M54" s="2">
        <v>10000</v>
      </c>
      <c r="N54" s="2">
        <v>820</v>
      </c>
      <c r="O54" s="2">
        <f t="shared" si="1"/>
        <v>9180</v>
      </c>
      <c r="P54" s="2">
        <v>520</v>
      </c>
      <c r="Q54" s="11">
        <f t="shared" si="17"/>
        <v>0</v>
      </c>
      <c r="R54" s="11">
        <v>0</v>
      </c>
      <c r="S54" s="2">
        <v>28</v>
      </c>
      <c r="T54" s="7">
        <v>10</v>
      </c>
      <c r="U54" s="2">
        <f t="shared" si="3"/>
        <v>18</v>
      </c>
      <c r="V54" s="2"/>
      <c r="W54" s="8"/>
      <c r="X54" s="3"/>
      <c r="Y54" s="2">
        <f t="shared" si="18"/>
        <v>5200</v>
      </c>
      <c r="Z54" s="2">
        <f t="shared" si="19"/>
        <v>9360</v>
      </c>
      <c r="AA54" s="2" t="s">
        <v>53</v>
      </c>
      <c r="AB54" s="2" t="s">
        <v>126</v>
      </c>
      <c r="AC54" s="2">
        <f t="shared" si="6"/>
        <v>0</v>
      </c>
      <c r="AD54" s="2">
        <v>5</v>
      </c>
      <c r="AE54" s="2">
        <f t="shared" si="7"/>
        <v>0</v>
      </c>
      <c r="AF54" s="2">
        <f t="shared" si="8"/>
        <v>0</v>
      </c>
      <c r="AG54" s="2">
        <v>5</v>
      </c>
      <c r="AH54" s="2" t="str">
        <f t="shared" si="9"/>
        <v>NO</v>
      </c>
      <c r="AI54" s="2">
        <f t="shared" si="10"/>
        <v>9360</v>
      </c>
      <c r="AJ54" s="2" t="s">
        <v>50</v>
      </c>
      <c r="AK54" s="2"/>
      <c r="AL54" s="2"/>
      <c r="AM54" s="2">
        <f t="shared" si="20"/>
        <v>14560</v>
      </c>
      <c r="AN54" s="2">
        <f t="shared" si="21"/>
        <v>4560</v>
      </c>
      <c r="AO54" s="2">
        <v>0</v>
      </c>
      <c r="AP54" s="4">
        <f t="shared" si="13"/>
        <v>162.85714285714286</v>
      </c>
      <c r="AQ54" s="4">
        <f t="shared" si="14"/>
        <v>0</v>
      </c>
      <c r="AR54" s="5">
        <v>46178</v>
      </c>
      <c r="AS54" s="5">
        <v>46179</v>
      </c>
      <c r="AT54" s="5">
        <v>46182</v>
      </c>
      <c r="AU54" s="2" t="str">
        <f t="shared" si="15"/>
        <v>ACTIVE</v>
      </c>
      <c r="AV54" s="2"/>
      <c r="AW54" s="2">
        <f t="shared" si="16"/>
        <v>0</v>
      </c>
      <c r="AX54" s="6"/>
      <c r="AY54" s="6"/>
    </row>
    <row r="55" spans="1:51" x14ac:dyDescent="0.25">
      <c r="A55" s="7" t="str">
        <f t="shared" si="0"/>
        <v>ACTIVE</v>
      </c>
      <c r="B55" s="2" t="s">
        <v>156</v>
      </c>
      <c r="C55" s="2" t="s">
        <v>157</v>
      </c>
      <c r="D55" s="2" t="s">
        <v>158</v>
      </c>
      <c r="E55" s="2" t="s">
        <v>73</v>
      </c>
      <c r="F55" s="2"/>
      <c r="G55" s="2" t="s">
        <v>160</v>
      </c>
      <c r="H55" s="2" t="s">
        <v>203</v>
      </c>
      <c r="I55" s="2" t="s">
        <v>128</v>
      </c>
      <c r="J55" s="2" t="s">
        <v>278</v>
      </c>
      <c r="K55" s="2" t="s">
        <v>279</v>
      </c>
      <c r="L55" s="2">
        <v>9639877836</v>
      </c>
      <c r="M55" s="2">
        <v>10000</v>
      </c>
      <c r="N55" s="2">
        <v>820</v>
      </c>
      <c r="O55" s="2">
        <f t="shared" si="1"/>
        <v>9180</v>
      </c>
      <c r="P55" s="2">
        <v>520</v>
      </c>
      <c r="Q55" s="11">
        <f t="shared" si="17"/>
        <v>0</v>
      </c>
      <c r="R55" s="11">
        <v>0</v>
      </c>
      <c r="S55" s="2">
        <v>28</v>
      </c>
      <c r="T55" s="7">
        <v>10</v>
      </c>
      <c r="U55" s="2">
        <f t="shared" si="3"/>
        <v>18</v>
      </c>
      <c r="V55" s="2"/>
      <c r="W55" s="8"/>
      <c r="X55" s="3"/>
      <c r="Y55" s="2">
        <f t="shared" si="18"/>
        <v>5200</v>
      </c>
      <c r="Z55" s="2">
        <f t="shared" si="19"/>
        <v>9360</v>
      </c>
      <c r="AA55" s="2" t="s">
        <v>53</v>
      </c>
      <c r="AB55" s="2" t="s">
        <v>128</v>
      </c>
      <c r="AC55" s="2">
        <f t="shared" si="6"/>
        <v>0</v>
      </c>
      <c r="AD55" s="2">
        <v>5</v>
      </c>
      <c r="AE55" s="2">
        <f t="shared" si="7"/>
        <v>0</v>
      </c>
      <c r="AF55" s="2">
        <f t="shared" si="8"/>
        <v>0</v>
      </c>
      <c r="AG55" s="2">
        <v>5</v>
      </c>
      <c r="AH55" s="2" t="str">
        <f t="shared" si="9"/>
        <v>NO</v>
      </c>
      <c r="AI55" s="2">
        <f t="shared" si="10"/>
        <v>9360</v>
      </c>
      <c r="AJ55" s="2" t="s">
        <v>50</v>
      </c>
      <c r="AK55" s="2"/>
      <c r="AL55" s="2"/>
      <c r="AM55" s="2">
        <f t="shared" si="20"/>
        <v>14560</v>
      </c>
      <c r="AN55" s="2">
        <f t="shared" si="21"/>
        <v>4560</v>
      </c>
      <c r="AO55" s="2">
        <v>0</v>
      </c>
      <c r="AP55" s="4">
        <f t="shared" si="13"/>
        <v>162.85714285714286</v>
      </c>
      <c r="AQ55" s="4">
        <f t="shared" si="14"/>
        <v>0</v>
      </c>
      <c r="AR55" s="5">
        <v>46178</v>
      </c>
      <c r="AS55" s="5">
        <v>46179</v>
      </c>
      <c r="AT55" s="5">
        <v>46182</v>
      </c>
      <c r="AU55" s="2" t="str">
        <f t="shared" si="15"/>
        <v>ACTIVE</v>
      </c>
      <c r="AV55" s="2"/>
      <c r="AW55" s="2">
        <f t="shared" si="16"/>
        <v>0</v>
      </c>
      <c r="AX55" s="6"/>
      <c r="AY55" s="6"/>
    </row>
    <row r="56" spans="1:51" hidden="1" x14ac:dyDescent="0.25">
      <c r="A56" s="7" t="str">
        <f t="shared" si="0"/>
        <v>ACTIVE</v>
      </c>
      <c r="B56" s="2" t="s">
        <v>156</v>
      </c>
      <c r="C56" s="2" t="s">
        <v>157</v>
      </c>
      <c r="D56" s="2" t="s">
        <v>158</v>
      </c>
      <c r="E56" s="2" t="s">
        <v>73</v>
      </c>
      <c r="F56" s="2"/>
      <c r="G56" s="2" t="s">
        <v>160</v>
      </c>
      <c r="H56" s="2" t="s">
        <v>280</v>
      </c>
      <c r="I56" s="2" t="s">
        <v>129</v>
      </c>
      <c r="J56" s="2" t="s">
        <v>174</v>
      </c>
      <c r="K56" s="2" t="s">
        <v>281</v>
      </c>
      <c r="L56" s="2">
        <v>7668508257</v>
      </c>
      <c r="M56" s="2">
        <v>15000</v>
      </c>
      <c r="N56" s="2">
        <v>1260</v>
      </c>
      <c r="O56" s="2">
        <f t="shared" si="1"/>
        <v>13740</v>
      </c>
      <c r="P56" s="2">
        <v>730</v>
      </c>
      <c r="Q56" s="11">
        <f t="shared" si="17"/>
        <v>0</v>
      </c>
      <c r="R56" s="11">
        <v>0</v>
      </c>
      <c r="S56" s="2">
        <v>30</v>
      </c>
      <c r="T56" s="7">
        <v>10</v>
      </c>
      <c r="U56" s="2">
        <f t="shared" si="3"/>
        <v>20</v>
      </c>
      <c r="V56" s="2"/>
      <c r="W56" s="8"/>
      <c r="X56" s="3"/>
      <c r="Y56" s="2">
        <f t="shared" si="18"/>
        <v>7300</v>
      </c>
      <c r="Z56" s="2">
        <f t="shared" si="19"/>
        <v>14600</v>
      </c>
      <c r="AA56" s="2" t="s">
        <v>49</v>
      </c>
      <c r="AB56" s="2" t="s">
        <v>129</v>
      </c>
      <c r="AC56" s="2">
        <f t="shared" si="6"/>
        <v>0</v>
      </c>
      <c r="AD56" s="2">
        <v>5</v>
      </c>
      <c r="AE56" s="2">
        <f t="shared" si="7"/>
        <v>0</v>
      </c>
      <c r="AF56" s="2">
        <f t="shared" si="8"/>
        <v>0</v>
      </c>
      <c r="AG56" s="2">
        <v>5</v>
      </c>
      <c r="AH56" s="2" t="str">
        <f t="shared" si="9"/>
        <v>NO</v>
      </c>
      <c r="AI56" s="2">
        <f t="shared" si="10"/>
        <v>14600</v>
      </c>
      <c r="AJ56" s="2" t="s">
        <v>50</v>
      </c>
      <c r="AK56" s="2"/>
      <c r="AL56" s="2"/>
      <c r="AM56" s="2">
        <f t="shared" si="20"/>
        <v>21900</v>
      </c>
      <c r="AN56" s="2">
        <f t="shared" si="21"/>
        <v>6900</v>
      </c>
      <c r="AO56" s="2">
        <v>0</v>
      </c>
      <c r="AP56" s="4">
        <f t="shared" si="13"/>
        <v>230</v>
      </c>
      <c r="AQ56" s="4">
        <f t="shared" si="14"/>
        <v>0</v>
      </c>
      <c r="AR56" s="5">
        <v>46176</v>
      </c>
      <c r="AS56" s="5">
        <v>46179</v>
      </c>
      <c r="AT56" s="5">
        <v>46183</v>
      </c>
      <c r="AU56" s="2" t="str">
        <f t="shared" si="15"/>
        <v>ACTIVE</v>
      </c>
      <c r="AV56" s="2"/>
      <c r="AW56" s="2">
        <f t="shared" si="16"/>
        <v>0</v>
      </c>
      <c r="AX56" s="6"/>
      <c r="AY56" s="6"/>
    </row>
    <row r="57" spans="1:51" hidden="1" x14ac:dyDescent="0.25">
      <c r="A57" s="7" t="str">
        <f t="shared" si="0"/>
        <v>ACTIVE</v>
      </c>
      <c r="B57" s="2" t="s">
        <v>156</v>
      </c>
      <c r="C57" s="2" t="s">
        <v>157</v>
      </c>
      <c r="D57" s="2" t="s">
        <v>158</v>
      </c>
      <c r="E57" s="2" t="s">
        <v>73</v>
      </c>
      <c r="F57" s="2"/>
      <c r="G57" s="2" t="s">
        <v>160</v>
      </c>
      <c r="H57" s="2" t="s">
        <v>282</v>
      </c>
      <c r="I57" s="2" t="s">
        <v>130</v>
      </c>
      <c r="J57" s="2" t="s">
        <v>283</v>
      </c>
      <c r="K57" s="2" t="s">
        <v>284</v>
      </c>
      <c r="L57" s="2">
        <v>8534881062</v>
      </c>
      <c r="M57" s="2">
        <v>5000</v>
      </c>
      <c r="N57" s="2">
        <v>400</v>
      </c>
      <c r="O57" s="2">
        <f t="shared" si="1"/>
        <v>4600</v>
      </c>
      <c r="P57" s="2">
        <v>600</v>
      </c>
      <c r="Q57" s="11">
        <f t="shared" si="17"/>
        <v>0</v>
      </c>
      <c r="R57" s="11">
        <v>0</v>
      </c>
      <c r="S57" s="2">
        <v>12</v>
      </c>
      <c r="T57" s="7">
        <v>10</v>
      </c>
      <c r="U57" s="2">
        <f t="shared" si="3"/>
        <v>2</v>
      </c>
      <c r="V57" s="2"/>
      <c r="W57" s="8"/>
      <c r="X57" s="3"/>
      <c r="Y57" s="2">
        <f t="shared" si="18"/>
        <v>6000</v>
      </c>
      <c r="Z57" s="2">
        <f t="shared" si="19"/>
        <v>1200</v>
      </c>
      <c r="AA57" s="2" t="s">
        <v>49</v>
      </c>
      <c r="AB57" s="2" t="s">
        <v>130</v>
      </c>
      <c r="AC57" s="2">
        <f t="shared" si="6"/>
        <v>0</v>
      </c>
      <c r="AD57" s="2">
        <v>5</v>
      </c>
      <c r="AE57" s="2">
        <f t="shared" si="7"/>
        <v>0</v>
      </c>
      <c r="AF57" s="2">
        <f t="shared" si="8"/>
        <v>0</v>
      </c>
      <c r="AG57" s="2">
        <v>5</v>
      </c>
      <c r="AH57" s="2" t="str">
        <f t="shared" si="9"/>
        <v>NO</v>
      </c>
      <c r="AI57" s="2">
        <f t="shared" si="10"/>
        <v>1200</v>
      </c>
      <c r="AJ57" s="2" t="s">
        <v>50</v>
      </c>
      <c r="AK57" s="2"/>
      <c r="AL57" s="2"/>
      <c r="AM57" s="2">
        <f t="shared" si="20"/>
        <v>7200</v>
      </c>
      <c r="AN57" s="2">
        <f t="shared" si="21"/>
        <v>2200</v>
      </c>
      <c r="AO57" s="2">
        <v>0</v>
      </c>
      <c r="AP57" s="4">
        <f t="shared" si="13"/>
        <v>183.33333333333334</v>
      </c>
      <c r="AQ57" s="4">
        <f t="shared" si="14"/>
        <v>0</v>
      </c>
      <c r="AR57" s="5">
        <v>46176</v>
      </c>
      <c r="AS57" s="5">
        <v>46179</v>
      </c>
      <c r="AT57" s="5">
        <v>46183</v>
      </c>
      <c r="AU57" s="2" t="str">
        <f t="shared" si="15"/>
        <v>ACTIVE</v>
      </c>
      <c r="AV57" s="2"/>
      <c r="AW57" s="2">
        <f t="shared" si="16"/>
        <v>0</v>
      </c>
      <c r="AX57" s="6"/>
      <c r="AY57" s="6"/>
    </row>
    <row r="58" spans="1:51" hidden="1" x14ac:dyDescent="0.25">
      <c r="A58" s="7" t="str">
        <f t="shared" si="0"/>
        <v>ACTIVE</v>
      </c>
      <c r="B58" s="2" t="s">
        <v>156</v>
      </c>
      <c r="C58" s="2" t="s">
        <v>157</v>
      </c>
      <c r="D58" s="2" t="s">
        <v>158</v>
      </c>
      <c r="E58" s="2" t="s">
        <v>73</v>
      </c>
      <c r="F58" s="2"/>
      <c r="G58" s="2" t="s">
        <v>160</v>
      </c>
      <c r="H58" s="2" t="s">
        <v>285</v>
      </c>
      <c r="I58" s="2" t="s">
        <v>131</v>
      </c>
      <c r="J58" s="2" t="s">
        <v>286</v>
      </c>
      <c r="K58" s="2" t="s">
        <v>287</v>
      </c>
      <c r="L58" s="2">
        <v>9690072880</v>
      </c>
      <c r="M58" s="2">
        <v>20000</v>
      </c>
      <c r="N58" s="2">
        <v>1580</v>
      </c>
      <c r="O58" s="2">
        <f t="shared" si="1"/>
        <v>18420</v>
      </c>
      <c r="P58" s="2">
        <v>810</v>
      </c>
      <c r="Q58" s="11">
        <f t="shared" si="17"/>
        <v>0</v>
      </c>
      <c r="R58" s="11">
        <v>0</v>
      </c>
      <c r="S58" s="2">
        <v>36</v>
      </c>
      <c r="T58" s="7">
        <v>10</v>
      </c>
      <c r="U58" s="2">
        <f t="shared" si="3"/>
        <v>26</v>
      </c>
      <c r="V58" s="2"/>
      <c r="W58" s="8"/>
      <c r="X58" s="3"/>
      <c r="Y58" s="2">
        <f t="shared" si="18"/>
        <v>8100</v>
      </c>
      <c r="Z58" s="2">
        <f t="shared" si="19"/>
        <v>21060</v>
      </c>
      <c r="AA58" s="2" t="s">
        <v>57</v>
      </c>
      <c r="AB58" s="2" t="s">
        <v>131</v>
      </c>
      <c r="AC58" s="2">
        <f t="shared" si="6"/>
        <v>0</v>
      </c>
      <c r="AD58" s="2">
        <v>5</v>
      </c>
      <c r="AE58" s="2">
        <f t="shared" si="7"/>
        <v>0</v>
      </c>
      <c r="AF58" s="2">
        <f t="shared" si="8"/>
        <v>0</v>
      </c>
      <c r="AG58" s="2">
        <v>5</v>
      </c>
      <c r="AH58" s="2" t="str">
        <f t="shared" si="9"/>
        <v>NO</v>
      </c>
      <c r="AI58" s="2">
        <f t="shared" si="10"/>
        <v>21060</v>
      </c>
      <c r="AJ58" s="2" t="s">
        <v>50</v>
      </c>
      <c r="AK58" s="2"/>
      <c r="AL58" s="2"/>
      <c r="AM58" s="2">
        <f t="shared" si="20"/>
        <v>29160</v>
      </c>
      <c r="AN58" s="2">
        <f t="shared" si="21"/>
        <v>9160</v>
      </c>
      <c r="AO58" s="2">
        <v>0</v>
      </c>
      <c r="AP58" s="4">
        <f t="shared" si="13"/>
        <v>254.44444444444446</v>
      </c>
      <c r="AQ58" s="4">
        <f t="shared" si="14"/>
        <v>0</v>
      </c>
      <c r="AR58" s="5">
        <v>46181</v>
      </c>
      <c r="AS58" s="5">
        <v>46183</v>
      </c>
      <c r="AT58" s="5">
        <v>46185</v>
      </c>
      <c r="AU58" s="2" t="str">
        <f t="shared" si="15"/>
        <v>ACTIVE</v>
      </c>
      <c r="AV58" s="2"/>
      <c r="AW58" s="2">
        <f t="shared" si="16"/>
        <v>0</v>
      </c>
      <c r="AX58" s="6"/>
      <c r="AY58" s="6"/>
    </row>
    <row r="59" spans="1:51" hidden="1" x14ac:dyDescent="0.25">
      <c r="A59" s="7" t="str">
        <f t="shared" si="0"/>
        <v>ACTIVE</v>
      </c>
      <c r="B59" s="2" t="s">
        <v>156</v>
      </c>
      <c r="C59" s="2" t="s">
        <v>157</v>
      </c>
      <c r="D59" s="2" t="s">
        <v>158</v>
      </c>
      <c r="E59" s="2" t="s">
        <v>73</v>
      </c>
      <c r="F59" s="2"/>
      <c r="G59" s="2" t="s">
        <v>160</v>
      </c>
      <c r="H59" s="2" t="s">
        <v>288</v>
      </c>
      <c r="I59" s="2" t="s">
        <v>132</v>
      </c>
      <c r="J59" s="2" t="s">
        <v>289</v>
      </c>
      <c r="K59" s="2" t="s">
        <v>290</v>
      </c>
      <c r="L59" s="2">
        <v>8071939314</v>
      </c>
      <c r="M59" s="2">
        <v>25000</v>
      </c>
      <c r="N59" s="2">
        <v>1860</v>
      </c>
      <c r="O59" s="2">
        <f t="shared" si="1"/>
        <v>23140</v>
      </c>
      <c r="P59" s="2">
        <v>830</v>
      </c>
      <c r="Q59" s="11">
        <f t="shared" si="17"/>
        <v>0</v>
      </c>
      <c r="R59" s="11">
        <v>0</v>
      </c>
      <c r="S59" s="2">
        <v>44</v>
      </c>
      <c r="T59" s="7">
        <v>9</v>
      </c>
      <c r="U59" s="2">
        <f t="shared" si="3"/>
        <v>35</v>
      </c>
      <c r="V59" s="2"/>
      <c r="W59" s="8">
        <v>830</v>
      </c>
      <c r="X59" s="3"/>
      <c r="Y59" s="2">
        <f t="shared" si="18"/>
        <v>8300</v>
      </c>
      <c r="Z59" s="2">
        <f t="shared" si="19"/>
        <v>28220</v>
      </c>
      <c r="AA59" s="2" t="s">
        <v>65</v>
      </c>
      <c r="AB59" s="2" t="s">
        <v>132</v>
      </c>
      <c r="AC59" s="2">
        <f t="shared" si="6"/>
        <v>0</v>
      </c>
      <c r="AD59" s="2">
        <v>5</v>
      </c>
      <c r="AE59" s="2">
        <f t="shared" si="7"/>
        <v>0</v>
      </c>
      <c r="AF59" s="2">
        <f t="shared" si="8"/>
        <v>0</v>
      </c>
      <c r="AG59" s="2">
        <v>5</v>
      </c>
      <c r="AH59" s="2" t="str">
        <f t="shared" si="9"/>
        <v>NO</v>
      </c>
      <c r="AI59" s="2">
        <f t="shared" si="10"/>
        <v>28220</v>
      </c>
      <c r="AJ59" s="2" t="s">
        <v>50</v>
      </c>
      <c r="AK59" s="2"/>
      <c r="AL59" s="2"/>
      <c r="AM59" s="2">
        <f t="shared" si="20"/>
        <v>36520</v>
      </c>
      <c r="AN59" s="2">
        <f t="shared" si="21"/>
        <v>11520</v>
      </c>
      <c r="AO59" s="2">
        <v>0</v>
      </c>
      <c r="AP59" s="4">
        <f t="shared" si="13"/>
        <v>261.81818181818181</v>
      </c>
      <c r="AQ59" s="4">
        <f t="shared" si="14"/>
        <v>0</v>
      </c>
      <c r="AR59" s="5">
        <v>46181</v>
      </c>
      <c r="AS59" s="5">
        <v>46183</v>
      </c>
      <c r="AT59" s="5">
        <v>46188</v>
      </c>
      <c r="AU59" s="2" t="str">
        <f t="shared" si="15"/>
        <v>ACTIVE</v>
      </c>
      <c r="AV59" s="2"/>
      <c r="AW59" s="2">
        <f t="shared" si="16"/>
        <v>0</v>
      </c>
      <c r="AX59" s="6"/>
      <c r="AY59" s="6"/>
    </row>
    <row r="60" spans="1:51" hidden="1" x14ac:dyDescent="0.25">
      <c r="A60" s="7" t="str">
        <f t="shared" si="0"/>
        <v>ACTIVE</v>
      </c>
      <c r="B60" s="2" t="s">
        <v>156</v>
      </c>
      <c r="C60" s="2" t="s">
        <v>157</v>
      </c>
      <c r="D60" s="2" t="s">
        <v>158</v>
      </c>
      <c r="E60" s="2" t="s">
        <v>73</v>
      </c>
      <c r="F60" s="2"/>
      <c r="G60" s="2" t="s">
        <v>160</v>
      </c>
      <c r="H60" s="2" t="s">
        <v>291</v>
      </c>
      <c r="I60" s="2" t="s">
        <v>133</v>
      </c>
      <c r="J60" s="2" t="s">
        <v>117</v>
      </c>
      <c r="K60" s="2" t="s">
        <v>292</v>
      </c>
      <c r="L60" s="2">
        <v>8630381347</v>
      </c>
      <c r="M60" s="2">
        <v>15000</v>
      </c>
      <c r="N60" s="2">
        <v>1260</v>
      </c>
      <c r="O60" s="2">
        <f t="shared" si="1"/>
        <v>13740</v>
      </c>
      <c r="P60" s="2">
        <v>730</v>
      </c>
      <c r="Q60" s="11">
        <f t="shared" si="17"/>
        <v>0</v>
      </c>
      <c r="R60" s="11">
        <v>0</v>
      </c>
      <c r="S60" s="2">
        <v>30</v>
      </c>
      <c r="T60" s="7">
        <v>10</v>
      </c>
      <c r="U60" s="2">
        <f t="shared" si="3"/>
        <v>20</v>
      </c>
      <c r="V60" s="2"/>
      <c r="W60" s="8"/>
      <c r="X60" s="3"/>
      <c r="Y60" s="2">
        <f t="shared" si="18"/>
        <v>7300</v>
      </c>
      <c r="Z60" s="2">
        <f t="shared" si="19"/>
        <v>14600</v>
      </c>
      <c r="AA60" s="2" t="s">
        <v>57</v>
      </c>
      <c r="AB60" s="2" t="s">
        <v>133</v>
      </c>
      <c r="AC60" s="2">
        <f t="shared" si="6"/>
        <v>0</v>
      </c>
      <c r="AD60" s="2">
        <v>5</v>
      </c>
      <c r="AE60" s="2">
        <f t="shared" si="7"/>
        <v>0</v>
      </c>
      <c r="AF60" s="2">
        <f t="shared" si="8"/>
        <v>0</v>
      </c>
      <c r="AG60" s="2">
        <v>5</v>
      </c>
      <c r="AH60" s="2" t="str">
        <f t="shared" si="9"/>
        <v>NO</v>
      </c>
      <c r="AI60" s="2">
        <f t="shared" si="10"/>
        <v>14600</v>
      </c>
      <c r="AJ60" s="2" t="s">
        <v>50</v>
      </c>
      <c r="AK60" s="2"/>
      <c r="AL60" s="2"/>
      <c r="AM60" s="2">
        <f t="shared" si="20"/>
        <v>21900</v>
      </c>
      <c r="AN60" s="2">
        <f t="shared" si="21"/>
        <v>6900</v>
      </c>
      <c r="AO60" s="2">
        <v>0</v>
      </c>
      <c r="AP60" s="4">
        <f t="shared" si="13"/>
        <v>230</v>
      </c>
      <c r="AQ60" s="4">
        <f t="shared" si="14"/>
        <v>0</v>
      </c>
      <c r="AR60" s="5">
        <v>46181</v>
      </c>
      <c r="AS60" s="5">
        <v>46183</v>
      </c>
      <c r="AT60" s="5">
        <v>46185</v>
      </c>
      <c r="AU60" s="2" t="str">
        <f t="shared" si="15"/>
        <v>ACTIVE</v>
      </c>
      <c r="AV60" s="2"/>
      <c r="AW60" s="2">
        <f t="shared" si="16"/>
        <v>0</v>
      </c>
      <c r="AX60" s="6"/>
      <c r="AY60" s="6"/>
    </row>
    <row r="61" spans="1:51" hidden="1" x14ac:dyDescent="0.25">
      <c r="A61" s="7" t="str">
        <f t="shared" si="0"/>
        <v>ACTIVE</v>
      </c>
      <c r="B61" s="2" t="s">
        <v>156</v>
      </c>
      <c r="C61" s="2" t="s">
        <v>157</v>
      </c>
      <c r="D61" s="2" t="s">
        <v>158</v>
      </c>
      <c r="E61" s="2" t="s">
        <v>73</v>
      </c>
      <c r="F61" s="2"/>
      <c r="G61" s="2" t="s">
        <v>160</v>
      </c>
      <c r="H61" s="2" t="s">
        <v>293</v>
      </c>
      <c r="I61" s="2" t="s">
        <v>135</v>
      </c>
      <c r="J61" s="2" t="s">
        <v>294</v>
      </c>
      <c r="K61" s="2" t="s">
        <v>295</v>
      </c>
      <c r="L61" s="2">
        <v>9997852046</v>
      </c>
      <c r="M61" s="2">
        <v>25000</v>
      </c>
      <c r="N61" s="2">
        <v>1860</v>
      </c>
      <c r="O61" s="2">
        <f t="shared" si="1"/>
        <v>23140</v>
      </c>
      <c r="P61" s="2">
        <v>830</v>
      </c>
      <c r="Q61" s="11">
        <f t="shared" si="17"/>
        <v>0</v>
      </c>
      <c r="R61" s="11">
        <v>0</v>
      </c>
      <c r="S61" s="2">
        <v>44</v>
      </c>
      <c r="T61" s="7">
        <v>9</v>
      </c>
      <c r="U61" s="2">
        <f t="shared" si="3"/>
        <v>35</v>
      </c>
      <c r="V61" s="2"/>
      <c r="W61" s="8"/>
      <c r="X61" s="3"/>
      <c r="Y61" s="2">
        <f t="shared" si="18"/>
        <v>7470</v>
      </c>
      <c r="Z61" s="2">
        <f t="shared" si="19"/>
        <v>29050</v>
      </c>
      <c r="AA61" s="2" t="s">
        <v>65</v>
      </c>
      <c r="AB61" s="2" t="s">
        <v>135</v>
      </c>
      <c r="AC61" s="2">
        <f t="shared" si="6"/>
        <v>0</v>
      </c>
      <c r="AD61" s="2">
        <v>5</v>
      </c>
      <c r="AE61" s="2">
        <f t="shared" si="7"/>
        <v>0</v>
      </c>
      <c r="AF61" s="2">
        <f t="shared" si="8"/>
        <v>0</v>
      </c>
      <c r="AG61" s="2">
        <v>5</v>
      </c>
      <c r="AH61" s="2" t="str">
        <f t="shared" si="9"/>
        <v>NO</v>
      </c>
      <c r="AI61" s="2">
        <f t="shared" si="10"/>
        <v>29050</v>
      </c>
      <c r="AJ61" s="2" t="s">
        <v>50</v>
      </c>
      <c r="AK61" s="2"/>
      <c r="AL61" s="2"/>
      <c r="AM61" s="2">
        <f t="shared" si="20"/>
        <v>36520</v>
      </c>
      <c r="AN61" s="2">
        <f t="shared" si="21"/>
        <v>11520</v>
      </c>
      <c r="AO61" s="2">
        <v>0</v>
      </c>
      <c r="AP61" s="4">
        <f t="shared" si="13"/>
        <v>261.81818181818181</v>
      </c>
      <c r="AQ61" s="4">
        <f t="shared" si="14"/>
        <v>0</v>
      </c>
      <c r="AR61" s="5">
        <v>46181</v>
      </c>
      <c r="AS61" s="5">
        <v>46183</v>
      </c>
      <c r="AT61" s="5">
        <v>46188</v>
      </c>
      <c r="AU61" s="2" t="str">
        <f t="shared" si="15"/>
        <v>ACTIVE</v>
      </c>
      <c r="AV61" s="2"/>
      <c r="AW61" s="2">
        <f t="shared" si="16"/>
        <v>0</v>
      </c>
      <c r="AX61" s="6"/>
      <c r="AY61" s="6"/>
    </row>
    <row r="62" spans="1:51" hidden="1" x14ac:dyDescent="0.25">
      <c r="A62" s="7" t="str">
        <f t="shared" si="0"/>
        <v>ACTIVE</v>
      </c>
      <c r="B62" s="2" t="s">
        <v>156</v>
      </c>
      <c r="C62" s="2" t="s">
        <v>157</v>
      </c>
      <c r="D62" s="2" t="s">
        <v>158</v>
      </c>
      <c r="E62" s="2" t="s">
        <v>73</v>
      </c>
      <c r="F62" s="2"/>
      <c r="G62" s="2" t="s">
        <v>160</v>
      </c>
      <c r="H62" s="2" t="s">
        <v>291</v>
      </c>
      <c r="I62" s="2" t="s">
        <v>136</v>
      </c>
      <c r="J62" s="2" t="s">
        <v>296</v>
      </c>
      <c r="K62" s="2" t="s">
        <v>99</v>
      </c>
      <c r="L62" s="2">
        <v>9756861913</v>
      </c>
      <c r="M62" s="2">
        <v>10000</v>
      </c>
      <c r="N62" s="2">
        <v>820</v>
      </c>
      <c r="O62" s="2">
        <f t="shared" si="1"/>
        <v>9180</v>
      </c>
      <c r="P62" s="2">
        <v>520</v>
      </c>
      <c r="Q62" s="11">
        <f t="shared" si="17"/>
        <v>0</v>
      </c>
      <c r="R62" s="11">
        <v>0</v>
      </c>
      <c r="S62" s="2">
        <v>28</v>
      </c>
      <c r="T62" s="7">
        <v>10</v>
      </c>
      <c r="U62" s="2">
        <f t="shared" si="3"/>
        <v>18</v>
      </c>
      <c r="V62" s="2"/>
      <c r="W62" s="8"/>
      <c r="X62" s="3"/>
      <c r="Y62" s="2">
        <f t="shared" si="18"/>
        <v>5200</v>
      </c>
      <c r="Z62" s="2">
        <f t="shared" si="19"/>
        <v>9360</v>
      </c>
      <c r="AA62" s="2" t="s">
        <v>57</v>
      </c>
      <c r="AB62" s="2" t="s">
        <v>136</v>
      </c>
      <c r="AC62" s="2">
        <f t="shared" si="6"/>
        <v>0</v>
      </c>
      <c r="AD62" s="2">
        <v>5</v>
      </c>
      <c r="AE62" s="2">
        <f t="shared" si="7"/>
        <v>0</v>
      </c>
      <c r="AF62" s="2">
        <f t="shared" si="8"/>
        <v>0</v>
      </c>
      <c r="AG62" s="2">
        <v>5</v>
      </c>
      <c r="AH62" s="2" t="str">
        <f t="shared" si="9"/>
        <v>NO</v>
      </c>
      <c r="AI62" s="2">
        <f t="shared" si="10"/>
        <v>9360</v>
      </c>
      <c r="AJ62" s="2" t="s">
        <v>50</v>
      </c>
      <c r="AK62" s="2"/>
      <c r="AL62" s="2"/>
      <c r="AM62" s="2">
        <f t="shared" si="20"/>
        <v>14560</v>
      </c>
      <c r="AN62" s="2">
        <f t="shared" si="21"/>
        <v>4560</v>
      </c>
      <c r="AO62" s="2">
        <v>0</v>
      </c>
      <c r="AP62" s="4">
        <f t="shared" si="13"/>
        <v>162.85714285714286</v>
      </c>
      <c r="AQ62" s="4">
        <f t="shared" si="14"/>
        <v>0</v>
      </c>
      <c r="AR62" s="5">
        <v>46181</v>
      </c>
      <c r="AS62" s="5">
        <v>46183</v>
      </c>
      <c r="AT62" s="5">
        <v>46185</v>
      </c>
      <c r="AU62" s="2" t="str">
        <f t="shared" si="15"/>
        <v>ACTIVE</v>
      </c>
      <c r="AV62" s="2"/>
      <c r="AW62" s="2">
        <f t="shared" si="16"/>
        <v>0</v>
      </c>
      <c r="AX62" s="6"/>
      <c r="AY62" s="6"/>
    </row>
    <row r="63" spans="1:51" hidden="1" x14ac:dyDescent="0.25">
      <c r="A63" s="7" t="str">
        <f t="shared" si="0"/>
        <v>ACTIVE</v>
      </c>
      <c r="B63" s="2" t="s">
        <v>156</v>
      </c>
      <c r="C63" s="2" t="s">
        <v>157</v>
      </c>
      <c r="D63" s="2" t="s">
        <v>158</v>
      </c>
      <c r="E63" s="2" t="s">
        <v>73</v>
      </c>
      <c r="F63" s="2"/>
      <c r="G63" s="2" t="s">
        <v>160</v>
      </c>
      <c r="H63" s="2" t="s">
        <v>297</v>
      </c>
      <c r="I63" s="2" t="s">
        <v>137</v>
      </c>
      <c r="J63" s="2" t="s">
        <v>298</v>
      </c>
      <c r="K63" s="2" t="s">
        <v>299</v>
      </c>
      <c r="L63" s="2">
        <v>9027165485</v>
      </c>
      <c r="M63" s="2">
        <v>10000</v>
      </c>
      <c r="N63" s="2">
        <v>820</v>
      </c>
      <c r="O63" s="2">
        <f t="shared" si="1"/>
        <v>9180</v>
      </c>
      <c r="P63" s="2">
        <v>520</v>
      </c>
      <c r="Q63" s="11">
        <f t="shared" si="17"/>
        <v>0</v>
      </c>
      <c r="R63" s="11">
        <v>0</v>
      </c>
      <c r="S63" s="2">
        <v>28</v>
      </c>
      <c r="T63" s="7">
        <v>9</v>
      </c>
      <c r="U63" s="2">
        <f t="shared" si="3"/>
        <v>19</v>
      </c>
      <c r="V63" s="2"/>
      <c r="W63" s="8">
        <v>520</v>
      </c>
      <c r="X63" s="3"/>
      <c r="Y63" s="2">
        <f t="shared" si="18"/>
        <v>5200</v>
      </c>
      <c r="Z63" s="2">
        <f t="shared" si="19"/>
        <v>9360</v>
      </c>
      <c r="AA63" s="2" t="s">
        <v>67</v>
      </c>
      <c r="AB63" s="2" t="s">
        <v>137</v>
      </c>
      <c r="AC63" s="2">
        <f t="shared" si="6"/>
        <v>0</v>
      </c>
      <c r="AD63" s="2">
        <v>5</v>
      </c>
      <c r="AE63" s="2">
        <f t="shared" si="7"/>
        <v>0</v>
      </c>
      <c r="AF63" s="2">
        <f t="shared" si="8"/>
        <v>0</v>
      </c>
      <c r="AG63" s="2">
        <v>5</v>
      </c>
      <c r="AH63" s="2" t="str">
        <f t="shared" si="9"/>
        <v>NO</v>
      </c>
      <c r="AI63" s="2">
        <f t="shared" si="10"/>
        <v>9360</v>
      </c>
      <c r="AJ63" s="2" t="s">
        <v>50</v>
      </c>
      <c r="AK63" s="2"/>
      <c r="AL63" s="2"/>
      <c r="AM63" s="2">
        <f t="shared" si="20"/>
        <v>14560</v>
      </c>
      <c r="AN63" s="2">
        <f t="shared" si="21"/>
        <v>4560</v>
      </c>
      <c r="AO63" s="2">
        <v>0</v>
      </c>
      <c r="AP63" s="4">
        <f t="shared" si="13"/>
        <v>162.85714285714286</v>
      </c>
      <c r="AQ63" s="4">
        <f t="shared" si="14"/>
        <v>0</v>
      </c>
      <c r="AR63" s="5">
        <v>46183</v>
      </c>
      <c r="AS63" s="5">
        <v>46184</v>
      </c>
      <c r="AT63" s="5">
        <v>46191</v>
      </c>
      <c r="AU63" s="2" t="str">
        <f t="shared" si="15"/>
        <v>ACTIVE</v>
      </c>
      <c r="AV63" s="2"/>
      <c r="AW63" s="2">
        <f t="shared" si="16"/>
        <v>0</v>
      </c>
      <c r="AX63" s="6"/>
      <c r="AY63" s="6"/>
    </row>
    <row r="64" spans="1:51" hidden="1" x14ac:dyDescent="0.25">
      <c r="A64" s="7" t="str">
        <f t="shared" si="0"/>
        <v>ACTIVE</v>
      </c>
      <c r="B64" s="2" t="s">
        <v>156</v>
      </c>
      <c r="C64" s="2" t="s">
        <v>157</v>
      </c>
      <c r="D64" s="2" t="s">
        <v>158</v>
      </c>
      <c r="E64" s="2" t="s">
        <v>73</v>
      </c>
      <c r="F64" s="2"/>
      <c r="G64" s="2" t="s">
        <v>160</v>
      </c>
      <c r="H64" s="2" t="s">
        <v>300</v>
      </c>
      <c r="I64" s="2" t="s">
        <v>138</v>
      </c>
      <c r="J64" s="2" t="s">
        <v>301</v>
      </c>
      <c r="K64" s="2" t="s">
        <v>302</v>
      </c>
      <c r="L64" s="2">
        <v>9798310575</v>
      </c>
      <c r="M64" s="2">
        <v>25000</v>
      </c>
      <c r="N64" s="2">
        <v>1860</v>
      </c>
      <c r="O64" s="2">
        <f t="shared" si="1"/>
        <v>23140</v>
      </c>
      <c r="P64" s="2">
        <v>830</v>
      </c>
      <c r="Q64" s="11">
        <f t="shared" si="17"/>
        <v>0</v>
      </c>
      <c r="R64" s="11">
        <v>0</v>
      </c>
      <c r="S64" s="2">
        <v>44</v>
      </c>
      <c r="T64" s="7">
        <v>9</v>
      </c>
      <c r="U64" s="2">
        <f t="shared" si="3"/>
        <v>35</v>
      </c>
      <c r="V64" s="2"/>
      <c r="W64" s="8">
        <v>830</v>
      </c>
      <c r="X64" s="3"/>
      <c r="Y64" s="2">
        <f t="shared" si="18"/>
        <v>8300</v>
      </c>
      <c r="Z64" s="2">
        <f t="shared" si="19"/>
        <v>28220</v>
      </c>
      <c r="AA64" s="2" t="s">
        <v>67</v>
      </c>
      <c r="AB64" s="2" t="s">
        <v>138</v>
      </c>
      <c r="AC64" s="2">
        <f t="shared" si="6"/>
        <v>0</v>
      </c>
      <c r="AD64" s="2">
        <v>5</v>
      </c>
      <c r="AE64" s="2">
        <f t="shared" si="7"/>
        <v>0</v>
      </c>
      <c r="AF64" s="2">
        <f t="shared" si="8"/>
        <v>0</v>
      </c>
      <c r="AG64" s="2">
        <v>5</v>
      </c>
      <c r="AH64" s="2" t="str">
        <f t="shared" si="9"/>
        <v>NO</v>
      </c>
      <c r="AI64" s="2">
        <f t="shared" si="10"/>
        <v>28220</v>
      </c>
      <c r="AJ64" s="2" t="s">
        <v>50</v>
      </c>
      <c r="AK64" s="2"/>
      <c r="AL64" s="2"/>
      <c r="AM64" s="2">
        <f t="shared" si="20"/>
        <v>36520</v>
      </c>
      <c r="AN64" s="2">
        <f t="shared" si="21"/>
        <v>11520</v>
      </c>
      <c r="AO64" s="2">
        <v>0</v>
      </c>
      <c r="AP64" s="4">
        <f t="shared" si="13"/>
        <v>261.81818181818181</v>
      </c>
      <c r="AQ64" s="4">
        <f t="shared" si="14"/>
        <v>0</v>
      </c>
      <c r="AR64" s="5">
        <v>46184</v>
      </c>
      <c r="AS64" s="5">
        <v>46185</v>
      </c>
      <c r="AT64" s="5">
        <v>46191</v>
      </c>
      <c r="AU64" s="2" t="str">
        <f t="shared" si="15"/>
        <v>ACTIVE</v>
      </c>
      <c r="AV64" s="2"/>
      <c r="AW64" s="2">
        <f t="shared" si="16"/>
        <v>0</v>
      </c>
      <c r="AX64" s="6"/>
      <c r="AY64" s="6"/>
    </row>
    <row r="65" spans="1:51" hidden="1" x14ac:dyDescent="0.25">
      <c r="A65" s="7" t="str">
        <f t="shared" si="0"/>
        <v>ACTIVE</v>
      </c>
      <c r="B65" s="2" t="s">
        <v>156</v>
      </c>
      <c r="C65" s="2" t="s">
        <v>157</v>
      </c>
      <c r="D65" s="2" t="s">
        <v>158</v>
      </c>
      <c r="E65" s="2" t="s">
        <v>73</v>
      </c>
      <c r="F65" s="2"/>
      <c r="G65" s="2" t="s">
        <v>160</v>
      </c>
      <c r="H65" s="2" t="s">
        <v>300</v>
      </c>
      <c r="I65" s="2" t="s">
        <v>139</v>
      </c>
      <c r="J65" s="2" t="s">
        <v>303</v>
      </c>
      <c r="K65" s="2" t="s">
        <v>70</v>
      </c>
      <c r="L65" s="2">
        <v>7302806677</v>
      </c>
      <c r="M65" s="2">
        <v>30000</v>
      </c>
      <c r="N65" s="2">
        <v>2200</v>
      </c>
      <c r="O65" s="2">
        <f t="shared" si="1"/>
        <v>27800</v>
      </c>
      <c r="P65" s="2">
        <v>1000</v>
      </c>
      <c r="Q65" s="11">
        <f t="shared" si="17"/>
        <v>0</v>
      </c>
      <c r="R65" s="11">
        <v>0</v>
      </c>
      <c r="S65" s="2">
        <v>41</v>
      </c>
      <c r="T65" s="7">
        <v>9</v>
      </c>
      <c r="U65" s="2">
        <f t="shared" si="3"/>
        <v>32</v>
      </c>
      <c r="V65" s="2"/>
      <c r="W65" s="8">
        <v>1000</v>
      </c>
      <c r="X65" s="3"/>
      <c r="Y65" s="2">
        <f t="shared" si="18"/>
        <v>10000</v>
      </c>
      <c r="Z65" s="2">
        <f t="shared" si="19"/>
        <v>31000</v>
      </c>
      <c r="AA65" s="2" t="s">
        <v>67</v>
      </c>
      <c r="AB65" s="2" t="s">
        <v>139</v>
      </c>
      <c r="AC65" s="2">
        <f t="shared" si="6"/>
        <v>0</v>
      </c>
      <c r="AD65" s="2">
        <v>5</v>
      </c>
      <c r="AE65" s="2">
        <f t="shared" si="7"/>
        <v>0</v>
      </c>
      <c r="AF65" s="2">
        <f t="shared" si="8"/>
        <v>0</v>
      </c>
      <c r="AG65" s="2">
        <v>5</v>
      </c>
      <c r="AH65" s="2" t="str">
        <f t="shared" si="9"/>
        <v>NO</v>
      </c>
      <c r="AI65" s="2">
        <f t="shared" si="10"/>
        <v>31000</v>
      </c>
      <c r="AJ65" s="2" t="s">
        <v>50</v>
      </c>
      <c r="AK65" s="2"/>
      <c r="AL65" s="2"/>
      <c r="AM65" s="2">
        <f t="shared" si="20"/>
        <v>41000</v>
      </c>
      <c r="AN65" s="2">
        <f t="shared" si="21"/>
        <v>11000</v>
      </c>
      <c r="AO65" s="2">
        <v>0</v>
      </c>
      <c r="AP65" s="4">
        <f t="shared" si="13"/>
        <v>268.29268292682929</v>
      </c>
      <c r="AQ65" s="4">
        <f t="shared" si="14"/>
        <v>0</v>
      </c>
      <c r="AR65" s="5">
        <v>46184</v>
      </c>
      <c r="AS65" s="5">
        <v>46185</v>
      </c>
      <c r="AT65" s="5">
        <v>46191</v>
      </c>
      <c r="AU65" s="2" t="str">
        <f t="shared" si="15"/>
        <v>ACTIVE</v>
      </c>
      <c r="AV65" s="2"/>
      <c r="AW65" s="2">
        <f t="shared" si="16"/>
        <v>0</v>
      </c>
      <c r="AX65" s="6"/>
      <c r="AY65" s="6"/>
    </row>
    <row r="66" spans="1:51" hidden="1" x14ac:dyDescent="0.25">
      <c r="A66" s="7" t="str">
        <f t="shared" si="0"/>
        <v>ACTIVE</v>
      </c>
      <c r="B66" s="2" t="s">
        <v>156</v>
      </c>
      <c r="C66" s="2" t="s">
        <v>157</v>
      </c>
      <c r="D66" s="2" t="s">
        <v>158</v>
      </c>
      <c r="E66" s="2" t="s">
        <v>73</v>
      </c>
      <c r="F66" s="2"/>
      <c r="G66" s="2" t="s">
        <v>160</v>
      </c>
      <c r="H66" s="2" t="s">
        <v>288</v>
      </c>
      <c r="I66" s="2" t="s">
        <v>141</v>
      </c>
      <c r="J66" s="2" t="s">
        <v>304</v>
      </c>
      <c r="K66" s="2" t="s">
        <v>305</v>
      </c>
      <c r="L66" s="2">
        <v>8171396687</v>
      </c>
      <c r="M66" s="2">
        <v>15000</v>
      </c>
      <c r="N66" s="2">
        <v>1260</v>
      </c>
      <c r="O66" s="2">
        <f t="shared" si="1"/>
        <v>13740</v>
      </c>
      <c r="P66" s="2">
        <v>730</v>
      </c>
      <c r="Q66" s="11">
        <f t="shared" si="17"/>
        <v>0</v>
      </c>
      <c r="R66" s="11">
        <v>0</v>
      </c>
      <c r="S66" s="2">
        <v>30</v>
      </c>
      <c r="T66" s="7">
        <v>8</v>
      </c>
      <c r="U66" s="2">
        <f t="shared" si="3"/>
        <v>22</v>
      </c>
      <c r="V66" s="2"/>
      <c r="W66" s="8"/>
      <c r="X66" s="3"/>
      <c r="Y66" s="2">
        <f t="shared" si="18"/>
        <v>5840</v>
      </c>
      <c r="Z66" s="2">
        <f t="shared" si="19"/>
        <v>16060</v>
      </c>
      <c r="AA66" s="2" t="s">
        <v>65</v>
      </c>
      <c r="AB66" s="2" t="s">
        <v>141</v>
      </c>
      <c r="AC66" s="2">
        <f t="shared" si="6"/>
        <v>0</v>
      </c>
      <c r="AD66" s="2">
        <v>5</v>
      </c>
      <c r="AE66" s="2">
        <f t="shared" si="7"/>
        <v>0</v>
      </c>
      <c r="AF66" s="2">
        <f t="shared" si="8"/>
        <v>0</v>
      </c>
      <c r="AG66" s="2">
        <v>5</v>
      </c>
      <c r="AH66" s="2" t="str">
        <f t="shared" si="9"/>
        <v>NO</v>
      </c>
      <c r="AI66" s="2">
        <f t="shared" si="10"/>
        <v>16060</v>
      </c>
      <c r="AJ66" s="2" t="s">
        <v>50</v>
      </c>
      <c r="AK66" s="2"/>
      <c r="AL66" s="2"/>
      <c r="AM66" s="2">
        <f t="shared" si="20"/>
        <v>21900</v>
      </c>
      <c r="AN66" s="2">
        <f t="shared" si="21"/>
        <v>6900</v>
      </c>
      <c r="AO66" s="2">
        <v>0</v>
      </c>
      <c r="AP66" s="4">
        <f t="shared" si="13"/>
        <v>230</v>
      </c>
      <c r="AQ66" s="4">
        <f t="shared" si="14"/>
        <v>0</v>
      </c>
      <c r="AR66" s="5">
        <v>46185</v>
      </c>
      <c r="AS66" s="5">
        <v>46186</v>
      </c>
      <c r="AT66" s="5">
        <v>46195</v>
      </c>
      <c r="AU66" s="2" t="str">
        <f t="shared" si="15"/>
        <v>ACTIVE</v>
      </c>
      <c r="AV66" s="2"/>
      <c r="AW66" s="2">
        <f t="shared" si="16"/>
        <v>0</v>
      </c>
      <c r="AX66" s="6"/>
      <c r="AY66" s="6"/>
    </row>
    <row r="67" spans="1:51" hidden="1" x14ac:dyDescent="0.25">
      <c r="A67" s="7" t="str">
        <f t="shared" ref="A67:A113" si="22">IF(Z67=0,"CLOSE","ACTIVE")</f>
        <v>ACTIVE</v>
      </c>
      <c r="B67" s="2" t="s">
        <v>156</v>
      </c>
      <c r="C67" s="2" t="s">
        <v>157</v>
      </c>
      <c r="D67" s="2" t="s">
        <v>158</v>
      </c>
      <c r="E67" s="2" t="s">
        <v>73</v>
      </c>
      <c r="F67" s="2"/>
      <c r="G67" s="2" t="s">
        <v>160</v>
      </c>
      <c r="H67" s="2" t="s">
        <v>306</v>
      </c>
      <c r="I67" s="2" t="s">
        <v>142</v>
      </c>
      <c r="J67" s="2" t="s">
        <v>307</v>
      </c>
      <c r="K67" s="2" t="s">
        <v>308</v>
      </c>
      <c r="L67" s="2">
        <v>9760670186</v>
      </c>
      <c r="M67" s="2">
        <v>20000</v>
      </c>
      <c r="N67" s="2">
        <v>1580</v>
      </c>
      <c r="O67" s="2">
        <f t="shared" si="1"/>
        <v>18420</v>
      </c>
      <c r="P67" s="2">
        <v>810</v>
      </c>
      <c r="Q67" s="11">
        <f t="shared" ref="Q67:Q98" si="23">P67*R67</f>
        <v>0</v>
      </c>
      <c r="R67" s="11">
        <v>0</v>
      </c>
      <c r="S67" s="2">
        <v>36</v>
      </c>
      <c r="T67" s="7">
        <v>8</v>
      </c>
      <c r="U67" s="2">
        <f t="shared" ref="U67:U136" si="24">S67-T67-R67</f>
        <v>28</v>
      </c>
      <c r="V67" s="2"/>
      <c r="W67" s="8"/>
      <c r="X67" s="3"/>
      <c r="Y67" s="2">
        <f t="shared" ref="Y67:Y98" si="25">(T67*P67)-V67+W67</f>
        <v>6480</v>
      </c>
      <c r="Z67" s="2">
        <f t="shared" ref="Z67:Z98" si="26">P67*(R67+U67)+V67-W67</f>
        <v>22680</v>
      </c>
      <c r="AA67" s="2" t="s">
        <v>65</v>
      </c>
      <c r="AB67" s="2" t="s">
        <v>142</v>
      </c>
      <c r="AC67" s="2">
        <f t="shared" ref="AC67:AC124" si="27">R67*14</f>
        <v>0</v>
      </c>
      <c r="AD67" s="2">
        <v>5</v>
      </c>
      <c r="AE67" s="2">
        <f t="shared" ref="AE67:AE113" si="28">AC67*AD67</f>
        <v>0</v>
      </c>
      <c r="AF67" s="2">
        <f t="shared" ref="AF67:AF113" si="29">AC67</f>
        <v>0</v>
      </c>
      <c r="AG67" s="2">
        <v>5</v>
      </c>
      <c r="AH67" s="2" t="str">
        <f t="shared" ref="AH67:AH124" si="30">IF(AC67&gt;90,"YES","NO")</f>
        <v>NO</v>
      </c>
      <c r="AI67" s="2">
        <f t="shared" ref="AI67:AI124" si="31">Z67+AE67</f>
        <v>22680</v>
      </c>
      <c r="AJ67" s="2" t="s">
        <v>50</v>
      </c>
      <c r="AK67" s="2"/>
      <c r="AL67" s="2"/>
      <c r="AM67" s="2">
        <f t="shared" ref="AM67:AM98" si="32">P67*S67</f>
        <v>29160</v>
      </c>
      <c r="AN67" s="2">
        <f t="shared" ref="AN67:AN98" si="33">AM67-M67</f>
        <v>9160</v>
      </c>
      <c r="AO67" s="2">
        <v>0</v>
      </c>
      <c r="AP67" s="4">
        <f t="shared" ref="AP67:AP113" si="34">AN67/S67</f>
        <v>254.44444444444446</v>
      </c>
      <c r="AQ67" s="4">
        <f t="shared" ref="AQ67:AQ113" si="35">AP67*AO67</f>
        <v>0</v>
      </c>
      <c r="AR67" s="5">
        <v>46188</v>
      </c>
      <c r="AS67" s="5">
        <v>46190</v>
      </c>
      <c r="AT67" s="5">
        <v>46195</v>
      </c>
      <c r="AU67" s="2" t="str">
        <f t="shared" ref="AU67:AU131" si="36">IF(Z67=0,"CLOSE","ACTIVE")</f>
        <v>ACTIVE</v>
      </c>
      <c r="AV67" s="2"/>
      <c r="AW67" s="2">
        <f t="shared" ref="AW67:AW112" si="37">Q67+V67</f>
        <v>0</v>
      </c>
      <c r="AX67" s="6"/>
      <c r="AY67" s="6"/>
    </row>
    <row r="68" spans="1:51" hidden="1" x14ac:dyDescent="0.25">
      <c r="A68" s="7" t="str">
        <f t="shared" si="22"/>
        <v>ACTIVE</v>
      </c>
      <c r="B68" s="2" t="s">
        <v>156</v>
      </c>
      <c r="C68" s="2" t="s">
        <v>157</v>
      </c>
      <c r="D68" s="2" t="s">
        <v>158</v>
      </c>
      <c r="E68" s="2" t="s">
        <v>73</v>
      </c>
      <c r="F68" s="2"/>
      <c r="G68" s="2" t="s">
        <v>160</v>
      </c>
      <c r="H68" s="2" t="s">
        <v>306</v>
      </c>
      <c r="I68" s="2" t="s">
        <v>144</v>
      </c>
      <c r="J68" s="2" t="s">
        <v>309</v>
      </c>
      <c r="K68" s="2" t="s">
        <v>310</v>
      </c>
      <c r="L68" s="2">
        <v>7300647344</v>
      </c>
      <c r="M68" s="2">
        <v>20000</v>
      </c>
      <c r="N68" s="2">
        <v>1580</v>
      </c>
      <c r="O68" s="2">
        <f t="shared" si="1"/>
        <v>18420</v>
      </c>
      <c r="P68" s="2">
        <v>810</v>
      </c>
      <c r="Q68" s="11">
        <f t="shared" si="23"/>
        <v>0</v>
      </c>
      <c r="R68" s="11">
        <v>0</v>
      </c>
      <c r="S68" s="2">
        <v>36</v>
      </c>
      <c r="T68" s="7">
        <v>8</v>
      </c>
      <c r="U68" s="2">
        <f t="shared" si="24"/>
        <v>28</v>
      </c>
      <c r="V68" s="2"/>
      <c r="W68" s="8"/>
      <c r="X68" s="3"/>
      <c r="Y68" s="2">
        <f t="shared" si="25"/>
        <v>6480</v>
      </c>
      <c r="Z68" s="2">
        <f t="shared" si="26"/>
        <v>22680</v>
      </c>
      <c r="AA68" s="2" t="s">
        <v>65</v>
      </c>
      <c r="AB68" s="2" t="s">
        <v>144</v>
      </c>
      <c r="AC68" s="2">
        <f t="shared" si="27"/>
        <v>0</v>
      </c>
      <c r="AD68" s="2">
        <v>5</v>
      </c>
      <c r="AE68" s="2">
        <f t="shared" si="28"/>
        <v>0</v>
      </c>
      <c r="AF68" s="2">
        <f t="shared" si="29"/>
        <v>0</v>
      </c>
      <c r="AG68" s="2">
        <v>5</v>
      </c>
      <c r="AH68" s="2" t="str">
        <f t="shared" si="30"/>
        <v>NO</v>
      </c>
      <c r="AI68" s="2">
        <f t="shared" si="31"/>
        <v>22680</v>
      </c>
      <c r="AJ68" s="2" t="s">
        <v>50</v>
      </c>
      <c r="AK68" s="2"/>
      <c r="AL68" s="2"/>
      <c r="AM68" s="2">
        <f t="shared" si="32"/>
        <v>29160</v>
      </c>
      <c r="AN68" s="2">
        <f t="shared" si="33"/>
        <v>9160</v>
      </c>
      <c r="AO68" s="2">
        <v>0</v>
      </c>
      <c r="AP68" s="4">
        <f t="shared" si="34"/>
        <v>254.44444444444446</v>
      </c>
      <c r="AQ68" s="4">
        <f t="shared" si="35"/>
        <v>0</v>
      </c>
      <c r="AR68" s="5">
        <v>46188</v>
      </c>
      <c r="AS68" s="5">
        <v>46190</v>
      </c>
      <c r="AT68" s="5">
        <v>46195</v>
      </c>
      <c r="AU68" s="2" t="str">
        <f t="shared" si="36"/>
        <v>ACTIVE</v>
      </c>
      <c r="AV68" s="2"/>
      <c r="AW68" s="2">
        <f t="shared" si="37"/>
        <v>0</v>
      </c>
      <c r="AX68" s="6"/>
      <c r="AY68" s="6"/>
    </row>
    <row r="69" spans="1:51" hidden="1" x14ac:dyDescent="0.25">
      <c r="A69" s="7" t="str">
        <f t="shared" si="22"/>
        <v>ACTIVE</v>
      </c>
      <c r="B69" s="2" t="s">
        <v>156</v>
      </c>
      <c r="C69" s="2" t="s">
        <v>157</v>
      </c>
      <c r="D69" s="2" t="s">
        <v>158</v>
      </c>
      <c r="E69" s="2" t="s">
        <v>73</v>
      </c>
      <c r="F69" s="2"/>
      <c r="G69" s="2" t="s">
        <v>160</v>
      </c>
      <c r="H69" s="2" t="s">
        <v>306</v>
      </c>
      <c r="I69" s="2" t="s">
        <v>145</v>
      </c>
      <c r="J69" s="2" t="s">
        <v>311</v>
      </c>
      <c r="K69" s="2" t="s">
        <v>312</v>
      </c>
      <c r="L69" s="2">
        <v>7895448341</v>
      </c>
      <c r="M69" s="2">
        <v>20000</v>
      </c>
      <c r="N69" s="2">
        <v>1580</v>
      </c>
      <c r="O69" s="2">
        <f t="shared" si="1"/>
        <v>18420</v>
      </c>
      <c r="P69" s="2">
        <v>810</v>
      </c>
      <c r="Q69" s="11">
        <f t="shared" si="23"/>
        <v>0</v>
      </c>
      <c r="R69" s="11">
        <v>0</v>
      </c>
      <c r="S69" s="2">
        <v>36</v>
      </c>
      <c r="T69" s="7">
        <v>8</v>
      </c>
      <c r="U69" s="2">
        <f t="shared" si="24"/>
        <v>28</v>
      </c>
      <c r="V69" s="2"/>
      <c r="W69" s="8"/>
      <c r="X69" s="3"/>
      <c r="Y69" s="2">
        <f t="shared" si="25"/>
        <v>6480</v>
      </c>
      <c r="Z69" s="2">
        <f t="shared" si="26"/>
        <v>22680</v>
      </c>
      <c r="AA69" s="2" t="s">
        <v>65</v>
      </c>
      <c r="AB69" s="2" t="s">
        <v>145</v>
      </c>
      <c r="AC69" s="2">
        <f t="shared" si="27"/>
        <v>0</v>
      </c>
      <c r="AD69" s="2">
        <v>5</v>
      </c>
      <c r="AE69" s="2">
        <f t="shared" si="28"/>
        <v>0</v>
      </c>
      <c r="AF69" s="2">
        <f t="shared" si="29"/>
        <v>0</v>
      </c>
      <c r="AG69" s="2">
        <v>5</v>
      </c>
      <c r="AH69" s="2" t="str">
        <f t="shared" si="30"/>
        <v>NO</v>
      </c>
      <c r="AI69" s="2">
        <f t="shared" si="31"/>
        <v>22680</v>
      </c>
      <c r="AJ69" s="2" t="s">
        <v>50</v>
      </c>
      <c r="AK69" s="2"/>
      <c r="AL69" s="2"/>
      <c r="AM69" s="2">
        <f t="shared" si="32"/>
        <v>29160</v>
      </c>
      <c r="AN69" s="2">
        <f t="shared" si="33"/>
        <v>9160</v>
      </c>
      <c r="AO69" s="2">
        <v>0</v>
      </c>
      <c r="AP69" s="4">
        <f t="shared" si="34"/>
        <v>254.44444444444446</v>
      </c>
      <c r="AQ69" s="4">
        <f t="shared" si="35"/>
        <v>0</v>
      </c>
      <c r="AR69" s="5">
        <v>46188</v>
      </c>
      <c r="AS69" s="5">
        <v>46190</v>
      </c>
      <c r="AT69" s="5">
        <v>46195</v>
      </c>
      <c r="AU69" s="2" t="str">
        <f t="shared" si="36"/>
        <v>ACTIVE</v>
      </c>
      <c r="AV69" s="2"/>
      <c r="AW69" s="2">
        <f t="shared" si="37"/>
        <v>0</v>
      </c>
      <c r="AX69" s="6"/>
      <c r="AY69" s="6"/>
    </row>
    <row r="70" spans="1:51" hidden="1" x14ac:dyDescent="0.25">
      <c r="A70" s="7" t="str">
        <f t="shared" si="22"/>
        <v>ACTIVE</v>
      </c>
      <c r="B70" s="2" t="s">
        <v>156</v>
      </c>
      <c r="C70" s="2" t="s">
        <v>157</v>
      </c>
      <c r="D70" s="2" t="s">
        <v>158</v>
      </c>
      <c r="E70" s="2" t="s">
        <v>73</v>
      </c>
      <c r="F70" s="2"/>
      <c r="G70" s="2" t="s">
        <v>160</v>
      </c>
      <c r="H70" s="2" t="s">
        <v>306</v>
      </c>
      <c r="I70" s="2" t="s">
        <v>146</v>
      </c>
      <c r="J70" s="2" t="s">
        <v>76</v>
      </c>
      <c r="K70" s="2" t="s">
        <v>313</v>
      </c>
      <c r="L70" s="2">
        <v>9027441872</v>
      </c>
      <c r="M70" s="2">
        <v>20000</v>
      </c>
      <c r="N70" s="2">
        <v>1580</v>
      </c>
      <c r="O70" s="2">
        <f t="shared" si="1"/>
        <v>18420</v>
      </c>
      <c r="P70" s="2">
        <v>810</v>
      </c>
      <c r="Q70" s="11">
        <f t="shared" si="23"/>
        <v>0</v>
      </c>
      <c r="R70" s="11">
        <v>0</v>
      </c>
      <c r="S70" s="2">
        <v>36</v>
      </c>
      <c r="T70" s="7">
        <v>8</v>
      </c>
      <c r="U70" s="2">
        <f t="shared" si="24"/>
        <v>28</v>
      </c>
      <c r="V70" s="2"/>
      <c r="W70" s="8"/>
      <c r="X70" s="3"/>
      <c r="Y70" s="2">
        <f t="shared" si="25"/>
        <v>6480</v>
      </c>
      <c r="Z70" s="2">
        <f t="shared" si="26"/>
        <v>22680</v>
      </c>
      <c r="AA70" s="2" t="s">
        <v>65</v>
      </c>
      <c r="AB70" s="2" t="s">
        <v>146</v>
      </c>
      <c r="AC70" s="2">
        <f t="shared" si="27"/>
        <v>0</v>
      </c>
      <c r="AD70" s="2">
        <v>5</v>
      </c>
      <c r="AE70" s="2">
        <f t="shared" si="28"/>
        <v>0</v>
      </c>
      <c r="AF70" s="2">
        <f t="shared" si="29"/>
        <v>0</v>
      </c>
      <c r="AG70" s="2">
        <v>5</v>
      </c>
      <c r="AH70" s="2" t="str">
        <f t="shared" si="30"/>
        <v>NO</v>
      </c>
      <c r="AI70" s="2">
        <f t="shared" si="31"/>
        <v>22680</v>
      </c>
      <c r="AJ70" s="2" t="s">
        <v>50</v>
      </c>
      <c r="AK70" s="2"/>
      <c r="AL70" s="2"/>
      <c r="AM70" s="2">
        <f t="shared" si="32"/>
        <v>29160</v>
      </c>
      <c r="AN70" s="2">
        <f t="shared" si="33"/>
        <v>9160</v>
      </c>
      <c r="AO70" s="2">
        <v>0</v>
      </c>
      <c r="AP70" s="4">
        <f t="shared" si="34"/>
        <v>254.44444444444446</v>
      </c>
      <c r="AQ70" s="4">
        <f t="shared" si="35"/>
        <v>0</v>
      </c>
      <c r="AR70" s="5">
        <v>46188</v>
      </c>
      <c r="AS70" s="5">
        <v>46190</v>
      </c>
      <c r="AT70" s="5">
        <v>46195</v>
      </c>
      <c r="AU70" s="2" t="str">
        <f t="shared" si="36"/>
        <v>ACTIVE</v>
      </c>
      <c r="AV70" s="2"/>
      <c r="AW70" s="2">
        <f t="shared" si="37"/>
        <v>0</v>
      </c>
      <c r="AX70" s="6"/>
      <c r="AY70" s="6"/>
    </row>
    <row r="71" spans="1:51" x14ac:dyDescent="0.25">
      <c r="A71" s="7" t="str">
        <f t="shared" si="22"/>
        <v>ACTIVE</v>
      </c>
      <c r="B71" s="2" t="s">
        <v>156</v>
      </c>
      <c r="C71" s="2" t="s">
        <v>157</v>
      </c>
      <c r="D71" s="2" t="s">
        <v>158</v>
      </c>
      <c r="E71" s="2" t="s">
        <v>73</v>
      </c>
      <c r="F71" s="2"/>
      <c r="G71" s="2" t="s">
        <v>160</v>
      </c>
      <c r="H71" s="2" t="s">
        <v>314</v>
      </c>
      <c r="I71" s="2" t="s">
        <v>147</v>
      </c>
      <c r="J71" s="2" t="s">
        <v>315</v>
      </c>
      <c r="K71" s="2" t="s">
        <v>316</v>
      </c>
      <c r="L71" s="2">
        <v>9084970587</v>
      </c>
      <c r="M71" s="2">
        <v>25000</v>
      </c>
      <c r="N71" s="2">
        <v>1860</v>
      </c>
      <c r="O71" s="2">
        <f t="shared" si="1"/>
        <v>23140</v>
      </c>
      <c r="P71" s="2">
        <v>830</v>
      </c>
      <c r="Q71" s="11">
        <f t="shared" si="23"/>
        <v>0</v>
      </c>
      <c r="R71" s="11">
        <v>0</v>
      </c>
      <c r="S71" s="2">
        <v>44</v>
      </c>
      <c r="T71" s="7">
        <v>8</v>
      </c>
      <c r="U71" s="2">
        <f t="shared" si="24"/>
        <v>36</v>
      </c>
      <c r="V71" s="2"/>
      <c r="W71" s="8"/>
      <c r="X71" s="3"/>
      <c r="Y71" s="2">
        <f t="shared" si="25"/>
        <v>6640</v>
      </c>
      <c r="Z71" s="2">
        <f t="shared" si="26"/>
        <v>29880</v>
      </c>
      <c r="AA71" s="2" t="s">
        <v>53</v>
      </c>
      <c r="AB71" s="2" t="s">
        <v>147</v>
      </c>
      <c r="AC71" s="2">
        <f t="shared" si="27"/>
        <v>0</v>
      </c>
      <c r="AD71" s="2">
        <v>5</v>
      </c>
      <c r="AE71" s="2">
        <f t="shared" si="28"/>
        <v>0</v>
      </c>
      <c r="AF71" s="2">
        <f t="shared" si="29"/>
        <v>0</v>
      </c>
      <c r="AG71" s="2">
        <v>5</v>
      </c>
      <c r="AH71" s="2" t="str">
        <f t="shared" si="30"/>
        <v>NO</v>
      </c>
      <c r="AI71" s="2">
        <f t="shared" si="31"/>
        <v>29880</v>
      </c>
      <c r="AJ71" s="2" t="s">
        <v>50</v>
      </c>
      <c r="AK71" s="2"/>
      <c r="AL71" s="2"/>
      <c r="AM71" s="2">
        <f t="shared" si="32"/>
        <v>36520</v>
      </c>
      <c r="AN71" s="2">
        <f t="shared" si="33"/>
        <v>11520</v>
      </c>
      <c r="AO71" s="2">
        <v>0</v>
      </c>
      <c r="AP71" s="4">
        <f t="shared" si="34"/>
        <v>261.81818181818181</v>
      </c>
      <c r="AQ71" s="4">
        <f t="shared" si="35"/>
        <v>0</v>
      </c>
      <c r="AR71" s="5">
        <v>46190</v>
      </c>
      <c r="AS71" s="5">
        <v>46191</v>
      </c>
      <c r="AT71" s="5">
        <v>46196</v>
      </c>
      <c r="AU71" s="2" t="str">
        <f t="shared" si="36"/>
        <v>ACTIVE</v>
      </c>
      <c r="AV71" s="2"/>
      <c r="AW71" s="2">
        <f t="shared" si="37"/>
        <v>0</v>
      </c>
      <c r="AX71" s="6"/>
      <c r="AY71" s="6"/>
    </row>
    <row r="72" spans="1:51" x14ac:dyDescent="0.25">
      <c r="A72" s="7" t="str">
        <f t="shared" si="22"/>
        <v>ACTIVE</v>
      </c>
      <c r="B72" s="2" t="s">
        <v>156</v>
      </c>
      <c r="C72" s="2" t="s">
        <v>157</v>
      </c>
      <c r="D72" s="2" t="s">
        <v>158</v>
      </c>
      <c r="E72" s="2" t="s">
        <v>73</v>
      </c>
      <c r="F72" s="2"/>
      <c r="G72" s="2" t="s">
        <v>160</v>
      </c>
      <c r="H72" s="2" t="s">
        <v>317</v>
      </c>
      <c r="I72" s="2" t="s">
        <v>148</v>
      </c>
      <c r="J72" s="2" t="s">
        <v>318</v>
      </c>
      <c r="K72" s="2" t="s">
        <v>319</v>
      </c>
      <c r="L72" s="2">
        <v>7906313862</v>
      </c>
      <c r="M72" s="2">
        <v>20000</v>
      </c>
      <c r="N72" s="2">
        <v>1580</v>
      </c>
      <c r="O72" s="2">
        <f t="shared" si="1"/>
        <v>18420</v>
      </c>
      <c r="P72" s="2">
        <v>810</v>
      </c>
      <c r="Q72" s="11">
        <f t="shared" si="23"/>
        <v>0</v>
      </c>
      <c r="R72" s="11">
        <v>0</v>
      </c>
      <c r="S72" s="2">
        <v>36</v>
      </c>
      <c r="T72" s="7">
        <v>7</v>
      </c>
      <c r="U72" s="2">
        <f t="shared" si="24"/>
        <v>29</v>
      </c>
      <c r="V72" s="2"/>
      <c r="W72" s="8">
        <v>810</v>
      </c>
      <c r="X72" s="3"/>
      <c r="Y72" s="2">
        <f t="shared" si="25"/>
        <v>6480</v>
      </c>
      <c r="Z72" s="2">
        <f t="shared" si="26"/>
        <v>22680</v>
      </c>
      <c r="AA72" s="2" t="s">
        <v>53</v>
      </c>
      <c r="AB72" s="2" t="s">
        <v>148</v>
      </c>
      <c r="AC72" s="2">
        <f t="shared" si="27"/>
        <v>0</v>
      </c>
      <c r="AD72" s="2">
        <v>5</v>
      </c>
      <c r="AE72" s="2">
        <f t="shared" si="28"/>
        <v>0</v>
      </c>
      <c r="AF72" s="2">
        <f t="shared" si="29"/>
        <v>0</v>
      </c>
      <c r="AG72" s="2">
        <v>5</v>
      </c>
      <c r="AH72" s="2" t="str">
        <f t="shared" si="30"/>
        <v>NO</v>
      </c>
      <c r="AI72" s="2">
        <f t="shared" si="31"/>
        <v>22680</v>
      </c>
      <c r="AJ72" s="2" t="s">
        <v>50</v>
      </c>
      <c r="AK72" s="2"/>
      <c r="AL72" s="2"/>
      <c r="AM72" s="2">
        <f t="shared" si="32"/>
        <v>29160</v>
      </c>
      <c r="AN72" s="2">
        <f t="shared" si="33"/>
        <v>9160</v>
      </c>
      <c r="AO72" s="2">
        <v>0</v>
      </c>
      <c r="AP72" s="4">
        <f t="shared" si="34"/>
        <v>254.44444444444446</v>
      </c>
      <c r="AQ72" s="4">
        <f t="shared" si="35"/>
        <v>0</v>
      </c>
      <c r="AR72" s="5">
        <v>46188</v>
      </c>
      <c r="AS72" s="5">
        <v>46191</v>
      </c>
      <c r="AT72" s="5">
        <v>46203</v>
      </c>
      <c r="AU72" s="2" t="str">
        <f t="shared" si="36"/>
        <v>ACTIVE</v>
      </c>
      <c r="AV72" s="2"/>
      <c r="AW72" s="2">
        <f t="shared" si="37"/>
        <v>0</v>
      </c>
      <c r="AX72" s="6"/>
      <c r="AY72" s="6"/>
    </row>
    <row r="73" spans="1:51" x14ac:dyDescent="0.25">
      <c r="A73" s="7" t="str">
        <f t="shared" si="22"/>
        <v>ACTIVE</v>
      </c>
      <c r="B73" s="2" t="s">
        <v>156</v>
      </c>
      <c r="C73" s="2" t="s">
        <v>157</v>
      </c>
      <c r="D73" s="2" t="s">
        <v>158</v>
      </c>
      <c r="E73" s="2" t="s">
        <v>73</v>
      </c>
      <c r="F73" s="2"/>
      <c r="G73" s="2" t="s">
        <v>160</v>
      </c>
      <c r="H73" s="2" t="s">
        <v>317</v>
      </c>
      <c r="I73" s="2" t="s">
        <v>149</v>
      </c>
      <c r="J73" s="2" t="s">
        <v>320</v>
      </c>
      <c r="K73" s="2" t="s">
        <v>321</v>
      </c>
      <c r="L73" s="2">
        <v>7078235901</v>
      </c>
      <c r="M73" s="2">
        <v>20000</v>
      </c>
      <c r="N73" s="2">
        <v>1580</v>
      </c>
      <c r="O73" s="2">
        <f t="shared" si="1"/>
        <v>18420</v>
      </c>
      <c r="P73" s="2">
        <v>810</v>
      </c>
      <c r="Q73" s="11">
        <f t="shared" si="23"/>
        <v>0</v>
      </c>
      <c r="R73" s="11">
        <v>0</v>
      </c>
      <c r="S73" s="2">
        <v>36</v>
      </c>
      <c r="T73" s="7">
        <v>7</v>
      </c>
      <c r="U73" s="2">
        <f t="shared" si="24"/>
        <v>29</v>
      </c>
      <c r="V73" s="2"/>
      <c r="W73" s="8"/>
      <c r="X73" s="3"/>
      <c r="Y73" s="2">
        <f t="shared" si="25"/>
        <v>5670</v>
      </c>
      <c r="Z73" s="2">
        <f t="shared" si="26"/>
        <v>23490</v>
      </c>
      <c r="AA73" s="2" t="s">
        <v>53</v>
      </c>
      <c r="AB73" s="2" t="s">
        <v>149</v>
      </c>
      <c r="AC73" s="2">
        <f t="shared" si="27"/>
        <v>0</v>
      </c>
      <c r="AD73" s="2">
        <v>5</v>
      </c>
      <c r="AE73" s="2">
        <f t="shared" si="28"/>
        <v>0</v>
      </c>
      <c r="AF73" s="2">
        <f t="shared" si="29"/>
        <v>0</v>
      </c>
      <c r="AG73" s="2">
        <v>5</v>
      </c>
      <c r="AH73" s="2" t="str">
        <f t="shared" si="30"/>
        <v>NO</v>
      </c>
      <c r="AI73" s="2">
        <f t="shared" si="31"/>
        <v>23490</v>
      </c>
      <c r="AJ73" s="2" t="s">
        <v>50</v>
      </c>
      <c r="AK73" s="2"/>
      <c r="AL73" s="2"/>
      <c r="AM73" s="2">
        <f t="shared" si="32"/>
        <v>29160</v>
      </c>
      <c r="AN73" s="2">
        <f t="shared" si="33"/>
        <v>9160</v>
      </c>
      <c r="AO73" s="2">
        <v>0</v>
      </c>
      <c r="AP73" s="4">
        <f t="shared" si="34"/>
        <v>254.44444444444446</v>
      </c>
      <c r="AQ73" s="4">
        <f t="shared" si="35"/>
        <v>0</v>
      </c>
      <c r="AR73" s="5">
        <v>46188</v>
      </c>
      <c r="AS73" s="5">
        <v>46191</v>
      </c>
      <c r="AT73" s="5">
        <v>46203</v>
      </c>
      <c r="AU73" s="2" t="str">
        <f t="shared" si="36"/>
        <v>ACTIVE</v>
      </c>
      <c r="AV73" s="2"/>
      <c r="AW73" s="2">
        <f t="shared" si="37"/>
        <v>0</v>
      </c>
      <c r="AX73" s="6"/>
      <c r="AY73" s="6"/>
    </row>
    <row r="74" spans="1:51" hidden="1" x14ac:dyDescent="0.25">
      <c r="A74" s="7" t="str">
        <f t="shared" si="22"/>
        <v>ACTIVE</v>
      </c>
      <c r="B74" s="2" t="s">
        <v>156</v>
      </c>
      <c r="C74" s="2" t="s">
        <v>157</v>
      </c>
      <c r="D74" s="2" t="s">
        <v>158</v>
      </c>
      <c r="E74" s="2" t="s">
        <v>73</v>
      </c>
      <c r="F74" s="2"/>
      <c r="G74" s="2" t="s">
        <v>160</v>
      </c>
      <c r="H74" s="2" t="s">
        <v>322</v>
      </c>
      <c r="I74" s="2" t="s">
        <v>150</v>
      </c>
      <c r="J74" s="2" t="s">
        <v>323</v>
      </c>
      <c r="K74" s="2" t="s">
        <v>324</v>
      </c>
      <c r="L74" s="2">
        <v>9528196121</v>
      </c>
      <c r="M74" s="2">
        <v>20000</v>
      </c>
      <c r="N74" s="2">
        <v>1580</v>
      </c>
      <c r="O74" s="2">
        <f t="shared" si="1"/>
        <v>18420</v>
      </c>
      <c r="P74" s="2">
        <v>810</v>
      </c>
      <c r="Q74" s="11">
        <f t="shared" si="23"/>
        <v>0</v>
      </c>
      <c r="R74" s="11">
        <v>0</v>
      </c>
      <c r="S74" s="2">
        <v>36</v>
      </c>
      <c r="T74" s="7">
        <v>8</v>
      </c>
      <c r="U74" s="2">
        <f t="shared" si="24"/>
        <v>28</v>
      </c>
      <c r="V74" s="2"/>
      <c r="W74" s="8">
        <v>810</v>
      </c>
      <c r="X74" s="3"/>
      <c r="Y74" s="2">
        <f t="shared" si="25"/>
        <v>7290</v>
      </c>
      <c r="Z74" s="2">
        <f t="shared" si="26"/>
        <v>21870</v>
      </c>
      <c r="AA74" s="2" t="s">
        <v>57</v>
      </c>
      <c r="AB74" s="2" t="s">
        <v>150</v>
      </c>
      <c r="AC74" s="2">
        <f t="shared" si="27"/>
        <v>0</v>
      </c>
      <c r="AD74" s="2">
        <v>5</v>
      </c>
      <c r="AE74" s="2">
        <f t="shared" si="28"/>
        <v>0</v>
      </c>
      <c r="AF74" s="2">
        <f t="shared" si="29"/>
        <v>0</v>
      </c>
      <c r="AG74" s="2">
        <v>5</v>
      </c>
      <c r="AH74" s="2" t="str">
        <f t="shared" si="30"/>
        <v>NO</v>
      </c>
      <c r="AI74" s="2">
        <f t="shared" si="31"/>
        <v>21870</v>
      </c>
      <c r="AJ74" s="2" t="s">
        <v>50</v>
      </c>
      <c r="AK74" s="2"/>
      <c r="AL74" s="2"/>
      <c r="AM74" s="2">
        <f t="shared" si="32"/>
        <v>29160</v>
      </c>
      <c r="AN74" s="2">
        <f t="shared" si="33"/>
        <v>9160</v>
      </c>
      <c r="AO74" s="2">
        <v>0</v>
      </c>
      <c r="AP74" s="4">
        <f t="shared" si="34"/>
        <v>254.44444444444446</v>
      </c>
      <c r="AQ74" s="4">
        <f t="shared" si="35"/>
        <v>0</v>
      </c>
      <c r="AR74" s="5">
        <v>46179</v>
      </c>
      <c r="AS74" s="5">
        <v>46192</v>
      </c>
      <c r="AT74" s="5">
        <v>46199</v>
      </c>
      <c r="AU74" s="2" t="str">
        <f t="shared" si="36"/>
        <v>ACTIVE</v>
      </c>
      <c r="AV74" s="2"/>
      <c r="AW74" s="2">
        <f t="shared" si="37"/>
        <v>0</v>
      </c>
      <c r="AX74" s="6"/>
      <c r="AY74" s="6"/>
    </row>
    <row r="75" spans="1:51" hidden="1" x14ac:dyDescent="0.25">
      <c r="A75" s="7" t="str">
        <f t="shared" si="22"/>
        <v>ACTIVE</v>
      </c>
      <c r="B75" s="2" t="s">
        <v>156</v>
      </c>
      <c r="C75" s="2" t="s">
        <v>157</v>
      </c>
      <c r="D75" s="2" t="s">
        <v>158</v>
      </c>
      <c r="E75" s="2" t="s">
        <v>73</v>
      </c>
      <c r="F75" s="2"/>
      <c r="G75" s="2" t="s">
        <v>160</v>
      </c>
      <c r="H75" s="2" t="s">
        <v>322</v>
      </c>
      <c r="I75" s="2" t="s">
        <v>151</v>
      </c>
      <c r="J75" s="2" t="s">
        <v>325</v>
      </c>
      <c r="K75" s="2" t="s">
        <v>326</v>
      </c>
      <c r="L75" s="2">
        <v>8535061266</v>
      </c>
      <c r="M75" s="2">
        <v>15000</v>
      </c>
      <c r="N75" s="2">
        <v>1260</v>
      </c>
      <c r="O75" s="2">
        <f t="shared" si="1"/>
        <v>13740</v>
      </c>
      <c r="P75" s="2">
        <v>730</v>
      </c>
      <c r="Q75" s="11">
        <f t="shared" si="23"/>
        <v>0</v>
      </c>
      <c r="R75" s="11">
        <v>0</v>
      </c>
      <c r="S75" s="2">
        <v>30</v>
      </c>
      <c r="T75" s="7">
        <v>8</v>
      </c>
      <c r="U75" s="2">
        <f t="shared" si="24"/>
        <v>22</v>
      </c>
      <c r="V75" s="2"/>
      <c r="W75" s="8"/>
      <c r="X75" s="3"/>
      <c r="Y75" s="2">
        <f t="shared" si="25"/>
        <v>5840</v>
      </c>
      <c r="Z75" s="2">
        <f t="shared" si="26"/>
        <v>16060</v>
      </c>
      <c r="AA75" s="2" t="s">
        <v>57</v>
      </c>
      <c r="AB75" s="2" t="s">
        <v>151</v>
      </c>
      <c r="AC75" s="2">
        <f t="shared" si="27"/>
        <v>0</v>
      </c>
      <c r="AD75" s="2">
        <v>5</v>
      </c>
      <c r="AE75" s="2">
        <f t="shared" si="28"/>
        <v>0</v>
      </c>
      <c r="AF75" s="2">
        <f t="shared" si="29"/>
        <v>0</v>
      </c>
      <c r="AG75" s="2">
        <v>5</v>
      </c>
      <c r="AH75" s="2" t="str">
        <f t="shared" si="30"/>
        <v>NO</v>
      </c>
      <c r="AI75" s="2">
        <f t="shared" si="31"/>
        <v>16060</v>
      </c>
      <c r="AJ75" s="2" t="s">
        <v>50</v>
      </c>
      <c r="AK75" s="2"/>
      <c r="AL75" s="2"/>
      <c r="AM75" s="2">
        <f t="shared" si="32"/>
        <v>21900</v>
      </c>
      <c r="AN75" s="2">
        <f t="shared" si="33"/>
        <v>6900</v>
      </c>
      <c r="AO75" s="2">
        <v>0</v>
      </c>
      <c r="AP75" s="4">
        <f t="shared" si="34"/>
        <v>230</v>
      </c>
      <c r="AQ75" s="4">
        <f t="shared" si="35"/>
        <v>0</v>
      </c>
      <c r="AR75" s="5">
        <v>46191</v>
      </c>
      <c r="AS75" s="5">
        <v>46192</v>
      </c>
      <c r="AT75" s="5">
        <v>46199</v>
      </c>
      <c r="AU75" s="2" t="str">
        <f t="shared" si="36"/>
        <v>ACTIVE</v>
      </c>
      <c r="AV75" s="2"/>
      <c r="AW75" s="2">
        <f t="shared" si="37"/>
        <v>0</v>
      </c>
      <c r="AX75" s="6"/>
      <c r="AY75" s="6"/>
    </row>
    <row r="76" spans="1:51" x14ac:dyDescent="0.25">
      <c r="A76" s="7" t="str">
        <f t="shared" si="22"/>
        <v>ACTIVE</v>
      </c>
      <c r="B76" s="2" t="s">
        <v>156</v>
      </c>
      <c r="C76" s="2" t="s">
        <v>157</v>
      </c>
      <c r="D76" s="2" t="s">
        <v>158</v>
      </c>
      <c r="E76" s="2" t="s">
        <v>73</v>
      </c>
      <c r="F76" s="2"/>
      <c r="G76" s="2" t="s">
        <v>160</v>
      </c>
      <c r="H76" s="2" t="s">
        <v>317</v>
      </c>
      <c r="I76" s="2" t="s">
        <v>152</v>
      </c>
      <c r="J76" s="2" t="s">
        <v>78</v>
      </c>
      <c r="K76" s="2" t="s">
        <v>327</v>
      </c>
      <c r="L76" s="2">
        <v>9917069331</v>
      </c>
      <c r="M76" s="2">
        <v>20000</v>
      </c>
      <c r="N76" s="2">
        <v>1580</v>
      </c>
      <c r="O76" s="2">
        <f t="shared" si="1"/>
        <v>18420</v>
      </c>
      <c r="P76" s="2">
        <v>810</v>
      </c>
      <c r="Q76" s="11">
        <f t="shared" si="23"/>
        <v>0</v>
      </c>
      <c r="R76" s="11">
        <v>0</v>
      </c>
      <c r="S76" s="2">
        <v>36</v>
      </c>
      <c r="T76" s="7">
        <v>7</v>
      </c>
      <c r="U76" s="2">
        <f t="shared" si="24"/>
        <v>29</v>
      </c>
      <c r="V76" s="2"/>
      <c r="W76" s="8">
        <v>810</v>
      </c>
      <c r="X76" s="3"/>
      <c r="Y76" s="2">
        <f t="shared" si="25"/>
        <v>6480</v>
      </c>
      <c r="Z76" s="2">
        <f t="shared" si="26"/>
        <v>22680</v>
      </c>
      <c r="AA76" s="2" t="s">
        <v>53</v>
      </c>
      <c r="AB76" s="2" t="s">
        <v>152</v>
      </c>
      <c r="AC76" s="2">
        <f t="shared" si="27"/>
        <v>0</v>
      </c>
      <c r="AD76" s="2">
        <v>5</v>
      </c>
      <c r="AE76" s="2">
        <f t="shared" si="28"/>
        <v>0</v>
      </c>
      <c r="AF76" s="2">
        <f t="shared" si="29"/>
        <v>0</v>
      </c>
      <c r="AG76" s="2">
        <v>5</v>
      </c>
      <c r="AH76" s="2" t="str">
        <f t="shared" si="30"/>
        <v>NO</v>
      </c>
      <c r="AI76" s="2">
        <f t="shared" si="31"/>
        <v>22680</v>
      </c>
      <c r="AJ76" s="2" t="s">
        <v>50</v>
      </c>
      <c r="AK76" s="2"/>
      <c r="AL76" s="2"/>
      <c r="AM76" s="2">
        <f t="shared" si="32"/>
        <v>29160</v>
      </c>
      <c r="AN76" s="2">
        <f t="shared" si="33"/>
        <v>9160</v>
      </c>
      <c r="AO76" s="2">
        <v>0</v>
      </c>
      <c r="AP76" s="4">
        <f t="shared" si="34"/>
        <v>254.44444444444446</v>
      </c>
      <c r="AQ76" s="4">
        <f t="shared" si="35"/>
        <v>0</v>
      </c>
      <c r="AR76" s="5">
        <v>46188</v>
      </c>
      <c r="AS76" s="5">
        <v>46192</v>
      </c>
      <c r="AT76" s="5">
        <v>46203</v>
      </c>
      <c r="AU76" s="2" t="str">
        <f t="shared" si="36"/>
        <v>ACTIVE</v>
      </c>
      <c r="AV76" s="2"/>
      <c r="AW76" s="2">
        <f t="shared" si="37"/>
        <v>0</v>
      </c>
      <c r="AX76" s="6"/>
      <c r="AY76" s="6"/>
    </row>
    <row r="77" spans="1:51" hidden="1" x14ac:dyDescent="0.25">
      <c r="A77" s="7" t="str">
        <f t="shared" si="22"/>
        <v>ACTIVE</v>
      </c>
      <c r="B77" s="2" t="s">
        <v>156</v>
      </c>
      <c r="C77" s="2" t="s">
        <v>157</v>
      </c>
      <c r="D77" s="2" t="s">
        <v>158</v>
      </c>
      <c r="E77" s="2" t="s">
        <v>73</v>
      </c>
      <c r="F77" s="2"/>
      <c r="G77" s="2" t="s">
        <v>160</v>
      </c>
      <c r="H77" s="2" t="s">
        <v>328</v>
      </c>
      <c r="I77" s="2" t="s">
        <v>153</v>
      </c>
      <c r="J77" s="2" t="s">
        <v>103</v>
      </c>
      <c r="K77" s="2" t="s">
        <v>329</v>
      </c>
      <c r="L77" s="2">
        <v>8868832613</v>
      </c>
      <c r="M77" s="2">
        <v>20000</v>
      </c>
      <c r="N77" s="2">
        <v>1580</v>
      </c>
      <c r="O77" s="2">
        <f t="shared" si="1"/>
        <v>18420</v>
      </c>
      <c r="P77" s="2">
        <v>810</v>
      </c>
      <c r="Q77" s="11">
        <f t="shared" si="23"/>
        <v>0</v>
      </c>
      <c r="R77" s="11">
        <v>0</v>
      </c>
      <c r="S77" s="2">
        <v>36</v>
      </c>
      <c r="T77" s="7">
        <v>7</v>
      </c>
      <c r="U77" s="2">
        <f t="shared" si="24"/>
        <v>29</v>
      </c>
      <c r="V77" s="2"/>
      <c r="W77" s="8"/>
      <c r="X77" s="3"/>
      <c r="Y77" s="2">
        <f t="shared" si="25"/>
        <v>5670</v>
      </c>
      <c r="Z77" s="2">
        <f t="shared" si="26"/>
        <v>23490</v>
      </c>
      <c r="AA77" s="2" t="s">
        <v>67</v>
      </c>
      <c r="AB77" s="2" t="s">
        <v>153</v>
      </c>
      <c r="AC77" s="2">
        <f t="shared" si="27"/>
        <v>0</v>
      </c>
      <c r="AD77" s="2">
        <v>5</v>
      </c>
      <c r="AE77" s="2">
        <f t="shared" si="28"/>
        <v>0</v>
      </c>
      <c r="AF77" s="2">
        <f t="shared" si="29"/>
        <v>0</v>
      </c>
      <c r="AG77" s="2">
        <v>5</v>
      </c>
      <c r="AH77" s="2" t="str">
        <f t="shared" si="30"/>
        <v>NO</v>
      </c>
      <c r="AI77" s="2">
        <f t="shared" si="31"/>
        <v>23490</v>
      </c>
      <c r="AJ77" s="2" t="s">
        <v>50</v>
      </c>
      <c r="AK77" s="2"/>
      <c r="AL77" s="2"/>
      <c r="AM77" s="2">
        <f t="shared" si="32"/>
        <v>29160</v>
      </c>
      <c r="AN77" s="2">
        <f t="shared" si="33"/>
        <v>9160</v>
      </c>
      <c r="AO77" s="2">
        <v>0</v>
      </c>
      <c r="AP77" s="4">
        <f t="shared" si="34"/>
        <v>254.44444444444446</v>
      </c>
      <c r="AQ77" s="4">
        <f t="shared" si="35"/>
        <v>0</v>
      </c>
      <c r="AR77" s="5">
        <v>46192</v>
      </c>
      <c r="AS77" s="5">
        <v>46195</v>
      </c>
      <c r="AT77" s="5">
        <v>46205</v>
      </c>
      <c r="AU77" s="2" t="str">
        <f t="shared" si="36"/>
        <v>ACTIVE</v>
      </c>
      <c r="AV77" s="2"/>
      <c r="AW77" s="2">
        <f t="shared" si="37"/>
        <v>0</v>
      </c>
      <c r="AX77" s="6"/>
      <c r="AY77" s="6"/>
    </row>
    <row r="78" spans="1:51" x14ac:dyDescent="0.25">
      <c r="A78" s="7" t="str">
        <f t="shared" si="22"/>
        <v>ACTIVE</v>
      </c>
      <c r="B78" s="2" t="s">
        <v>156</v>
      </c>
      <c r="C78" s="2" t="s">
        <v>157</v>
      </c>
      <c r="D78" s="2" t="s">
        <v>158</v>
      </c>
      <c r="E78" s="2" t="s">
        <v>73</v>
      </c>
      <c r="F78" s="2"/>
      <c r="G78" s="2" t="s">
        <v>160</v>
      </c>
      <c r="H78" s="2" t="s">
        <v>255</v>
      </c>
      <c r="I78" s="2" t="s">
        <v>330</v>
      </c>
      <c r="J78" s="2" t="s">
        <v>174</v>
      </c>
      <c r="K78" s="2" t="s">
        <v>331</v>
      </c>
      <c r="L78" s="2">
        <v>7252872854</v>
      </c>
      <c r="M78" s="2">
        <v>25000</v>
      </c>
      <c r="N78" s="2">
        <v>1860</v>
      </c>
      <c r="O78" s="2">
        <f t="shared" si="1"/>
        <v>23140</v>
      </c>
      <c r="P78" s="2">
        <v>830</v>
      </c>
      <c r="Q78" s="11">
        <f t="shared" si="23"/>
        <v>0</v>
      </c>
      <c r="R78" s="11">
        <v>0</v>
      </c>
      <c r="S78" s="2">
        <v>44</v>
      </c>
      <c r="T78" s="7">
        <v>7</v>
      </c>
      <c r="U78" s="2">
        <f t="shared" si="24"/>
        <v>37</v>
      </c>
      <c r="V78" s="2"/>
      <c r="W78" s="8">
        <v>830</v>
      </c>
      <c r="X78" s="3"/>
      <c r="Y78" s="2">
        <f t="shared" si="25"/>
        <v>6640</v>
      </c>
      <c r="Z78" s="2">
        <f t="shared" si="26"/>
        <v>29880</v>
      </c>
      <c r="AA78" s="2" t="s">
        <v>53</v>
      </c>
      <c r="AB78" s="2" t="s">
        <v>330</v>
      </c>
      <c r="AC78" s="2">
        <f t="shared" si="27"/>
        <v>0</v>
      </c>
      <c r="AD78" s="2">
        <v>5</v>
      </c>
      <c r="AE78" s="2">
        <f t="shared" si="28"/>
        <v>0</v>
      </c>
      <c r="AF78" s="2">
        <f t="shared" si="29"/>
        <v>0</v>
      </c>
      <c r="AG78" s="2">
        <v>5</v>
      </c>
      <c r="AH78" s="2" t="str">
        <f t="shared" si="30"/>
        <v>NO</v>
      </c>
      <c r="AI78" s="2">
        <f t="shared" si="31"/>
        <v>29880</v>
      </c>
      <c r="AJ78" s="2" t="s">
        <v>50</v>
      </c>
      <c r="AK78" s="2"/>
      <c r="AL78" s="2"/>
      <c r="AM78" s="2">
        <f t="shared" si="32"/>
        <v>36520</v>
      </c>
      <c r="AN78" s="2">
        <f t="shared" si="33"/>
        <v>11520</v>
      </c>
      <c r="AO78" s="2">
        <v>0</v>
      </c>
      <c r="AP78" s="4">
        <f t="shared" si="34"/>
        <v>261.81818181818181</v>
      </c>
      <c r="AQ78" s="4">
        <f t="shared" si="35"/>
        <v>0</v>
      </c>
      <c r="AR78" s="5">
        <v>46189</v>
      </c>
      <c r="AS78" s="5">
        <v>46195</v>
      </c>
      <c r="AT78" s="5">
        <v>46203</v>
      </c>
      <c r="AU78" s="2" t="str">
        <f t="shared" si="36"/>
        <v>ACTIVE</v>
      </c>
      <c r="AV78" s="2"/>
      <c r="AW78" s="2">
        <f t="shared" si="37"/>
        <v>0</v>
      </c>
      <c r="AX78" s="6"/>
      <c r="AY78" s="6"/>
    </row>
    <row r="79" spans="1:51" hidden="1" x14ac:dyDescent="0.25">
      <c r="A79" s="7" t="str">
        <f t="shared" si="22"/>
        <v>ACTIVE</v>
      </c>
      <c r="B79" s="2" t="s">
        <v>156</v>
      </c>
      <c r="C79" s="2" t="s">
        <v>157</v>
      </c>
      <c r="D79" s="2" t="s">
        <v>158</v>
      </c>
      <c r="E79" s="2" t="s">
        <v>73</v>
      </c>
      <c r="F79" s="2"/>
      <c r="G79" s="2" t="s">
        <v>160</v>
      </c>
      <c r="H79" s="2" t="s">
        <v>332</v>
      </c>
      <c r="I79" s="2" t="s">
        <v>333</v>
      </c>
      <c r="J79" s="2" t="s">
        <v>127</v>
      </c>
      <c r="K79" s="2" t="s">
        <v>334</v>
      </c>
      <c r="L79" s="2">
        <v>8532021682</v>
      </c>
      <c r="M79" s="2">
        <v>30000</v>
      </c>
      <c r="N79" s="2">
        <v>2200</v>
      </c>
      <c r="O79" s="2">
        <f t="shared" si="1"/>
        <v>27800</v>
      </c>
      <c r="P79" s="2">
        <v>1000</v>
      </c>
      <c r="Q79" s="11">
        <f t="shared" si="23"/>
        <v>0</v>
      </c>
      <c r="R79" s="11">
        <v>0</v>
      </c>
      <c r="S79" s="2">
        <v>41</v>
      </c>
      <c r="T79" s="7">
        <v>7</v>
      </c>
      <c r="U79" s="2">
        <f t="shared" si="24"/>
        <v>34</v>
      </c>
      <c r="V79" s="2"/>
      <c r="W79" s="8">
        <v>1000</v>
      </c>
      <c r="X79" s="3"/>
      <c r="Y79" s="2">
        <f t="shared" si="25"/>
        <v>8000</v>
      </c>
      <c r="Z79" s="2">
        <f t="shared" si="26"/>
        <v>33000</v>
      </c>
      <c r="AA79" s="2" t="s">
        <v>67</v>
      </c>
      <c r="AB79" s="2" t="s">
        <v>333</v>
      </c>
      <c r="AC79" s="2">
        <f t="shared" si="27"/>
        <v>0</v>
      </c>
      <c r="AD79" s="2">
        <v>5</v>
      </c>
      <c r="AE79" s="2">
        <f t="shared" si="28"/>
        <v>0</v>
      </c>
      <c r="AF79" s="2">
        <f t="shared" si="29"/>
        <v>0</v>
      </c>
      <c r="AG79" s="2">
        <v>5</v>
      </c>
      <c r="AH79" s="2" t="str">
        <f t="shared" si="30"/>
        <v>NO</v>
      </c>
      <c r="AI79" s="2">
        <f t="shared" si="31"/>
        <v>33000</v>
      </c>
      <c r="AJ79" s="2" t="s">
        <v>50</v>
      </c>
      <c r="AK79" s="2"/>
      <c r="AL79" s="2"/>
      <c r="AM79" s="2">
        <f t="shared" si="32"/>
        <v>41000</v>
      </c>
      <c r="AN79" s="2">
        <f t="shared" si="33"/>
        <v>11000</v>
      </c>
      <c r="AO79" s="2">
        <v>0</v>
      </c>
      <c r="AP79" s="4">
        <f t="shared" si="34"/>
        <v>268.29268292682929</v>
      </c>
      <c r="AQ79" s="4">
        <f t="shared" si="35"/>
        <v>0</v>
      </c>
      <c r="AR79" s="5">
        <v>46191</v>
      </c>
      <c r="AS79" s="5">
        <v>46195</v>
      </c>
      <c r="AT79" s="5">
        <v>46205</v>
      </c>
      <c r="AU79" s="2" t="str">
        <f t="shared" si="36"/>
        <v>ACTIVE</v>
      </c>
      <c r="AV79" s="2"/>
      <c r="AW79" s="2">
        <f t="shared" si="37"/>
        <v>0</v>
      </c>
      <c r="AX79" s="6"/>
      <c r="AY79" s="6"/>
    </row>
    <row r="80" spans="1:51" hidden="1" x14ac:dyDescent="0.25">
      <c r="A80" s="7" t="str">
        <f t="shared" si="22"/>
        <v>ACTIVE</v>
      </c>
      <c r="B80" s="2" t="s">
        <v>156</v>
      </c>
      <c r="C80" s="2" t="s">
        <v>157</v>
      </c>
      <c r="D80" s="2" t="s">
        <v>158</v>
      </c>
      <c r="E80" s="2" t="s">
        <v>73</v>
      </c>
      <c r="F80" s="2"/>
      <c r="G80" s="2" t="s">
        <v>160</v>
      </c>
      <c r="H80" s="2" t="s">
        <v>335</v>
      </c>
      <c r="I80" s="2" t="s">
        <v>336</v>
      </c>
      <c r="J80" s="2" t="s">
        <v>337</v>
      </c>
      <c r="K80" s="2" t="s">
        <v>338</v>
      </c>
      <c r="L80" s="2">
        <v>9557192375</v>
      </c>
      <c r="M80" s="2">
        <v>30000</v>
      </c>
      <c r="N80" s="2">
        <v>2200</v>
      </c>
      <c r="O80" s="2">
        <f t="shared" si="1"/>
        <v>27800</v>
      </c>
      <c r="P80" s="2">
        <v>1000</v>
      </c>
      <c r="Q80" s="11">
        <f t="shared" si="23"/>
        <v>0</v>
      </c>
      <c r="R80" s="11">
        <v>0</v>
      </c>
      <c r="S80" s="2">
        <v>41</v>
      </c>
      <c r="T80" s="7">
        <v>8</v>
      </c>
      <c r="U80" s="2">
        <f t="shared" si="24"/>
        <v>33</v>
      </c>
      <c r="V80" s="2"/>
      <c r="W80" s="8"/>
      <c r="X80" s="3"/>
      <c r="Y80" s="2">
        <f t="shared" si="25"/>
        <v>8000</v>
      </c>
      <c r="Z80" s="2">
        <f t="shared" si="26"/>
        <v>33000</v>
      </c>
      <c r="AA80" s="2" t="s">
        <v>49</v>
      </c>
      <c r="AB80" s="2" t="s">
        <v>336</v>
      </c>
      <c r="AC80" s="2">
        <f t="shared" si="27"/>
        <v>0</v>
      </c>
      <c r="AD80" s="2">
        <v>5</v>
      </c>
      <c r="AE80" s="2">
        <f t="shared" si="28"/>
        <v>0</v>
      </c>
      <c r="AF80" s="2">
        <f t="shared" si="29"/>
        <v>0</v>
      </c>
      <c r="AG80" s="2">
        <v>5</v>
      </c>
      <c r="AH80" s="2" t="str">
        <f t="shared" si="30"/>
        <v>NO</v>
      </c>
      <c r="AI80" s="2">
        <f t="shared" si="31"/>
        <v>33000</v>
      </c>
      <c r="AJ80" s="2" t="s">
        <v>50</v>
      </c>
      <c r="AK80" s="2"/>
      <c r="AL80" s="2"/>
      <c r="AM80" s="2">
        <f t="shared" si="32"/>
        <v>41000</v>
      </c>
      <c r="AN80" s="2">
        <f t="shared" si="33"/>
        <v>11000</v>
      </c>
      <c r="AO80" s="2">
        <v>0</v>
      </c>
      <c r="AP80" s="4">
        <f t="shared" si="34"/>
        <v>268.29268292682929</v>
      </c>
      <c r="AQ80" s="4">
        <f t="shared" si="35"/>
        <v>0</v>
      </c>
      <c r="AR80" s="5">
        <v>46192</v>
      </c>
      <c r="AS80" s="5">
        <v>46196</v>
      </c>
      <c r="AT80" s="5">
        <v>46197</v>
      </c>
      <c r="AU80" s="2" t="str">
        <f t="shared" si="36"/>
        <v>ACTIVE</v>
      </c>
      <c r="AV80" s="2"/>
      <c r="AW80" s="2">
        <f t="shared" si="37"/>
        <v>0</v>
      </c>
      <c r="AX80" s="6"/>
      <c r="AY80" s="6"/>
    </row>
    <row r="81" spans="1:51" x14ac:dyDescent="0.25">
      <c r="A81" s="7" t="str">
        <f t="shared" si="22"/>
        <v>ACTIVE</v>
      </c>
      <c r="B81" s="2" t="s">
        <v>156</v>
      </c>
      <c r="C81" s="2" t="s">
        <v>157</v>
      </c>
      <c r="D81" s="2" t="s">
        <v>158</v>
      </c>
      <c r="E81" s="2" t="s">
        <v>73</v>
      </c>
      <c r="F81" s="2"/>
      <c r="G81" s="2" t="s">
        <v>160</v>
      </c>
      <c r="H81" s="2" t="s">
        <v>339</v>
      </c>
      <c r="I81" s="2" t="s">
        <v>340</v>
      </c>
      <c r="J81" s="2" t="s">
        <v>341</v>
      </c>
      <c r="K81" s="2" t="s">
        <v>342</v>
      </c>
      <c r="L81" s="2">
        <v>8923910262</v>
      </c>
      <c r="M81" s="2">
        <v>20000</v>
      </c>
      <c r="N81" s="2">
        <v>1580</v>
      </c>
      <c r="O81" s="2">
        <f t="shared" si="1"/>
        <v>18420</v>
      </c>
      <c r="P81" s="2">
        <v>810</v>
      </c>
      <c r="Q81" s="11">
        <f t="shared" si="23"/>
        <v>0</v>
      </c>
      <c r="R81" s="11">
        <v>0</v>
      </c>
      <c r="S81" s="2">
        <v>36</v>
      </c>
      <c r="T81" s="7">
        <v>7</v>
      </c>
      <c r="U81" s="2">
        <f t="shared" si="24"/>
        <v>29</v>
      </c>
      <c r="V81" s="2"/>
      <c r="W81" s="8">
        <v>810</v>
      </c>
      <c r="X81" s="3"/>
      <c r="Y81" s="2">
        <f t="shared" si="25"/>
        <v>6480</v>
      </c>
      <c r="Z81" s="2">
        <f t="shared" si="26"/>
        <v>22680</v>
      </c>
      <c r="AA81" s="2" t="s">
        <v>53</v>
      </c>
      <c r="AB81" s="2" t="s">
        <v>340</v>
      </c>
      <c r="AC81" s="2">
        <f t="shared" si="27"/>
        <v>0</v>
      </c>
      <c r="AD81" s="2">
        <v>5</v>
      </c>
      <c r="AE81" s="2">
        <f t="shared" si="28"/>
        <v>0</v>
      </c>
      <c r="AF81" s="2">
        <f t="shared" si="29"/>
        <v>0</v>
      </c>
      <c r="AG81" s="2">
        <v>5</v>
      </c>
      <c r="AH81" s="2" t="str">
        <f t="shared" si="30"/>
        <v>NO</v>
      </c>
      <c r="AI81" s="2">
        <f t="shared" si="31"/>
        <v>22680</v>
      </c>
      <c r="AJ81" s="2" t="s">
        <v>50</v>
      </c>
      <c r="AK81" s="2"/>
      <c r="AL81" s="2"/>
      <c r="AM81" s="2">
        <f t="shared" si="32"/>
        <v>29160</v>
      </c>
      <c r="AN81" s="2">
        <f t="shared" si="33"/>
        <v>9160</v>
      </c>
      <c r="AO81" s="2">
        <v>0</v>
      </c>
      <c r="AP81" s="4">
        <f t="shared" si="34"/>
        <v>254.44444444444446</v>
      </c>
      <c r="AQ81" s="4">
        <f t="shared" si="35"/>
        <v>0</v>
      </c>
      <c r="AR81" s="5">
        <v>46192</v>
      </c>
      <c r="AS81" s="5">
        <v>46197</v>
      </c>
      <c r="AT81" s="5">
        <v>46203</v>
      </c>
      <c r="AU81" s="2" t="str">
        <f t="shared" si="36"/>
        <v>ACTIVE</v>
      </c>
      <c r="AV81" s="2"/>
      <c r="AW81" s="2">
        <f t="shared" si="37"/>
        <v>0</v>
      </c>
      <c r="AX81" s="6"/>
      <c r="AY81" s="6"/>
    </row>
    <row r="82" spans="1:51" hidden="1" x14ac:dyDescent="0.25">
      <c r="A82" s="7" t="str">
        <f t="shared" si="22"/>
        <v>ACTIVE</v>
      </c>
      <c r="B82" s="2" t="s">
        <v>156</v>
      </c>
      <c r="C82" s="2" t="s">
        <v>157</v>
      </c>
      <c r="D82" s="2" t="s">
        <v>158</v>
      </c>
      <c r="E82" s="2" t="s">
        <v>73</v>
      </c>
      <c r="F82" s="2"/>
      <c r="G82" s="2" t="s">
        <v>160</v>
      </c>
      <c r="H82" s="2" t="s">
        <v>255</v>
      </c>
      <c r="I82" s="2" t="s">
        <v>343</v>
      </c>
      <c r="J82" s="2" t="s">
        <v>344</v>
      </c>
      <c r="K82" s="2" t="s">
        <v>175</v>
      </c>
      <c r="L82" s="2">
        <v>7351609943</v>
      </c>
      <c r="M82" s="2">
        <v>25000</v>
      </c>
      <c r="N82" s="2">
        <v>1860</v>
      </c>
      <c r="O82" s="2">
        <f t="shared" si="1"/>
        <v>23140</v>
      </c>
      <c r="P82" s="2">
        <v>830</v>
      </c>
      <c r="Q82" s="11">
        <f t="shared" si="23"/>
        <v>0</v>
      </c>
      <c r="R82" s="11">
        <v>0</v>
      </c>
      <c r="S82" s="2">
        <v>44</v>
      </c>
      <c r="T82" s="7">
        <v>7</v>
      </c>
      <c r="U82" s="2">
        <f t="shared" si="24"/>
        <v>37</v>
      </c>
      <c r="V82" s="2"/>
      <c r="W82" s="8"/>
      <c r="X82" s="3"/>
      <c r="Y82" s="2">
        <f t="shared" si="25"/>
        <v>5810</v>
      </c>
      <c r="Z82" s="2">
        <f t="shared" si="26"/>
        <v>30710</v>
      </c>
      <c r="AA82" s="2" t="s">
        <v>67</v>
      </c>
      <c r="AB82" s="2" t="s">
        <v>343</v>
      </c>
      <c r="AC82" s="2">
        <f t="shared" si="27"/>
        <v>0</v>
      </c>
      <c r="AD82" s="2">
        <v>5</v>
      </c>
      <c r="AE82" s="2">
        <f t="shared" si="28"/>
        <v>0</v>
      </c>
      <c r="AF82" s="2">
        <f t="shared" si="29"/>
        <v>0</v>
      </c>
      <c r="AG82" s="2">
        <v>5</v>
      </c>
      <c r="AH82" s="2" t="str">
        <f t="shared" si="30"/>
        <v>NO</v>
      </c>
      <c r="AI82" s="2">
        <f t="shared" si="31"/>
        <v>30710</v>
      </c>
      <c r="AJ82" s="2" t="s">
        <v>50</v>
      </c>
      <c r="AK82" s="2"/>
      <c r="AL82" s="2"/>
      <c r="AM82" s="2">
        <f t="shared" si="32"/>
        <v>36520</v>
      </c>
      <c r="AN82" s="2">
        <f t="shared" si="33"/>
        <v>11520</v>
      </c>
      <c r="AO82" s="2">
        <v>0</v>
      </c>
      <c r="AP82" s="4">
        <f t="shared" si="34"/>
        <v>261.81818181818181</v>
      </c>
      <c r="AQ82" s="4">
        <f t="shared" si="35"/>
        <v>0</v>
      </c>
      <c r="AR82" s="5">
        <v>46194</v>
      </c>
      <c r="AS82" s="5">
        <v>46197</v>
      </c>
      <c r="AT82" s="5">
        <v>46205</v>
      </c>
      <c r="AU82" s="2" t="str">
        <f t="shared" si="36"/>
        <v>ACTIVE</v>
      </c>
      <c r="AV82" s="2"/>
      <c r="AW82" s="2">
        <f t="shared" si="37"/>
        <v>0</v>
      </c>
      <c r="AX82" s="6"/>
      <c r="AY82" s="6"/>
    </row>
    <row r="83" spans="1:51" hidden="1" x14ac:dyDescent="0.25">
      <c r="A83" s="7" t="str">
        <f t="shared" si="22"/>
        <v>ACTIVE</v>
      </c>
      <c r="B83" s="2" t="s">
        <v>156</v>
      </c>
      <c r="C83" s="2" t="s">
        <v>157</v>
      </c>
      <c r="D83" s="2" t="s">
        <v>158</v>
      </c>
      <c r="E83" s="2" t="s">
        <v>73</v>
      </c>
      <c r="F83" s="2"/>
      <c r="G83" s="2" t="s">
        <v>160</v>
      </c>
      <c r="H83" s="2" t="s">
        <v>345</v>
      </c>
      <c r="I83" s="2" t="s">
        <v>346</v>
      </c>
      <c r="J83" s="2" t="s">
        <v>347</v>
      </c>
      <c r="K83" s="2" t="s">
        <v>334</v>
      </c>
      <c r="L83" s="2">
        <v>8439635415</v>
      </c>
      <c r="M83" s="2">
        <v>20000</v>
      </c>
      <c r="N83" s="2">
        <v>1580</v>
      </c>
      <c r="O83" s="2">
        <f t="shared" si="1"/>
        <v>18420</v>
      </c>
      <c r="P83" s="2">
        <v>810</v>
      </c>
      <c r="Q83" s="11">
        <f t="shared" si="23"/>
        <v>0</v>
      </c>
      <c r="R83" s="11">
        <v>0</v>
      </c>
      <c r="S83" s="2">
        <v>36</v>
      </c>
      <c r="T83" s="7">
        <v>7</v>
      </c>
      <c r="U83" s="2">
        <f t="shared" si="24"/>
        <v>29</v>
      </c>
      <c r="V83" s="2"/>
      <c r="W83" s="8">
        <v>810</v>
      </c>
      <c r="X83" s="3"/>
      <c r="Y83" s="2">
        <f t="shared" si="25"/>
        <v>6480</v>
      </c>
      <c r="Z83" s="2">
        <f t="shared" si="26"/>
        <v>22680</v>
      </c>
      <c r="AA83" s="2" t="s">
        <v>67</v>
      </c>
      <c r="AB83" s="2" t="s">
        <v>346</v>
      </c>
      <c r="AC83" s="2">
        <f t="shared" si="27"/>
        <v>0</v>
      </c>
      <c r="AD83" s="2">
        <v>5</v>
      </c>
      <c r="AE83" s="2">
        <f t="shared" si="28"/>
        <v>0</v>
      </c>
      <c r="AF83" s="2">
        <f t="shared" si="29"/>
        <v>0</v>
      </c>
      <c r="AG83" s="2">
        <v>5</v>
      </c>
      <c r="AH83" s="2" t="str">
        <f t="shared" si="30"/>
        <v>NO</v>
      </c>
      <c r="AI83" s="2">
        <f t="shared" si="31"/>
        <v>22680</v>
      </c>
      <c r="AJ83" s="2" t="s">
        <v>50</v>
      </c>
      <c r="AK83" s="2"/>
      <c r="AL83" s="2"/>
      <c r="AM83" s="2">
        <f t="shared" si="32"/>
        <v>29160</v>
      </c>
      <c r="AN83" s="2">
        <f t="shared" si="33"/>
        <v>9160</v>
      </c>
      <c r="AO83" s="2">
        <v>0</v>
      </c>
      <c r="AP83" s="4">
        <f t="shared" si="34"/>
        <v>254.44444444444446</v>
      </c>
      <c r="AQ83" s="4">
        <f t="shared" si="35"/>
        <v>0</v>
      </c>
      <c r="AR83" s="5">
        <v>46194</v>
      </c>
      <c r="AS83" s="5">
        <v>46197</v>
      </c>
      <c r="AT83" s="5">
        <v>46205</v>
      </c>
      <c r="AU83" s="2" t="str">
        <f t="shared" si="36"/>
        <v>ACTIVE</v>
      </c>
      <c r="AV83" s="2"/>
      <c r="AW83" s="2">
        <f t="shared" si="37"/>
        <v>0</v>
      </c>
      <c r="AX83" s="6"/>
      <c r="AY83" s="6"/>
    </row>
    <row r="84" spans="1:51" hidden="1" x14ac:dyDescent="0.25">
      <c r="A84" s="7" t="str">
        <f t="shared" si="22"/>
        <v>ACTIVE</v>
      </c>
      <c r="B84" s="2" t="s">
        <v>156</v>
      </c>
      <c r="C84" s="2" t="s">
        <v>157</v>
      </c>
      <c r="D84" s="2" t="s">
        <v>158</v>
      </c>
      <c r="E84" s="2" t="s">
        <v>73</v>
      </c>
      <c r="F84" s="2"/>
      <c r="G84" s="2" t="s">
        <v>160</v>
      </c>
      <c r="H84" s="2" t="s">
        <v>157</v>
      </c>
      <c r="I84" s="2" t="s">
        <v>348</v>
      </c>
      <c r="J84" s="2" t="s">
        <v>349</v>
      </c>
      <c r="K84" s="2" t="s">
        <v>350</v>
      </c>
      <c r="L84" s="2">
        <v>8923310681</v>
      </c>
      <c r="M84" s="2">
        <v>20000</v>
      </c>
      <c r="N84" s="2">
        <v>1580</v>
      </c>
      <c r="O84" s="2">
        <f t="shared" ref="O84:O124" si="38">M84-N84</f>
        <v>18420</v>
      </c>
      <c r="P84" s="2">
        <v>810</v>
      </c>
      <c r="Q84" s="11">
        <f t="shared" si="23"/>
        <v>0</v>
      </c>
      <c r="R84" s="11">
        <v>0</v>
      </c>
      <c r="S84" s="2">
        <v>36</v>
      </c>
      <c r="T84" s="7">
        <v>7</v>
      </c>
      <c r="U84" s="2">
        <f t="shared" si="24"/>
        <v>29</v>
      </c>
      <c r="V84" s="2"/>
      <c r="W84" s="8">
        <v>810</v>
      </c>
      <c r="X84" s="3"/>
      <c r="Y84" s="2">
        <f t="shared" si="25"/>
        <v>6480</v>
      </c>
      <c r="Z84" s="2">
        <f t="shared" si="26"/>
        <v>22680</v>
      </c>
      <c r="AA84" s="2" t="s">
        <v>67</v>
      </c>
      <c r="AB84" s="2" t="s">
        <v>348</v>
      </c>
      <c r="AC84" s="2">
        <f t="shared" si="27"/>
        <v>0</v>
      </c>
      <c r="AD84" s="2">
        <v>5</v>
      </c>
      <c r="AE84" s="2">
        <f t="shared" si="28"/>
        <v>0</v>
      </c>
      <c r="AF84" s="2">
        <f t="shared" si="29"/>
        <v>0</v>
      </c>
      <c r="AG84" s="2">
        <v>5</v>
      </c>
      <c r="AH84" s="2" t="str">
        <f t="shared" si="30"/>
        <v>NO</v>
      </c>
      <c r="AI84" s="2">
        <f t="shared" si="31"/>
        <v>22680</v>
      </c>
      <c r="AJ84" s="2" t="s">
        <v>50</v>
      </c>
      <c r="AK84" s="2"/>
      <c r="AL84" s="2"/>
      <c r="AM84" s="2">
        <f t="shared" si="32"/>
        <v>29160</v>
      </c>
      <c r="AN84" s="2">
        <f t="shared" si="33"/>
        <v>9160</v>
      </c>
      <c r="AO84" s="2">
        <v>0</v>
      </c>
      <c r="AP84" s="4">
        <f t="shared" si="34"/>
        <v>254.44444444444446</v>
      </c>
      <c r="AQ84" s="4">
        <f t="shared" si="35"/>
        <v>0</v>
      </c>
      <c r="AR84" s="5">
        <v>46192</v>
      </c>
      <c r="AS84" s="5">
        <v>46197</v>
      </c>
      <c r="AT84" s="5">
        <v>46205</v>
      </c>
      <c r="AU84" s="2" t="str">
        <f t="shared" si="36"/>
        <v>ACTIVE</v>
      </c>
      <c r="AV84" s="2"/>
      <c r="AW84" s="2">
        <f t="shared" si="37"/>
        <v>0</v>
      </c>
      <c r="AX84" s="6"/>
      <c r="AY84" s="6"/>
    </row>
    <row r="85" spans="1:51" hidden="1" x14ac:dyDescent="0.25">
      <c r="A85" s="7" t="str">
        <f t="shared" si="22"/>
        <v>ACTIVE</v>
      </c>
      <c r="B85" s="2" t="s">
        <v>156</v>
      </c>
      <c r="C85" s="2" t="s">
        <v>157</v>
      </c>
      <c r="D85" s="2" t="s">
        <v>158</v>
      </c>
      <c r="E85" s="2" t="s">
        <v>73</v>
      </c>
      <c r="F85" s="2"/>
      <c r="G85" s="2" t="s">
        <v>160</v>
      </c>
      <c r="H85" s="2" t="s">
        <v>233</v>
      </c>
      <c r="I85" s="2" t="s">
        <v>351</v>
      </c>
      <c r="J85" s="2" t="s">
        <v>352</v>
      </c>
      <c r="K85" s="2" t="s">
        <v>353</v>
      </c>
      <c r="L85" s="2">
        <v>8958953542</v>
      </c>
      <c r="M85" s="2">
        <v>20000</v>
      </c>
      <c r="N85" s="2">
        <v>1580</v>
      </c>
      <c r="O85" s="2">
        <f t="shared" si="38"/>
        <v>18420</v>
      </c>
      <c r="P85" s="2">
        <v>810</v>
      </c>
      <c r="Q85" s="11">
        <f t="shared" si="23"/>
        <v>0</v>
      </c>
      <c r="R85" s="11">
        <v>0</v>
      </c>
      <c r="S85" s="2">
        <v>36</v>
      </c>
      <c r="T85" s="7">
        <v>7</v>
      </c>
      <c r="U85" s="2">
        <f t="shared" si="24"/>
        <v>29</v>
      </c>
      <c r="V85" s="2"/>
      <c r="W85" s="8">
        <v>810</v>
      </c>
      <c r="X85" s="3"/>
      <c r="Y85" s="2">
        <f t="shared" si="25"/>
        <v>6480</v>
      </c>
      <c r="Z85" s="2">
        <f t="shared" si="26"/>
        <v>22680</v>
      </c>
      <c r="AA85" s="2" t="s">
        <v>49</v>
      </c>
      <c r="AB85" s="2" t="s">
        <v>351</v>
      </c>
      <c r="AC85" s="2">
        <f t="shared" si="27"/>
        <v>0</v>
      </c>
      <c r="AD85" s="2">
        <v>5</v>
      </c>
      <c r="AE85" s="2">
        <f t="shared" si="28"/>
        <v>0</v>
      </c>
      <c r="AF85" s="2">
        <f t="shared" si="29"/>
        <v>0</v>
      </c>
      <c r="AG85" s="2">
        <v>5</v>
      </c>
      <c r="AH85" s="2" t="str">
        <f t="shared" si="30"/>
        <v>NO</v>
      </c>
      <c r="AI85" s="2">
        <f t="shared" si="31"/>
        <v>22680</v>
      </c>
      <c r="AJ85" s="2" t="s">
        <v>50</v>
      </c>
      <c r="AK85" s="2"/>
      <c r="AL85" s="2"/>
      <c r="AM85" s="2">
        <f t="shared" si="32"/>
        <v>29160</v>
      </c>
      <c r="AN85" s="2">
        <f t="shared" si="33"/>
        <v>9160</v>
      </c>
      <c r="AO85" s="2">
        <v>0</v>
      </c>
      <c r="AP85" s="4">
        <f t="shared" si="34"/>
        <v>254.44444444444446</v>
      </c>
      <c r="AQ85" s="4">
        <f t="shared" si="35"/>
        <v>0</v>
      </c>
      <c r="AR85" s="5">
        <v>46192</v>
      </c>
      <c r="AS85" s="5">
        <v>46198</v>
      </c>
      <c r="AT85" s="5">
        <v>46204</v>
      </c>
      <c r="AU85" s="2" t="str">
        <f t="shared" si="36"/>
        <v>ACTIVE</v>
      </c>
      <c r="AV85" s="2"/>
      <c r="AW85" s="2">
        <f t="shared" si="37"/>
        <v>0</v>
      </c>
      <c r="AX85" s="6"/>
      <c r="AY85" s="6"/>
    </row>
    <row r="86" spans="1:51" hidden="1" x14ac:dyDescent="0.25">
      <c r="A86" s="7" t="str">
        <f t="shared" si="22"/>
        <v>ACTIVE</v>
      </c>
      <c r="B86" s="2" t="s">
        <v>156</v>
      </c>
      <c r="C86" s="2" t="s">
        <v>157</v>
      </c>
      <c r="D86" s="2" t="s">
        <v>158</v>
      </c>
      <c r="E86" s="2" t="s">
        <v>73</v>
      </c>
      <c r="F86" s="2"/>
      <c r="G86" s="2" t="s">
        <v>160</v>
      </c>
      <c r="H86" s="2" t="s">
        <v>255</v>
      </c>
      <c r="I86" s="2" t="s">
        <v>354</v>
      </c>
      <c r="J86" s="2" t="s">
        <v>341</v>
      </c>
      <c r="K86" s="2" t="s">
        <v>355</v>
      </c>
      <c r="L86" s="2">
        <v>7037921861</v>
      </c>
      <c r="M86" s="2">
        <v>20000</v>
      </c>
      <c r="N86" s="2">
        <v>1580</v>
      </c>
      <c r="O86" s="2">
        <f t="shared" si="38"/>
        <v>18420</v>
      </c>
      <c r="P86" s="2">
        <v>810</v>
      </c>
      <c r="Q86" s="11">
        <f t="shared" si="23"/>
        <v>0</v>
      </c>
      <c r="R86" s="11">
        <v>0</v>
      </c>
      <c r="S86" s="2">
        <v>36</v>
      </c>
      <c r="T86" s="7">
        <v>7</v>
      </c>
      <c r="U86" s="2">
        <f t="shared" si="24"/>
        <v>29</v>
      </c>
      <c r="V86" s="2"/>
      <c r="W86" s="8"/>
      <c r="X86" s="3"/>
      <c r="Y86" s="2">
        <f t="shared" si="25"/>
        <v>5670</v>
      </c>
      <c r="Z86" s="2">
        <f t="shared" si="26"/>
        <v>23490</v>
      </c>
      <c r="AA86" s="2" t="s">
        <v>67</v>
      </c>
      <c r="AB86" s="2" t="s">
        <v>354</v>
      </c>
      <c r="AC86" s="2">
        <f t="shared" si="27"/>
        <v>0</v>
      </c>
      <c r="AD86" s="2">
        <v>5</v>
      </c>
      <c r="AE86" s="2">
        <f t="shared" si="28"/>
        <v>0</v>
      </c>
      <c r="AF86" s="2">
        <f t="shared" si="29"/>
        <v>0</v>
      </c>
      <c r="AG86" s="2">
        <v>5</v>
      </c>
      <c r="AH86" s="2" t="str">
        <f t="shared" si="30"/>
        <v>NO</v>
      </c>
      <c r="AI86" s="2">
        <f t="shared" si="31"/>
        <v>23490</v>
      </c>
      <c r="AJ86" s="2" t="s">
        <v>50</v>
      </c>
      <c r="AK86" s="2"/>
      <c r="AL86" s="2"/>
      <c r="AM86" s="2">
        <f t="shared" si="32"/>
        <v>29160</v>
      </c>
      <c r="AN86" s="2">
        <f t="shared" si="33"/>
        <v>9160</v>
      </c>
      <c r="AO86" s="2">
        <v>0</v>
      </c>
      <c r="AP86" s="4">
        <f t="shared" si="34"/>
        <v>254.44444444444446</v>
      </c>
      <c r="AQ86" s="4">
        <f t="shared" si="35"/>
        <v>0</v>
      </c>
      <c r="AR86" s="5">
        <v>46194</v>
      </c>
      <c r="AS86" s="5">
        <v>46200</v>
      </c>
      <c r="AT86" s="5">
        <v>46205</v>
      </c>
      <c r="AU86" s="2" t="str">
        <f t="shared" si="36"/>
        <v>ACTIVE</v>
      </c>
      <c r="AV86" s="2"/>
      <c r="AW86" s="2">
        <f t="shared" si="37"/>
        <v>0</v>
      </c>
      <c r="AX86" s="6"/>
      <c r="AY86" s="6"/>
    </row>
    <row r="87" spans="1:51" hidden="1" x14ac:dyDescent="0.25">
      <c r="A87" s="7" t="str">
        <f t="shared" si="22"/>
        <v>ACTIVE</v>
      </c>
      <c r="B87" s="2" t="s">
        <v>156</v>
      </c>
      <c r="C87" s="2" t="s">
        <v>157</v>
      </c>
      <c r="D87" s="2" t="s">
        <v>158</v>
      </c>
      <c r="E87" s="2" t="s">
        <v>73</v>
      </c>
      <c r="F87" s="2"/>
      <c r="G87" s="2" t="s">
        <v>160</v>
      </c>
      <c r="H87" s="2" t="s">
        <v>190</v>
      </c>
      <c r="I87" s="2" t="s">
        <v>356</v>
      </c>
      <c r="J87" s="2" t="s">
        <v>357</v>
      </c>
      <c r="K87" s="2" t="s">
        <v>358</v>
      </c>
      <c r="L87" s="2">
        <v>8279519063</v>
      </c>
      <c r="M87" s="2">
        <v>20000</v>
      </c>
      <c r="N87" s="2">
        <v>1580</v>
      </c>
      <c r="O87" s="2">
        <f t="shared" si="38"/>
        <v>18420</v>
      </c>
      <c r="P87" s="2">
        <v>810</v>
      </c>
      <c r="Q87" s="11">
        <f t="shared" si="23"/>
        <v>0</v>
      </c>
      <c r="R87" s="11">
        <v>0</v>
      </c>
      <c r="S87" s="2">
        <v>36</v>
      </c>
      <c r="T87" s="7">
        <v>7</v>
      </c>
      <c r="U87" s="2">
        <f t="shared" si="24"/>
        <v>29</v>
      </c>
      <c r="V87" s="2"/>
      <c r="W87" s="8">
        <v>810</v>
      </c>
      <c r="X87" s="3"/>
      <c r="Y87" s="2">
        <f t="shared" si="25"/>
        <v>6480</v>
      </c>
      <c r="Z87" s="2">
        <f t="shared" si="26"/>
        <v>22680</v>
      </c>
      <c r="AA87" s="2" t="s">
        <v>67</v>
      </c>
      <c r="AB87" s="2" t="s">
        <v>356</v>
      </c>
      <c r="AC87" s="2">
        <f t="shared" si="27"/>
        <v>0</v>
      </c>
      <c r="AD87" s="2">
        <v>5</v>
      </c>
      <c r="AE87" s="2">
        <f t="shared" si="28"/>
        <v>0</v>
      </c>
      <c r="AF87" s="2">
        <f t="shared" si="29"/>
        <v>0</v>
      </c>
      <c r="AG87" s="2">
        <v>5</v>
      </c>
      <c r="AH87" s="2" t="str">
        <f t="shared" si="30"/>
        <v>NO</v>
      </c>
      <c r="AI87" s="2">
        <f t="shared" si="31"/>
        <v>22680</v>
      </c>
      <c r="AJ87" s="2" t="s">
        <v>50</v>
      </c>
      <c r="AK87" s="2"/>
      <c r="AL87" s="2"/>
      <c r="AM87" s="2">
        <f t="shared" si="32"/>
        <v>29160</v>
      </c>
      <c r="AN87" s="2">
        <f t="shared" si="33"/>
        <v>9160</v>
      </c>
      <c r="AO87" s="2">
        <v>0</v>
      </c>
      <c r="AP87" s="4">
        <f t="shared" si="34"/>
        <v>254.44444444444446</v>
      </c>
      <c r="AQ87" s="4">
        <f t="shared" si="35"/>
        <v>0</v>
      </c>
      <c r="AR87" s="5">
        <v>46196</v>
      </c>
      <c r="AS87" s="5">
        <v>46200</v>
      </c>
      <c r="AT87" s="5">
        <v>46205</v>
      </c>
      <c r="AU87" s="2" t="str">
        <f t="shared" si="36"/>
        <v>ACTIVE</v>
      </c>
      <c r="AV87" s="2"/>
      <c r="AW87" s="2">
        <f t="shared" si="37"/>
        <v>0</v>
      </c>
      <c r="AX87" s="6"/>
      <c r="AY87" s="6"/>
    </row>
    <row r="88" spans="1:51" hidden="1" x14ac:dyDescent="0.25">
      <c r="A88" s="7" t="str">
        <f t="shared" si="22"/>
        <v>ACTIVE</v>
      </c>
      <c r="B88" s="2" t="s">
        <v>156</v>
      </c>
      <c r="C88" s="2" t="s">
        <v>157</v>
      </c>
      <c r="D88" s="2" t="s">
        <v>158</v>
      </c>
      <c r="E88" s="2" t="s">
        <v>73</v>
      </c>
      <c r="F88" s="2"/>
      <c r="G88" s="2" t="s">
        <v>160</v>
      </c>
      <c r="H88" s="2" t="s">
        <v>190</v>
      </c>
      <c r="I88" s="2" t="s">
        <v>359</v>
      </c>
      <c r="J88" s="2" t="s">
        <v>360</v>
      </c>
      <c r="K88" s="2" t="s">
        <v>281</v>
      </c>
      <c r="L88" s="2">
        <v>9058408115</v>
      </c>
      <c r="M88" s="2">
        <v>20000</v>
      </c>
      <c r="N88" s="2">
        <v>1580</v>
      </c>
      <c r="O88" s="2">
        <f t="shared" si="38"/>
        <v>18420</v>
      </c>
      <c r="P88" s="2">
        <v>810</v>
      </c>
      <c r="Q88" s="11">
        <f t="shared" si="23"/>
        <v>0</v>
      </c>
      <c r="R88" s="11">
        <v>0</v>
      </c>
      <c r="S88" s="2">
        <v>36</v>
      </c>
      <c r="T88" s="7">
        <v>7</v>
      </c>
      <c r="U88" s="2">
        <f t="shared" si="24"/>
        <v>29</v>
      </c>
      <c r="V88" s="2"/>
      <c r="W88" s="8">
        <v>810</v>
      </c>
      <c r="X88" s="3"/>
      <c r="Y88" s="2">
        <f t="shared" si="25"/>
        <v>6480</v>
      </c>
      <c r="Z88" s="2">
        <f t="shared" si="26"/>
        <v>22680</v>
      </c>
      <c r="AA88" s="2" t="s">
        <v>67</v>
      </c>
      <c r="AB88" s="2" t="s">
        <v>359</v>
      </c>
      <c r="AC88" s="2">
        <f t="shared" si="27"/>
        <v>0</v>
      </c>
      <c r="AD88" s="2">
        <v>5</v>
      </c>
      <c r="AE88" s="2">
        <f t="shared" si="28"/>
        <v>0</v>
      </c>
      <c r="AF88" s="2">
        <f t="shared" si="29"/>
        <v>0</v>
      </c>
      <c r="AG88" s="2">
        <v>5</v>
      </c>
      <c r="AH88" s="2" t="str">
        <f t="shared" si="30"/>
        <v>NO</v>
      </c>
      <c r="AI88" s="2">
        <f t="shared" si="31"/>
        <v>22680</v>
      </c>
      <c r="AJ88" s="2" t="s">
        <v>50</v>
      </c>
      <c r="AK88" s="2"/>
      <c r="AL88" s="2"/>
      <c r="AM88" s="2">
        <f t="shared" si="32"/>
        <v>29160</v>
      </c>
      <c r="AN88" s="2">
        <f t="shared" si="33"/>
        <v>9160</v>
      </c>
      <c r="AO88" s="2">
        <v>0</v>
      </c>
      <c r="AP88" s="4">
        <f t="shared" si="34"/>
        <v>254.44444444444446</v>
      </c>
      <c r="AQ88" s="4">
        <f t="shared" si="35"/>
        <v>0</v>
      </c>
      <c r="AR88" s="5">
        <v>46196</v>
      </c>
      <c r="AS88" s="5">
        <v>46200</v>
      </c>
      <c r="AT88" s="5">
        <v>46205</v>
      </c>
      <c r="AU88" s="2" t="str">
        <f t="shared" si="36"/>
        <v>ACTIVE</v>
      </c>
      <c r="AV88" s="2"/>
      <c r="AW88" s="2">
        <f t="shared" si="37"/>
        <v>0</v>
      </c>
      <c r="AX88" s="6"/>
      <c r="AY88" s="6"/>
    </row>
    <row r="89" spans="1:51" hidden="1" x14ac:dyDescent="0.25">
      <c r="A89" s="7" t="str">
        <f t="shared" si="22"/>
        <v>ACTIVE</v>
      </c>
      <c r="B89" s="2" t="s">
        <v>156</v>
      </c>
      <c r="C89" s="2" t="s">
        <v>157</v>
      </c>
      <c r="D89" s="2" t="s">
        <v>158</v>
      </c>
      <c r="E89" s="2" t="s">
        <v>73</v>
      </c>
      <c r="F89" s="2"/>
      <c r="G89" s="2" t="s">
        <v>160</v>
      </c>
      <c r="H89" s="2" t="s">
        <v>361</v>
      </c>
      <c r="I89" s="2" t="s">
        <v>362</v>
      </c>
      <c r="J89" s="2" t="s">
        <v>363</v>
      </c>
      <c r="K89" s="2" t="s">
        <v>364</v>
      </c>
      <c r="L89" s="2">
        <v>9045641762</v>
      </c>
      <c r="M89" s="2">
        <v>20000</v>
      </c>
      <c r="N89" s="2">
        <v>1580</v>
      </c>
      <c r="O89" s="2">
        <f t="shared" si="38"/>
        <v>18420</v>
      </c>
      <c r="P89" s="2">
        <v>810</v>
      </c>
      <c r="Q89" s="11">
        <f t="shared" si="23"/>
        <v>0</v>
      </c>
      <c r="R89" s="11">
        <v>0</v>
      </c>
      <c r="S89" s="2">
        <v>36</v>
      </c>
      <c r="T89" s="7">
        <v>7</v>
      </c>
      <c r="U89" s="2">
        <f t="shared" si="24"/>
        <v>29</v>
      </c>
      <c r="V89" s="2"/>
      <c r="W89" s="8">
        <v>810</v>
      </c>
      <c r="X89" s="3"/>
      <c r="Y89" s="2">
        <f t="shared" si="25"/>
        <v>6480</v>
      </c>
      <c r="Z89" s="2">
        <f t="shared" si="26"/>
        <v>22680</v>
      </c>
      <c r="AA89" s="2" t="s">
        <v>67</v>
      </c>
      <c r="AB89" s="2" t="s">
        <v>362</v>
      </c>
      <c r="AC89" s="2">
        <f t="shared" si="27"/>
        <v>0</v>
      </c>
      <c r="AD89" s="2">
        <v>5</v>
      </c>
      <c r="AE89" s="2">
        <f t="shared" si="28"/>
        <v>0</v>
      </c>
      <c r="AF89" s="2">
        <f t="shared" si="29"/>
        <v>0</v>
      </c>
      <c r="AG89" s="2">
        <v>5</v>
      </c>
      <c r="AH89" s="2" t="str">
        <f t="shared" si="30"/>
        <v>NO</v>
      </c>
      <c r="AI89" s="2">
        <f t="shared" si="31"/>
        <v>22680</v>
      </c>
      <c r="AJ89" s="2" t="s">
        <v>50</v>
      </c>
      <c r="AK89" s="2"/>
      <c r="AL89" s="2"/>
      <c r="AM89" s="2">
        <f t="shared" si="32"/>
        <v>29160</v>
      </c>
      <c r="AN89" s="2">
        <f t="shared" si="33"/>
        <v>9160</v>
      </c>
      <c r="AO89" s="2">
        <v>0</v>
      </c>
      <c r="AP89" s="4">
        <f t="shared" si="34"/>
        <v>254.44444444444446</v>
      </c>
      <c r="AQ89" s="4">
        <f t="shared" si="35"/>
        <v>0</v>
      </c>
      <c r="AR89" s="5">
        <v>46196</v>
      </c>
      <c r="AS89" s="5">
        <v>46200</v>
      </c>
      <c r="AT89" s="5">
        <v>46205</v>
      </c>
      <c r="AU89" s="2" t="str">
        <f t="shared" si="36"/>
        <v>ACTIVE</v>
      </c>
      <c r="AV89" s="2"/>
      <c r="AW89" s="2">
        <f t="shared" si="37"/>
        <v>0</v>
      </c>
      <c r="AX89" s="6"/>
      <c r="AY89" s="6"/>
    </row>
    <row r="90" spans="1:51" hidden="1" x14ac:dyDescent="0.25">
      <c r="A90" s="7" t="str">
        <f t="shared" si="22"/>
        <v>ACTIVE</v>
      </c>
      <c r="B90" s="2" t="s">
        <v>156</v>
      </c>
      <c r="C90" s="2" t="s">
        <v>157</v>
      </c>
      <c r="D90" s="2" t="s">
        <v>158</v>
      </c>
      <c r="E90" s="2" t="s">
        <v>115</v>
      </c>
      <c r="F90" s="2"/>
      <c r="G90" s="2" t="s">
        <v>160</v>
      </c>
      <c r="H90" s="2" t="s">
        <v>365</v>
      </c>
      <c r="I90" s="2" t="s">
        <v>366</v>
      </c>
      <c r="J90" s="2" t="s">
        <v>134</v>
      </c>
      <c r="K90" s="2" t="s">
        <v>173</v>
      </c>
      <c r="L90" s="2">
        <v>7060909606</v>
      </c>
      <c r="M90" s="2">
        <v>20000</v>
      </c>
      <c r="N90" s="2">
        <v>1580</v>
      </c>
      <c r="O90" s="2">
        <f t="shared" si="38"/>
        <v>18420</v>
      </c>
      <c r="P90" s="2">
        <v>810</v>
      </c>
      <c r="Q90" s="11">
        <f t="shared" si="23"/>
        <v>0</v>
      </c>
      <c r="R90" s="11">
        <v>0</v>
      </c>
      <c r="S90" s="2">
        <v>36</v>
      </c>
      <c r="T90" s="7">
        <v>6</v>
      </c>
      <c r="U90" s="2">
        <f t="shared" si="24"/>
        <v>30</v>
      </c>
      <c r="V90" s="2"/>
      <c r="W90" s="8"/>
      <c r="X90" s="9"/>
      <c r="Y90" s="2">
        <f t="shared" si="25"/>
        <v>4860</v>
      </c>
      <c r="Z90" s="2">
        <f t="shared" si="26"/>
        <v>24300</v>
      </c>
      <c r="AA90" s="2" t="s">
        <v>67</v>
      </c>
      <c r="AB90" s="2" t="s">
        <v>366</v>
      </c>
      <c r="AC90" s="2">
        <f t="shared" si="27"/>
        <v>0</v>
      </c>
      <c r="AD90" s="2">
        <v>5</v>
      </c>
      <c r="AE90" s="2">
        <f t="shared" si="28"/>
        <v>0</v>
      </c>
      <c r="AF90" s="2">
        <f t="shared" si="29"/>
        <v>0</v>
      </c>
      <c r="AG90" s="2">
        <v>5</v>
      </c>
      <c r="AH90" s="2" t="str">
        <f t="shared" si="30"/>
        <v>NO</v>
      </c>
      <c r="AI90" s="2">
        <f t="shared" si="31"/>
        <v>24300</v>
      </c>
      <c r="AJ90" s="2" t="s">
        <v>50</v>
      </c>
      <c r="AK90" s="2"/>
      <c r="AL90" s="2"/>
      <c r="AM90" s="2">
        <f t="shared" si="32"/>
        <v>29160</v>
      </c>
      <c r="AN90" s="2">
        <f t="shared" si="33"/>
        <v>9160</v>
      </c>
      <c r="AO90" s="2">
        <v>0</v>
      </c>
      <c r="AP90" s="4">
        <f t="shared" si="34"/>
        <v>254.44444444444446</v>
      </c>
      <c r="AQ90" s="4">
        <f t="shared" si="35"/>
        <v>0</v>
      </c>
      <c r="AR90" s="5">
        <v>46198</v>
      </c>
      <c r="AS90" s="5">
        <v>46206</v>
      </c>
      <c r="AT90" s="5">
        <v>46212</v>
      </c>
      <c r="AU90" s="2" t="str">
        <f t="shared" si="36"/>
        <v>ACTIVE</v>
      </c>
      <c r="AV90" s="2"/>
      <c r="AW90" s="2">
        <f t="shared" si="37"/>
        <v>0</v>
      </c>
      <c r="AX90" s="6"/>
      <c r="AY90" s="6"/>
    </row>
    <row r="91" spans="1:51" x14ac:dyDescent="0.25">
      <c r="A91" s="7" t="str">
        <f t="shared" si="22"/>
        <v>ACTIVE</v>
      </c>
      <c r="B91" s="2" t="s">
        <v>156</v>
      </c>
      <c r="C91" s="2" t="s">
        <v>157</v>
      </c>
      <c r="D91" s="2" t="s">
        <v>158</v>
      </c>
      <c r="E91" s="2" t="s">
        <v>115</v>
      </c>
      <c r="F91" s="2"/>
      <c r="G91" s="2" t="s">
        <v>160</v>
      </c>
      <c r="H91" s="2" t="s">
        <v>255</v>
      </c>
      <c r="I91" s="2" t="s">
        <v>367</v>
      </c>
      <c r="J91" s="2" t="s">
        <v>92</v>
      </c>
      <c r="K91" s="2" t="s">
        <v>368</v>
      </c>
      <c r="L91" s="2">
        <v>9897022238</v>
      </c>
      <c r="M91" s="2">
        <v>25000</v>
      </c>
      <c r="N91" s="2">
        <v>1860</v>
      </c>
      <c r="O91" s="2">
        <f t="shared" si="38"/>
        <v>23140</v>
      </c>
      <c r="P91" s="2">
        <v>830</v>
      </c>
      <c r="Q91" s="11">
        <f t="shared" si="23"/>
        <v>0</v>
      </c>
      <c r="R91" s="11">
        <v>0</v>
      </c>
      <c r="S91" s="2">
        <v>44</v>
      </c>
      <c r="T91" s="7">
        <v>5</v>
      </c>
      <c r="U91" s="2">
        <f t="shared" si="24"/>
        <v>39</v>
      </c>
      <c r="V91" s="2"/>
      <c r="W91" s="8">
        <v>830</v>
      </c>
      <c r="X91" s="3"/>
      <c r="Y91" s="2">
        <f t="shared" si="25"/>
        <v>4980</v>
      </c>
      <c r="Z91" s="2">
        <f t="shared" si="26"/>
        <v>31540</v>
      </c>
      <c r="AA91" s="2" t="s">
        <v>53</v>
      </c>
      <c r="AB91" s="2" t="s">
        <v>367</v>
      </c>
      <c r="AC91" s="2">
        <f t="shared" si="27"/>
        <v>0</v>
      </c>
      <c r="AD91" s="2">
        <v>5</v>
      </c>
      <c r="AE91" s="2">
        <f t="shared" si="28"/>
        <v>0</v>
      </c>
      <c r="AF91" s="2">
        <f t="shared" si="29"/>
        <v>0</v>
      </c>
      <c r="AG91" s="2">
        <v>5</v>
      </c>
      <c r="AH91" s="2" t="str">
        <f t="shared" si="30"/>
        <v>NO</v>
      </c>
      <c r="AI91" s="2">
        <f t="shared" si="31"/>
        <v>31540</v>
      </c>
      <c r="AJ91" s="2" t="s">
        <v>50</v>
      </c>
      <c r="AK91" s="2"/>
      <c r="AL91" s="2"/>
      <c r="AM91" s="2">
        <f t="shared" si="32"/>
        <v>36520</v>
      </c>
      <c r="AN91" s="2">
        <f t="shared" si="33"/>
        <v>11520</v>
      </c>
      <c r="AO91" s="2">
        <v>0</v>
      </c>
      <c r="AP91" s="4">
        <f t="shared" si="34"/>
        <v>261.81818181818181</v>
      </c>
      <c r="AQ91" s="4">
        <f t="shared" si="35"/>
        <v>0</v>
      </c>
      <c r="AR91" s="5">
        <v>46203</v>
      </c>
      <c r="AS91" s="5">
        <v>46209</v>
      </c>
      <c r="AT91" s="5">
        <v>46217</v>
      </c>
      <c r="AU91" s="2" t="str">
        <f t="shared" si="36"/>
        <v>ACTIVE</v>
      </c>
      <c r="AV91" s="2"/>
      <c r="AW91" s="2">
        <f t="shared" si="37"/>
        <v>0</v>
      </c>
      <c r="AX91" s="6"/>
      <c r="AY91" s="6"/>
    </row>
    <row r="92" spans="1:51" x14ac:dyDescent="0.25">
      <c r="A92" s="7" t="str">
        <f t="shared" si="22"/>
        <v>ACTIVE</v>
      </c>
      <c r="B92" s="2" t="s">
        <v>156</v>
      </c>
      <c r="C92" s="2" t="s">
        <v>157</v>
      </c>
      <c r="D92" s="2" t="s">
        <v>158</v>
      </c>
      <c r="E92" s="2" t="s">
        <v>115</v>
      </c>
      <c r="F92" s="2"/>
      <c r="G92" s="2" t="s">
        <v>160</v>
      </c>
      <c r="H92" s="2" t="s">
        <v>255</v>
      </c>
      <c r="I92" s="2" t="s">
        <v>369</v>
      </c>
      <c r="J92" s="2" t="s">
        <v>370</v>
      </c>
      <c r="K92" s="2" t="s">
        <v>371</v>
      </c>
      <c r="L92" s="2">
        <v>8791791725</v>
      </c>
      <c r="M92" s="2">
        <v>15000</v>
      </c>
      <c r="N92" s="2">
        <v>1260</v>
      </c>
      <c r="O92" s="2">
        <f t="shared" si="38"/>
        <v>13740</v>
      </c>
      <c r="P92" s="2">
        <v>730</v>
      </c>
      <c r="Q92" s="11">
        <f t="shared" si="23"/>
        <v>0</v>
      </c>
      <c r="R92" s="11">
        <v>0</v>
      </c>
      <c r="S92" s="2">
        <v>30</v>
      </c>
      <c r="T92" s="7">
        <v>5</v>
      </c>
      <c r="U92" s="2">
        <f t="shared" si="24"/>
        <v>25</v>
      </c>
      <c r="V92" s="2"/>
      <c r="W92" s="8">
        <v>730</v>
      </c>
      <c r="X92" s="3"/>
      <c r="Y92" s="2">
        <f t="shared" si="25"/>
        <v>4380</v>
      </c>
      <c r="Z92" s="2">
        <f t="shared" si="26"/>
        <v>17520</v>
      </c>
      <c r="AA92" s="2" t="s">
        <v>53</v>
      </c>
      <c r="AB92" s="2" t="s">
        <v>369</v>
      </c>
      <c r="AC92" s="2">
        <f t="shared" si="27"/>
        <v>0</v>
      </c>
      <c r="AD92" s="2">
        <v>5</v>
      </c>
      <c r="AE92" s="2">
        <f t="shared" si="28"/>
        <v>0</v>
      </c>
      <c r="AF92" s="2">
        <f t="shared" si="29"/>
        <v>0</v>
      </c>
      <c r="AG92" s="2">
        <v>5</v>
      </c>
      <c r="AH92" s="2" t="str">
        <f t="shared" si="30"/>
        <v>NO</v>
      </c>
      <c r="AI92" s="2">
        <f t="shared" si="31"/>
        <v>17520</v>
      </c>
      <c r="AJ92" s="2" t="s">
        <v>50</v>
      </c>
      <c r="AK92" s="2"/>
      <c r="AL92" s="2"/>
      <c r="AM92" s="2">
        <f t="shared" si="32"/>
        <v>21900</v>
      </c>
      <c r="AN92" s="2">
        <f t="shared" si="33"/>
        <v>6900</v>
      </c>
      <c r="AO92" s="2">
        <v>0</v>
      </c>
      <c r="AP92" s="4">
        <f t="shared" si="34"/>
        <v>230</v>
      </c>
      <c r="AQ92" s="4">
        <f t="shared" si="35"/>
        <v>0</v>
      </c>
      <c r="AR92" s="5">
        <v>46204</v>
      </c>
      <c r="AS92" s="5">
        <v>46209</v>
      </c>
      <c r="AT92" s="5">
        <v>46217</v>
      </c>
      <c r="AU92" s="2" t="str">
        <f t="shared" si="36"/>
        <v>ACTIVE</v>
      </c>
      <c r="AV92" s="2"/>
      <c r="AW92" s="2">
        <f t="shared" si="37"/>
        <v>0</v>
      </c>
      <c r="AX92" s="6"/>
      <c r="AY92" s="6"/>
    </row>
    <row r="93" spans="1:51" x14ac:dyDescent="0.25">
      <c r="A93" s="7" t="str">
        <f t="shared" si="22"/>
        <v>ACTIVE</v>
      </c>
      <c r="B93" s="2" t="s">
        <v>156</v>
      </c>
      <c r="C93" s="2" t="s">
        <v>157</v>
      </c>
      <c r="D93" s="2" t="s">
        <v>158</v>
      </c>
      <c r="E93" s="2" t="s">
        <v>115</v>
      </c>
      <c r="F93" s="2"/>
      <c r="G93" s="2" t="s">
        <v>160</v>
      </c>
      <c r="H93" s="2" t="s">
        <v>317</v>
      </c>
      <c r="I93" s="2" t="s">
        <v>372</v>
      </c>
      <c r="J93" s="2" t="s">
        <v>114</v>
      </c>
      <c r="K93" s="2" t="s">
        <v>310</v>
      </c>
      <c r="L93" s="2">
        <v>9259698473</v>
      </c>
      <c r="M93" s="2">
        <v>10000</v>
      </c>
      <c r="N93" s="2">
        <v>820</v>
      </c>
      <c r="O93" s="2">
        <f t="shared" si="38"/>
        <v>9180</v>
      </c>
      <c r="P93" s="2">
        <v>520</v>
      </c>
      <c r="Q93" s="11">
        <f t="shared" si="23"/>
        <v>0</v>
      </c>
      <c r="R93" s="11">
        <v>0</v>
      </c>
      <c r="S93" s="2">
        <v>28</v>
      </c>
      <c r="T93" s="7">
        <v>5</v>
      </c>
      <c r="U93" s="2">
        <f t="shared" si="24"/>
        <v>23</v>
      </c>
      <c r="V93" s="2"/>
      <c r="W93" s="8">
        <v>520</v>
      </c>
      <c r="X93" s="3"/>
      <c r="Y93" s="2">
        <f t="shared" si="25"/>
        <v>3120</v>
      </c>
      <c r="Z93" s="2">
        <f t="shared" si="26"/>
        <v>11440</v>
      </c>
      <c r="AA93" s="2" t="s">
        <v>53</v>
      </c>
      <c r="AB93" s="2" t="s">
        <v>372</v>
      </c>
      <c r="AC93" s="2">
        <f t="shared" si="27"/>
        <v>0</v>
      </c>
      <c r="AD93" s="2">
        <v>5</v>
      </c>
      <c r="AE93" s="2">
        <f t="shared" si="28"/>
        <v>0</v>
      </c>
      <c r="AF93" s="2">
        <f t="shared" si="29"/>
        <v>0</v>
      </c>
      <c r="AG93" s="2">
        <v>5</v>
      </c>
      <c r="AH93" s="2" t="str">
        <f t="shared" si="30"/>
        <v>NO</v>
      </c>
      <c r="AI93" s="2">
        <f t="shared" si="31"/>
        <v>11440</v>
      </c>
      <c r="AJ93" s="2" t="s">
        <v>50</v>
      </c>
      <c r="AK93" s="2"/>
      <c r="AL93" s="2"/>
      <c r="AM93" s="2">
        <f t="shared" si="32"/>
        <v>14560</v>
      </c>
      <c r="AN93" s="2">
        <f t="shared" si="33"/>
        <v>4560</v>
      </c>
      <c r="AO93" s="2">
        <v>0</v>
      </c>
      <c r="AP93" s="4">
        <f t="shared" si="34"/>
        <v>162.85714285714286</v>
      </c>
      <c r="AQ93" s="4">
        <f t="shared" si="35"/>
        <v>0</v>
      </c>
      <c r="AR93" s="5">
        <v>46202</v>
      </c>
      <c r="AS93" s="5">
        <v>46209</v>
      </c>
      <c r="AT93" s="5">
        <v>46217</v>
      </c>
      <c r="AU93" s="2" t="str">
        <f t="shared" si="36"/>
        <v>ACTIVE</v>
      </c>
      <c r="AV93" s="2"/>
      <c r="AW93" s="2">
        <f t="shared" si="37"/>
        <v>0</v>
      </c>
      <c r="AX93" s="6"/>
      <c r="AY93" s="6"/>
    </row>
    <row r="94" spans="1:51" x14ac:dyDescent="0.25">
      <c r="A94" s="7" t="str">
        <f t="shared" si="22"/>
        <v>ACTIVE</v>
      </c>
      <c r="B94" s="2" t="s">
        <v>156</v>
      </c>
      <c r="C94" s="2" t="s">
        <v>157</v>
      </c>
      <c r="D94" s="2" t="s">
        <v>158</v>
      </c>
      <c r="E94" s="2" t="s">
        <v>115</v>
      </c>
      <c r="F94" s="2"/>
      <c r="G94" s="2" t="s">
        <v>160</v>
      </c>
      <c r="H94" s="2" t="s">
        <v>373</v>
      </c>
      <c r="I94" s="2" t="s">
        <v>374</v>
      </c>
      <c r="J94" s="2" t="s">
        <v>375</v>
      </c>
      <c r="K94" s="2" t="s">
        <v>376</v>
      </c>
      <c r="L94" s="2">
        <v>7351720450</v>
      </c>
      <c r="M94" s="2">
        <v>25000</v>
      </c>
      <c r="N94" s="2">
        <v>1860</v>
      </c>
      <c r="O94" s="2">
        <f t="shared" si="38"/>
        <v>23140</v>
      </c>
      <c r="P94" s="2">
        <v>830</v>
      </c>
      <c r="Q94" s="11">
        <f t="shared" si="23"/>
        <v>0</v>
      </c>
      <c r="R94" s="11">
        <v>0</v>
      </c>
      <c r="S94" s="2">
        <v>44</v>
      </c>
      <c r="T94" s="7">
        <v>5</v>
      </c>
      <c r="U94" s="2">
        <f t="shared" si="24"/>
        <v>39</v>
      </c>
      <c r="V94" s="2"/>
      <c r="W94" s="8">
        <v>830</v>
      </c>
      <c r="X94" s="9"/>
      <c r="Y94" s="2">
        <f t="shared" si="25"/>
        <v>4980</v>
      </c>
      <c r="Z94" s="2">
        <f t="shared" si="26"/>
        <v>31540</v>
      </c>
      <c r="AA94" s="2" t="s">
        <v>53</v>
      </c>
      <c r="AB94" s="2" t="s">
        <v>374</v>
      </c>
      <c r="AC94" s="2">
        <f t="shared" si="27"/>
        <v>0</v>
      </c>
      <c r="AD94" s="2">
        <v>5</v>
      </c>
      <c r="AE94" s="2">
        <f t="shared" si="28"/>
        <v>0</v>
      </c>
      <c r="AF94" s="2">
        <f t="shared" si="29"/>
        <v>0</v>
      </c>
      <c r="AG94" s="2">
        <v>5</v>
      </c>
      <c r="AH94" s="2" t="str">
        <f t="shared" si="30"/>
        <v>NO</v>
      </c>
      <c r="AI94" s="2">
        <f t="shared" si="31"/>
        <v>31540</v>
      </c>
      <c r="AJ94" s="2" t="s">
        <v>50</v>
      </c>
      <c r="AK94" s="2"/>
      <c r="AL94" s="2"/>
      <c r="AM94" s="2">
        <f t="shared" si="32"/>
        <v>36520</v>
      </c>
      <c r="AN94" s="2">
        <f t="shared" si="33"/>
        <v>11520</v>
      </c>
      <c r="AO94" s="2">
        <v>0</v>
      </c>
      <c r="AP94" s="4">
        <f t="shared" si="34"/>
        <v>261.81818181818181</v>
      </c>
      <c r="AQ94" s="4">
        <f t="shared" si="35"/>
        <v>0</v>
      </c>
      <c r="AR94" s="5">
        <v>46202</v>
      </c>
      <c r="AS94" s="5">
        <v>46209</v>
      </c>
      <c r="AT94" s="5">
        <v>46217</v>
      </c>
      <c r="AU94" s="2" t="str">
        <f t="shared" si="36"/>
        <v>ACTIVE</v>
      </c>
      <c r="AV94" s="2"/>
      <c r="AW94" s="2">
        <f t="shared" si="37"/>
        <v>0</v>
      </c>
      <c r="AX94" s="6"/>
      <c r="AY94" s="6"/>
    </row>
    <row r="95" spans="1:51" hidden="1" x14ac:dyDescent="0.25">
      <c r="A95" s="7" t="str">
        <f t="shared" si="22"/>
        <v>ACTIVE</v>
      </c>
      <c r="B95" s="2" t="s">
        <v>156</v>
      </c>
      <c r="C95" s="2" t="s">
        <v>157</v>
      </c>
      <c r="D95" s="2" t="s">
        <v>158</v>
      </c>
      <c r="E95" s="2" t="s">
        <v>115</v>
      </c>
      <c r="F95" s="2"/>
      <c r="G95" s="2" t="s">
        <v>160</v>
      </c>
      <c r="H95" s="2" t="s">
        <v>377</v>
      </c>
      <c r="I95" s="2" t="s">
        <v>378</v>
      </c>
      <c r="J95" s="2" t="s">
        <v>379</v>
      </c>
      <c r="K95" s="2" t="s">
        <v>380</v>
      </c>
      <c r="L95" s="2">
        <v>9520353141</v>
      </c>
      <c r="M95" s="2">
        <v>20000</v>
      </c>
      <c r="N95" s="2">
        <v>1580</v>
      </c>
      <c r="O95" s="2">
        <f t="shared" si="38"/>
        <v>18420</v>
      </c>
      <c r="P95" s="2">
        <v>810</v>
      </c>
      <c r="Q95" s="11">
        <f t="shared" si="23"/>
        <v>0</v>
      </c>
      <c r="R95" s="11">
        <v>0</v>
      </c>
      <c r="S95" s="2">
        <v>36</v>
      </c>
      <c r="T95" s="7">
        <v>6</v>
      </c>
      <c r="U95" s="2">
        <f t="shared" si="24"/>
        <v>30</v>
      </c>
      <c r="V95" s="2"/>
      <c r="W95" s="8"/>
      <c r="X95" s="9"/>
      <c r="Y95" s="2">
        <f t="shared" si="25"/>
        <v>4860</v>
      </c>
      <c r="Z95" s="2">
        <f t="shared" si="26"/>
        <v>24300</v>
      </c>
      <c r="AA95" s="2" t="s">
        <v>57</v>
      </c>
      <c r="AB95" s="2" t="s">
        <v>378</v>
      </c>
      <c r="AC95" s="2">
        <f t="shared" si="27"/>
        <v>0</v>
      </c>
      <c r="AD95" s="2">
        <v>5</v>
      </c>
      <c r="AE95" s="2">
        <f t="shared" si="28"/>
        <v>0</v>
      </c>
      <c r="AF95" s="2">
        <f t="shared" si="29"/>
        <v>0</v>
      </c>
      <c r="AG95" s="2">
        <v>5</v>
      </c>
      <c r="AH95" s="2" t="str">
        <f t="shared" si="30"/>
        <v>NO</v>
      </c>
      <c r="AI95" s="2">
        <f t="shared" si="31"/>
        <v>24300</v>
      </c>
      <c r="AJ95" s="2" t="s">
        <v>50</v>
      </c>
      <c r="AK95" s="2"/>
      <c r="AL95" s="2"/>
      <c r="AM95" s="2">
        <f t="shared" si="32"/>
        <v>29160</v>
      </c>
      <c r="AN95" s="2">
        <f t="shared" si="33"/>
        <v>9160</v>
      </c>
      <c r="AO95" s="2">
        <v>0</v>
      </c>
      <c r="AP95" s="4">
        <f t="shared" si="34"/>
        <v>254.44444444444446</v>
      </c>
      <c r="AQ95" s="4">
        <f t="shared" si="35"/>
        <v>0</v>
      </c>
      <c r="AR95" s="5">
        <v>46198</v>
      </c>
      <c r="AS95" s="5">
        <v>46209</v>
      </c>
      <c r="AT95" s="5">
        <v>46213</v>
      </c>
      <c r="AU95" s="2" t="str">
        <f t="shared" si="36"/>
        <v>ACTIVE</v>
      </c>
      <c r="AV95" s="2"/>
      <c r="AW95" s="2">
        <f t="shared" si="37"/>
        <v>0</v>
      </c>
      <c r="AX95" s="6"/>
      <c r="AY95" s="6"/>
    </row>
    <row r="96" spans="1:51" hidden="1" x14ac:dyDescent="0.25">
      <c r="A96" s="7" t="str">
        <f t="shared" si="22"/>
        <v>ACTIVE</v>
      </c>
      <c r="B96" s="2" t="s">
        <v>156</v>
      </c>
      <c r="C96" s="2" t="s">
        <v>157</v>
      </c>
      <c r="D96" s="2" t="s">
        <v>158</v>
      </c>
      <c r="E96" s="2" t="s">
        <v>115</v>
      </c>
      <c r="F96" s="2"/>
      <c r="G96" s="2" t="s">
        <v>160</v>
      </c>
      <c r="H96" s="2" t="s">
        <v>381</v>
      </c>
      <c r="I96" s="2" t="s">
        <v>382</v>
      </c>
      <c r="J96" s="2" t="s">
        <v>55</v>
      </c>
      <c r="K96" s="2" t="s">
        <v>383</v>
      </c>
      <c r="L96" s="2">
        <v>7251022379</v>
      </c>
      <c r="M96" s="2">
        <v>20000</v>
      </c>
      <c r="N96" s="2">
        <v>1580</v>
      </c>
      <c r="O96" s="2">
        <f t="shared" si="38"/>
        <v>18420</v>
      </c>
      <c r="P96" s="2">
        <v>810</v>
      </c>
      <c r="Q96" s="11">
        <f t="shared" si="23"/>
        <v>0</v>
      </c>
      <c r="R96" s="11">
        <v>0</v>
      </c>
      <c r="S96" s="2">
        <v>36</v>
      </c>
      <c r="T96" s="7">
        <v>5</v>
      </c>
      <c r="U96" s="2">
        <f t="shared" si="24"/>
        <v>31</v>
      </c>
      <c r="V96" s="2"/>
      <c r="W96" s="8"/>
      <c r="X96" s="9"/>
      <c r="Y96" s="2">
        <f t="shared" si="25"/>
        <v>4050</v>
      </c>
      <c r="Z96" s="2">
        <f t="shared" si="26"/>
        <v>25110</v>
      </c>
      <c r="AA96" s="2" t="s">
        <v>49</v>
      </c>
      <c r="AB96" s="2" t="s">
        <v>382</v>
      </c>
      <c r="AC96" s="2">
        <f t="shared" si="27"/>
        <v>0</v>
      </c>
      <c r="AD96" s="2">
        <v>5</v>
      </c>
      <c r="AE96" s="2">
        <f t="shared" si="28"/>
        <v>0</v>
      </c>
      <c r="AF96" s="2">
        <f t="shared" si="29"/>
        <v>0</v>
      </c>
      <c r="AG96" s="2">
        <v>5</v>
      </c>
      <c r="AH96" s="2" t="str">
        <f t="shared" si="30"/>
        <v>NO</v>
      </c>
      <c r="AI96" s="2">
        <f t="shared" si="31"/>
        <v>25110</v>
      </c>
      <c r="AJ96" s="2" t="s">
        <v>50</v>
      </c>
      <c r="AK96" s="2"/>
      <c r="AL96" s="2"/>
      <c r="AM96" s="2">
        <f t="shared" si="32"/>
        <v>29160</v>
      </c>
      <c r="AN96" s="2">
        <f t="shared" si="33"/>
        <v>9160</v>
      </c>
      <c r="AO96" s="2">
        <v>0</v>
      </c>
      <c r="AP96" s="4">
        <f t="shared" si="34"/>
        <v>254.44444444444446</v>
      </c>
      <c r="AQ96" s="4">
        <f t="shared" si="35"/>
        <v>0</v>
      </c>
      <c r="AR96" s="5">
        <v>46197</v>
      </c>
      <c r="AS96" s="5">
        <v>46212</v>
      </c>
      <c r="AT96" s="5">
        <v>46218</v>
      </c>
      <c r="AU96" s="2" t="str">
        <f t="shared" si="36"/>
        <v>ACTIVE</v>
      </c>
      <c r="AV96" s="2"/>
      <c r="AW96" s="2">
        <f t="shared" si="37"/>
        <v>0</v>
      </c>
      <c r="AX96" s="6"/>
      <c r="AY96" s="6"/>
    </row>
    <row r="97" spans="1:51" x14ac:dyDescent="0.25">
      <c r="A97" s="7" t="str">
        <f t="shared" si="22"/>
        <v>ACTIVE</v>
      </c>
      <c r="B97" s="2" t="s">
        <v>156</v>
      </c>
      <c r="C97" s="2" t="s">
        <v>157</v>
      </c>
      <c r="D97" s="2" t="s">
        <v>158</v>
      </c>
      <c r="E97" s="2" t="s">
        <v>115</v>
      </c>
      <c r="F97" s="2"/>
      <c r="G97" s="2" t="s">
        <v>160</v>
      </c>
      <c r="H97" s="2" t="s">
        <v>384</v>
      </c>
      <c r="I97" s="2" t="s">
        <v>385</v>
      </c>
      <c r="J97" s="2" t="s">
        <v>386</v>
      </c>
      <c r="K97" s="2" t="s">
        <v>387</v>
      </c>
      <c r="L97" s="2">
        <v>6395685785</v>
      </c>
      <c r="M97" s="2">
        <v>20000</v>
      </c>
      <c r="N97" s="2">
        <v>1580</v>
      </c>
      <c r="O97" s="2">
        <f t="shared" si="38"/>
        <v>18420</v>
      </c>
      <c r="P97" s="2">
        <v>810</v>
      </c>
      <c r="Q97" s="11">
        <f t="shared" si="23"/>
        <v>0</v>
      </c>
      <c r="R97" s="11">
        <v>0</v>
      </c>
      <c r="S97" s="2">
        <v>36</v>
      </c>
      <c r="T97" s="7">
        <v>5</v>
      </c>
      <c r="U97" s="2">
        <f t="shared" si="24"/>
        <v>31</v>
      </c>
      <c r="V97" s="2"/>
      <c r="W97" s="8"/>
      <c r="X97" s="9"/>
      <c r="Y97" s="2">
        <f t="shared" si="25"/>
        <v>4050</v>
      </c>
      <c r="Z97" s="2">
        <f t="shared" si="26"/>
        <v>25110</v>
      </c>
      <c r="AA97" s="2" t="s">
        <v>53</v>
      </c>
      <c r="AB97" s="2" t="s">
        <v>385</v>
      </c>
      <c r="AC97" s="2">
        <f t="shared" si="27"/>
        <v>0</v>
      </c>
      <c r="AD97" s="2">
        <v>5</v>
      </c>
      <c r="AE97" s="2">
        <f t="shared" si="28"/>
        <v>0</v>
      </c>
      <c r="AF97" s="2">
        <f t="shared" si="29"/>
        <v>0</v>
      </c>
      <c r="AG97" s="2">
        <v>5</v>
      </c>
      <c r="AH97" s="2" t="str">
        <f t="shared" si="30"/>
        <v>NO</v>
      </c>
      <c r="AI97" s="2">
        <f t="shared" si="31"/>
        <v>25110</v>
      </c>
      <c r="AJ97" s="2" t="s">
        <v>50</v>
      </c>
      <c r="AK97" s="2"/>
      <c r="AL97" s="2"/>
      <c r="AM97" s="2">
        <f t="shared" si="32"/>
        <v>29160</v>
      </c>
      <c r="AN97" s="2">
        <f t="shared" si="33"/>
        <v>9160</v>
      </c>
      <c r="AO97" s="2">
        <v>0</v>
      </c>
      <c r="AP97" s="4">
        <f t="shared" si="34"/>
        <v>254.44444444444446</v>
      </c>
      <c r="AQ97" s="4">
        <f t="shared" si="35"/>
        <v>0</v>
      </c>
      <c r="AR97" s="5">
        <v>46209</v>
      </c>
      <c r="AS97" s="5">
        <v>46212</v>
      </c>
      <c r="AT97" s="5">
        <v>46217</v>
      </c>
      <c r="AU97" s="2" t="str">
        <f t="shared" si="36"/>
        <v>ACTIVE</v>
      </c>
      <c r="AV97" s="2"/>
      <c r="AW97" s="2">
        <f t="shared" si="37"/>
        <v>0</v>
      </c>
      <c r="AX97" s="6"/>
      <c r="AY97" s="6"/>
    </row>
    <row r="98" spans="1:51" hidden="1" x14ac:dyDescent="0.25">
      <c r="A98" s="7" t="str">
        <f t="shared" si="22"/>
        <v>ACTIVE</v>
      </c>
      <c r="B98" s="2" t="s">
        <v>156</v>
      </c>
      <c r="C98" s="2" t="s">
        <v>157</v>
      </c>
      <c r="D98" s="2" t="s">
        <v>158</v>
      </c>
      <c r="E98" s="2" t="s">
        <v>115</v>
      </c>
      <c r="F98" s="2"/>
      <c r="G98" s="2" t="s">
        <v>160</v>
      </c>
      <c r="H98" s="2" t="s">
        <v>388</v>
      </c>
      <c r="I98" s="2" t="s">
        <v>389</v>
      </c>
      <c r="J98" s="2" t="s">
        <v>390</v>
      </c>
      <c r="K98" s="2" t="s">
        <v>391</v>
      </c>
      <c r="L98" s="2">
        <v>8218425696</v>
      </c>
      <c r="M98" s="2">
        <v>30000</v>
      </c>
      <c r="N98" s="2">
        <v>2200</v>
      </c>
      <c r="O98" s="2">
        <f t="shared" si="38"/>
        <v>27800</v>
      </c>
      <c r="P98" s="2">
        <v>1000</v>
      </c>
      <c r="Q98" s="11">
        <f t="shared" si="23"/>
        <v>0</v>
      </c>
      <c r="R98" s="11">
        <v>0</v>
      </c>
      <c r="S98" s="2">
        <v>41</v>
      </c>
      <c r="T98" s="7">
        <v>5</v>
      </c>
      <c r="U98" s="2">
        <f t="shared" si="24"/>
        <v>36</v>
      </c>
      <c r="V98" s="2"/>
      <c r="W98" s="8"/>
      <c r="X98" s="9"/>
      <c r="Y98" s="2">
        <f t="shared" si="25"/>
        <v>5000</v>
      </c>
      <c r="Z98" s="2">
        <f t="shared" si="26"/>
        <v>36000</v>
      </c>
      <c r="AA98" s="2" t="s">
        <v>49</v>
      </c>
      <c r="AB98" s="2" t="s">
        <v>389</v>
      </c>
      <c r="AC98" s="2">
        <f t="shared" si="27"/>
        <v>0</v>
      </c>
      <c r="AD98" s="2">
        <v>5</v>
      </c>
      <c r="AE98" s="2">
        <f t="shared" si="28"/>
        <v>0</v>
      </c>
      <c r="AF98" s="2">
        <f t="shared" si="29"/>
        <v>0</v>
      </c>
      <c r="AG98" s="2">
        <v>5</v>
      </c>
      <c r="AH98" s="2" t="str">
        <f t="shared" si="30"/>
        <v>NO</v>
      </c>
      <c r="AI98" s="2">
        <f t="shared" si="31"/>
        <v>36000</v>
      </c>
      <c r="AJ98" s="2" t="s">
        <v>50</v>
      </c>
      <c r="AK98" s="2"/>
      <c r="AL98" s="2"/>
      <c r="AM98" s="2">
        <f t="shared" si="32"/>
        <v>41000</v>
      </c>
      <c r="AN98" s="2">
        <f t="shared" si="33"/>
        <v>11000</v>
      </c>
      <c r="AO98" s="2">
        <v>0</v>
      </c>
      <c r="AP98" s="4">
        <f t="shared" si="34"/>
        <v>268.29268292682929</v>
      </c>
      <c r="AQ98" s="4">
        <f t="shared" si="35"/>
        <v>0</v>
      </c>
      <c r="AR98" s="5">
        <v>46206</v>
      </c>
      <c r="AS98" s="5">
        <v>46212</v>
      </c>
      <c r="AT98" s="5">
        <v>46218</v>
      </c>
      <c r="AU98" s="2" t="str">
        <f t="shared" si="36"/>
        <v>ACTIVE</v>
      </c>
      <c r="AV98" s="2"/>
      <c r="AW98" s="2">
        <f t="shared" si="37"/>
        <v>0</v>
      </c>
      <c r="AX98" s="6"/>
      <c r="AY98" s="6"/>
    </row>
    <row r="99" spans="1:51" hidden="1" x14ac:dyDescent="0.25">
      <c r="A99" s="7" t="str">
        <f t="shared" si="22"/>
        <v>ACTIVE</v>
      </c>
      <c r="B99" s="2" t="s">
        <v>156</v>
      </c>
      <c r="C99" s="2" t="s">
        <v>157</v>
      </c>
      <c r="D99" s="2" t="s">
        <v>158</v>
      </c>
      <c r="E99" s="2" t="s">
        <v>115</v>
      </c>
      <c r="F99" s="2"/>
      <c r="G99" s="2" t="s">
        <v>160</v>
      </c>
      <c r="H99" s="2" t="s">
        <v>288</v>
      </c>
      <c r="I99" s="2" t="s">
        <v>392</v>
      </c>
      <c r="J99" s="2" t="s">
        <v>393</v>
      </c>
      <c r="K99" s="2" t="s">
        <v>394</v>
      </c>
      <c r="L99" s="2">
        <v>902737829</v>
      </c>
      <c r="M99" s="2">
        <v>20000</v>
      </c>
      <c r="N99" s="2">
        <v>1580</v>
      </c>
      <c r="O99" s="2">
        <f t="shared" si="38"/>
        <v>18420</v>
      </c>
      <c r="P99" s="2">
        <v>810</v>
      </c>
      <c r="Q99" s="11">
        <f t="shared" ref="Q99:Q113" si="39">P99*R99</f>
        <v>0</v>
      </c>
      <c r="R99" s="11">
        <v>0</v>
      </c>
      <c r="S99" s="2">
        <v>36</v>
      </c>
      <c r="T99" s="7">
        <v>3</v>
      </c>
      <c r="U99" s="2">
        <f t="shared" si="24"/>
        <v>33</v>
      </c>
      <c r="V99" s="2"/>
      <c r="W99" s="8">
        <v>810</v>
      </c>
      <c r="X99" s="3"/>
      <c r="Y99" s="2">
        <f t="shared" ref="Y99:Y126" si="40">(T99*P99)-V99+W99</f>
        <v>3240</v>
      </c>
      <c r="Z99" s="2">
        <f t="shared" ref="Z99:Z135" si="41">P99*(R99+U99)+V99-W99</f>
        <v>25920</v>
      </c>
      <c r="AA99" s="2" t="s">
        <v>65</v>
      </c>
      <c r="AB99" s="2" t="s">
        <v>392</v>
      </c>
      <c r="AC99" s="2">
        <f t="shared" si="27"/>
        <v>0</v>
      </c>
      <c r="AD99" s="2">
        <v>5</v>
      </c>
      <c r="AE99" s="2">
        <f t="shared" si="28"/>
        <v>0</v>
      </c>
      <c r="AF99" s="2">
        <f t="shared" si="29"/>
        <v>0</v>
      </c>
      <c r="AG99" s="2">
        <v>5</v>
      </c>
      <c r="AH99" s="2" t="str">
        <f t="shared" si="30"/>
        <v>NO</v>
      </c>
      <c r="AI99" s="2">
        <f t="shared" si="31"/>
        <v>25920</v>
      </c>
      <c r="AJ99" s="2" t="s">
        <v>50</v>
      </c>
      <c r="AK99" s="2"/>
      <c r="AL99" s="2"/>
      <c r="AM99" s="2">
        <f t="shared" ref="AM99:AM113" si="42">P99*S99</f>
        <v>29160</v>
      </c>
      <c r="AN99" s="2">
        <f t="shared" ref="AN99:AN113" si="43">AM99-M99</f>
        <v>9160</v>
      </c>
      <c r="AO99" s="2">
        <v>0</v>
      </c>
      <c r="AP99" s="4">
        <f t="shared" si="34"/>
        <v>254.44444444444446</v>
      </c>
      <c r="AQ99" s="4">
        <f t="shared" si="35"/>
        <v>0</v>
      </c>
      <c r="AR99" s="5">
        <v>46209</v>
      </c>
      <c r="AS99" s="5">
        <v>46214</v>
      </c>
      <c r="AT99" s="5">
        <v>46230</v>
      </c>
      <c r="AU99" s="2" t="str">
        <f t="shared" si="36"/>
        <v>ACTIVE</v>
      </c>
      <c r="AV99" s="2"/>
      <c r="AW99" s="2">
        <f t="shared" si="37"/>
        <v>0</v>
      </c>
      <c r="AX99" s="6"/>
      <c r="AY99" s="6"/>
    </row>
    <row r="100" spans="1:51" hidden="1" x14ac:dyDescent="0.25">
      <c r="A100" s="7" t="str">
        <f t="shared" si="22"/>
        <v>ACTIVE</v>
      </c>
      <c r="B100" s="2" t="s">
        <v>156</v>
      </c>
      <c r="C100" s="2" t="s">
        <v>157</v>
      </c>
      <c r="D100" s="2" t="s">
        <v>158</v>
      </c>
      <c r="E100" s="2" t="s">
        <v>115</v>
      </c>
      <c r="F100" s="2"/>
      <c r="G100" s="2" t="s">
        <v>160</v>
      </c>
      <c r="H100" s="2" t="s">
        <v>381</v>
      </c>
      <c r="I100" s="2" t="s">
        <v>395</v>
      </c>
      <c r="J100" s="2" t="s">
        <v>390</v>
      </c>
      <c r="K100" s="2" t="s">
        <v>396</v>
      </c>
      <c r="L100" s="2">
        <v>9084978593</v>
      </c>
      <c r="M100" s="2">
        <v>20000</v>
      </c>
      <c r="N100" s="2">
        <v>1580</v>
      </c>
      <c r="O100" s="2">
        <f t="shared" si="38"/>
        <v>18420</v>
      </c>
      <c r="P100" s="2">
        <v>810</v>
      </c>
      <c r="Q100" s="11">
        <f t="shared" si="39"/>
        <v>0</v>
      </c>
      <c r="R100" s="11">
        <v>0</v>
      </c>
      <c r="S100" s="2">
        <v>36</v>
      </c>
      <c r="T100" s="7">
        <v>5</v>
      </c>
      <c r="U100" s="2">
        <f t="shared" si="24"/>
        <v>31</v>
      </c>
      <c r="V100" s="2"/>
      <c r="W100" s="8"/>
      <c r="X100" s="9"/>
      <c r="Y100" s="2">
        <f t="shared" si="40"/>
        <v>4050</v>
      </c>
      <c r="Z100" s="2">
        <f t="shared" si="41"/>
        <v>25110</v>
      </c>
      <c r="AA100" s="2" t="s">
        <v>49</v>
      </c>
      <c r="AB100" s="2" t="s">
        <v>395</v>
      </c>
      <c r="AC100" s="2">
        <f t="shared" si="27"/>
        <v>0</v>
      </c>
      <c r="AD100" s="2">
        <v>5</v>
      </c>
      <c r="AE100" s="2">
        <f t="shared" si="28"/>
        <v>0</v>
      </c>
      <c r="AF100" s="2">
        <f t="shared" si="29"/>
        <v>0</v>
      </c>
      <c r="AG100" s="2">
        <v>5</v>
      </c>
      <c r="AH100" s="2" t="str">
        <f t="shared" si="30"/>
        <v>NO</v>
      </c>
      <c r="AI100" s="2">
        <f t="shared" si="31"/>
        <v>25110</v>
      </c>
      <c r="AJ100" s="2" t="s">
        <v>50</v>
      </c>
      <c r="AK100" s="2"/>
      <c r="AL100" s="2"/>
      <c r="AM100" s="2">
        <f t="shared" si="42"/>
        <v>29160</v>
      </c>
      <c r="AN100" s="2">
        <f t="shared" si="43"/>
        <v>9160</v>
      </c>
      <c r="AO100" s="2">
        <v>0</v>
      </c>
      <c r="AP100" s="4">
        <f t="shared" si="34"/>
        <v>254.44444444444446</v>
      </c>
      <c r="AQ100" s="4">
        <f t="shared" si="35"/>
        <v>0</v>
      </c>
      <c r="AR100" s="5">
        <v>46197</v>
      </c>
      <c r="AS100" s="5">
        <v>46214</v>
      </c>
      <c r="AT100" s="5">
        <v>46218</v>
      </c>
      <c r="AU100" s="2" t="str">
        <f t="shared" si="36"/>
        <v>ACTIVE</v>
      </c>
      <c r="AV100" s="2"/>
      <c r="AW100" s="2">
        <f t="shared" si="37"/>
        <v>0</v>
      </c>
      <c r="AX100" s="6"/>
      <c r="AY100" s="6"/>
    </row>
    <row r="101" spans="1:51" hidden="1" x14ac:dyDescent="0.25">
      <c r="A101" s="7" t="str">
        <f t="shared" si="22"/>
        <v>ACTIVE</v>
      </c>
      <c r="B101" s="2" t="s">
        <v>156</v>
      </c>
      <c r="C101" s="2" t="s">
        <v>157</v>
      </c>
      <c r="D101" s="2" t="s">
        <v>158</v>
      </c>
      <c r="E101" s="2" t="s">
        <v>115</v>
      </c>
      <c r="F101" s="2"/>
      <c r="G101" s="2" t="s">
        <v>160</v>
      </c>
      <c r="H101" s="2" t="s">
        <v>397</v>
      </c>
      <c r="I101" s="2" t="s">
        <v>398</v>
      </c>
      <c r="J101" s="2" t="s">
        <v>92</v>
      </c>
      <c r="K101" s="2" t="s">
        <v>187</v>
      </c>
      <c r="L101" s="2">
        <v>7452866568</v>
      </c>
      <c r="M101" s="2">
        <v>15000</v>
      </c>
      <c r="N101" s="2">
        <v>1260</v>
      </c>
      <c r="O101" s="2">
        <f t="shared" si="38"/>
        <v>13740</v>
      </c>
      <c r="P101" s="2">
        <v>730</v>
      </c>
      <c r="Q101" s="11">
        <f t="shared" si="39"/>
        <v>0</v>
      </c>
      <c r="R101" s="11">
        <v>0</v>
      </c>
      <c r="S101" s="2">
        <v>30</v>
      </c>
      <c r="T101" s="7">
        <v>3</v>
      </c>
      <c r="U101" s="2">
        <f t="shared" si="24"/>
        <v>27</v>
      </c>
      <c r="V101" s="2"/>
      <c r="W101" s="8">
        <v>730</v>
      </c>
      <c r="X101" s="9"/>
      <c r="Y101" s="2">
        <f t="shared" si="40"/>
        <v>2920</v>
      </c>
      <c r="Z101" s="2">
        <f t="shared" si="41"/>
        <v>18980</v>
      </c>
      <c r="AA101" s="2" t="s">
        <v>65</v>
      </c>
      <c r="AB101" s="2" t="s">
        <v>398</v>
      </c>
      <c r="AC101" s="2">
        <f t="shared" si="27"/>
        <v>0</v>
      </c>
      <c r="AD101" s="2">
        <v>5</v>
      </c>
      <c r="AE101" s="2">
        <f t="shared" si="28"/>
        <v>0</v>
      </c>
      <c r="AF101" s="2">
        <f t="shared" si="29"/>
        <v>0</v>
      </c>
      <c r="AG101" s="2">
        <v>5</v>
      </c>
      <c r="AH101" s="2" t="str">
        <f t="shared" si="30"/>
        <v>NO</v>
      </c>
      <c r="AI101" s="2">
        <f t="shared" si="31"/>
        <v>18980</v>
      </c>
      <c r="AJ101" s="2" t="s">
        <v>50</v>
      </c>
      <c r="AK101" s="2"/>
      <c r="AL101" s="2"/>
      <c r="AM101" s="2">
        <f t="shared" si="42"/>
        <v>21900</v>
      </c>
      <c r="AN101" s="2">
        <f t="shared" si="43"/>
        <v>6900</v>
      </c>
      <c r="AO101" s="2">
        <v>0</v>
      </c>
      <c r="AP101" s="4">
        <f t="shared" si="34"/>
        <v>230</v>
      </c>
      <c r="AQ101" s="4">
        <f t="shared" si="35"/>
        <v>0</v>
      </c>
      <c r="AR101" s="5">
        <v>46209</v>
      </c>
      <c r="AS101" s="5">
        <v>46216</v>
      </c>
      <c r="AT101" s="5">
        <v>46230</v>
      </c>
      <c r="AU101" s="2" t="str">
        <f t="shared" si="36"/>
        <v>ACTIVE</v>
      </c>
      <c r="AV101" s="2"/>
      <c r="AW101" s="2">
        <f t="shared" si="37"/>
        <v>0</v>
      </c>
      <c r="AX101" s="6"/>
      <c r="AY101" s="6"/>
    </row>
    <row r="102" spans="1:51" hidden="1" x14ac:dyDescent="0.25">
      <c r="A102" s="7" t="str">
        <f t="shared" si="22"/>
        <v>ACTIVE</v>
      </c>
      <c r="B102" s="2" t="s">
        <v>156</v>
      </c>
      <c r="C102" s="2" t="s">
        <v>157</v>
      </c>
      <c r="D102" s="2" t="s">
        <v>158</v>
      </c>
      <c r="E102" s="2" t="s">
        <v>115</v>
      </c>
      <c r="F102" s="2"/>
      <c r="G102" s="2" t="s">
        <v>160</v>
      </c>
      <c r="H102" s="2" t="s">
        <v>397</v>
      </c>
      <c r="I102" s="2" t="s">
        <v>399</v>
      </c>
      <c r="J102" s="2" t="s">
        <v>400</v>
      </c>
      <c r="K102" s="2" t="s">
        <v>401</v>
      </c>
      <c r="L102" s="2">
        <v>9719345902</v>
      </c>
      <c r="M102" s="2">
        <v>20000</v>
      </c>
      <c r="N102" s="2">
        <v>1580</v>
      </c>
      <c r="O102" s="2">
        <f t="shared" si="38"/>
        <v>18420</v>
      </c>
      <c r="P102" s="2">
        <v>810</v>
      </c>
      <c r="Q102" s="11">
        <f t="shared" si="39"/>
        <v>0</v>
      </c>
      <c r="R102" s="11">
        <v>0</v>
      </c>
      <c r="S102" s="2">
        <v>36</v>
      </c>
      <c r="T102" s="7">
        <v>3</v>
      </c>
      <c r="U102" s="2">
        <f t="shared" si="24"/>
        <v>33</v>
      </c>
      <c r="V102" s="2"/>
      <c r="W102" s="8">
        <v>810</v>
      </c>
      <c r="X102" s="9"/>
      <c r="Y102" s="2">
        <f t="shared" si="40"/>
        <v>3240</v>
      </c>
      <c r="Z102" s="2">
        <f t="shared" si="41"/>
        <v>25920</v>
      </c>
      <c r="AA102" s="2" t="s">
        <v>65</v>
      </c>
      <c r="AB102" s="2" t="s">
        <v>399</v>
      </c>
      <c r="AC102" s="2">
        <f t="shared" si="27"/>
        <v>0</v>
      </c>
      <c r="AD102" s="2">
        <v>5</v>
      </c>
      <c r="AE102" s="2">
        <f t="shared" si="28"/>
        <v>0</v>
      </c>
      <c r="AF102" s="2">
        <f t="shared" si="29"/>
        <v>0</v>
      </c>
      <c r="AG102" s="2">
        <v>5</v>
      </c>
      <c r="AH102" s="2" t="str">
        <f t="shared" si="30"/>
        <v>NO</v>
      </c>
      <c r="AI102" s="2">
        <f t="shared" si="31"/>
        <v>25920</v>
      </c>
      <c r="AJ102" s="2" t="s">
        <v>50</v>
      </c>
      <c r="AK102" s="2"/>
      <c r="AL102" s="2"/>
      <c r="AM102" s="2">
        <f t="shared" si="42"/>
        <v>29160</v>
      </c>
      <c r="AN102" s="2">
        <f t="shared" si="43"/>
        <v>9160</v>
      </c>
      <c r="AO102" s="2">
        <v>0</v>
      </c>
      <c r="AP102" s="4">
        <f t="shared" si="34"/>
        <v>254.44444444444446</v>
      </c>
      <c r="AQ102" s="4">
        <f t="shared" si="35"/>
        <v>0</v>
      </c>
      <c r="AR102" s="5">
        <v>46209</v>
      </c>
      <c r="AS102" s="5">
        <v>46216</v>
      </c>
      <c r="AT102" s="5">
        <v>46230</v>
      </c>
      <c r="AU102" s="2" t="str">
        <f t="shared" si="36"/>
        <v>ACTIVE</v>
      </c>
      <c r="AV102" s="2"/>
      <c r="AW102" s="2">
        <f t="shared" si="37"/>
        <v>0</v>
      </c>
      <c r="AX102" s="6"/>
      <c r="AY102" s="6"/>
    </row>
    <row r="103" spans="1:51" hidden="1" x14ac:dyDescent="0.25">
      <c r="A103" s="7" t="str">
        <f t="shared" si="22"/>
        <v>ACTIVE</v>
      </c>
      <c r="B103" s="2" t="s">
        <v>156</v>
      </c>
      <c r="C103" s="2" t="s">
        <v>157</v>
      </c>
      <c r="D103" s="2" t="s">
        <v>158</v>
      </c>
      <c r="E103" s="2" t="s">
        <v>115</v>
      </c>
      <c r="F103" s="2"/>
      <c r="G103" s="2" t="s">
        <v>160</v>
      </c>
      <c r="H103" s="2" t="s">
        <v>288</v>
      </c>
      <c r="I103" s="2" t="s">
        <v>402</v>
      </c>
      <c r="J103" s="2" t="s">
        <v>80</v>
      </c>
      <c r="K103" s="2" t="s">
        <v>403</v>
      </c>
      <c r="L103" s="2">
        <v>8273313036</v>
      </c>
      <c r="M103" s="2">
        <v>25000</v>
      </c>
      <c r="N103" s="2">
        <v>1860</v>
      </c>
      <c r="O103" s="2">
        <f t="shared" si="38"/>
        <v>23140</v>
      </c>
      <c r="P103" s="2">
        <v>830</v>
      </c>
      <c r="Q103" s="11">
        <f t="shared" si="39"/>
        <v>0</v>
      </c>
      <c r="R103" s="11">
        <v>0</v>
      </c>
      <c r="S103" s="2">
        <v>44</v>
      </c>
      <c r="T103" s="7">
        <v>3</v>
      </c>
      <c r="U103" s="2">
        <f t="shared" si="24"/>
        <v>41</v>
      </c>
      <c r="V103" s="2"/>
      <c r="W103" s="8">
        <v>830</v>
      </c>
      <c r="X103" s="9"/>
      <c r="Y103" s="2">
        <f t="shared" si="40"/>
        <v>3320</v>
      </c>
      <c r="Z103" s="2">
        <f t="shared" si="41"/>
        <v>33200</v>
      </c>
      <c r="AA103" s="2" t="s">
        <v>65</v>
      </c>
      <c r="AB103" s="2" t="s">
        <v>402</v>
      </c>
      <c r="AC103" s="2">
        <f t="shared" si="27"/>
        <v>0</v>
      </c>
      <c r="AD103" s="2">
        <v>5</v>
      </c>
      <c r="AE103" s="2">
        <f t="shared" si="28"/>
        <v>0</v>
      </c>
      <c r="AF103" s="2">
        <f t="shared" si="29"/>
        <v>0</v>
      </c>
      <c r="AG103" s="2">
        <v>5</v>
      </c>
      <c r="AH103" s="2" t="str">
        <f t="shared" si="30"/>
        <v>NO</v>
      </c>
      <c r="AI103" s="2">
        <f t="shared" si="31"/>
        <v>33200</v>
      </c>
      <c r="AJ103" s="2" t="s">
        <v>50</v>
      </c>
      <c r="AK103" s="2"/>
      <c r="AL103" s="2"/>
      <c r="AM103" s="2">
        <f t="shared" si="42"/>
        <v>36520</v>
      </c>
      <c r="AN103" s="2">
        <f t="shared" si="43"/>
        <v>11520</v>
      </c>
      <c r="AO103" s="2">
        <v>0</v>
      </c>
      <c r="AP103" s="4">
        <f t="shared" si="34"/>
        <v>261.81818181818181</v>
      </c>
      <c r="AQ103" s="4">
        <f t="shared" si="35"/>
        <v>0</v>
      </c>
      <c r="AR103" s="5">
        <v>46211</v>
      </c>
      <c r="AS103" s="5">
        <v>46220</v>
      </c>
      <c r="AT103" s="5">
        <v>46230</v>
      </c>
      <c r="AU103" s="2" t="str">
        <f t="shared" si="36"/>
        <v>ACTIVE</v>
      </c>
      <c r="AV103" s="2"/>
      <c r="AW103" s="2">
        <f t="shared" si="37"/>
        <v>0</v>
      </c>
      <c r="AX103" s="6"/>
      <c r="AY103" s="6"/>
    </row>
    <row r="104" spans="1:51" hidden="1" x14ac:dyDescent="0.25">
      <c r="A104" s="7" t="str">
        <f t="shared" si="22"/>
        <v>ACTIVE</v>
      </c>
      <c r="B104" s="2" t="s">
        <v>156</v>
      </c>
      <c r="C104" s="2" t="s">
        <v>157</v>
      </c>
      <c r="D104" s="2" t="s">
        <v>158</v>
      </c>
      <c r="E104" s="2" t="s">
        <v>115</v>
      </c>
      <c r="F104" s="2"/>
      <c r="G104" s="2" t="s">
        <v>160</v>
      </c>
      <c r="H104" s="2" t="s">
        <v>404</v>
      </c>
      <c r="I104" s="2" t="s">
        <v>405</v>
      </c>
      <c r="J104" s="2" t="s">
        <v>406</v>
      </c>
      <c r="K104" s="2" t="s">
        <v>118</v>
      </c>
      <c r="L104" s="2">
        <v>8923609267</v>
      </c>
      <c r="M104" s="2">
        <v>30000</v>
      </c>
      <c r="N104" s="2">
        <v>2200</v>
      </c>
      <c r="O104" s="2">
        <f t="shared" si="38"/>
        <v>27800</v>
      </c>
      <c r="P104" s="2">
        <v>1000</v>
      </c>
      <c r="Q104" s="11">
        <f t="shared" si="39"/>
        <v>0</v>
      </c>
      <c r="R104" s="11">
        <v>0</v>
      </c>
      <c r="S104" s="2">
        <v>41</v>
      </c>
      <c r="T104" s="7">
        <v>3</v>
      </c>
      <c r="U104" s="2">
        <f t="shared" si="24"/>
        <v>38</v>
      </c>
      <c r="V104" s="2"/>
      <c r="W104" s="8"/>
      <c r="X104" s="3"/>
      <c r="Y104" s="2">
        <f t="shared" si="40"/>
        <v>3000</v>
      </c>
      <c r="Z104" s="2">
        <f t="shared" si="41"/>
        <v>38000</v>
      </c>
      <c r="AA104" s="2" t="s">
        <v>65</v>
      </c>
      <c r="AB104" s="2" t="s">
        <v>405</v>
      </c>
      <c r="AC104" s="2">
        <f t="shared" si="27"/>
        <v>0</v>
      </c>
      <c r="AD104" s="2">
        <v>5</v>
      </c>
      <c r="AE104" s="2">
        <f t="shared" si="28"/>
        <v>0</v>
      </c>
      <c r="AF104" s="2">
        <f t="shared" si="29"/>
        <v>0</v>
      </c>
      <c r="AG104" s="2">
        <v>5</v>
      </c>
      <c r="AH104" s="2" t="str">
        <f t="shared" si="30"/>
        <v>NO</v>
      </c>
      <c r="AI104" s="2">
        <f t="shared" si="31"/>
        <v>38000</v>
      </c>
      <c r="AJ104" s="2" t="s">
        <v>50</v>
      </c>
      <c r="AK104" s="2"/>
      <c r="AL104" s="2"/>
      <c r="AM104" s="2">
        <f t="shared" si="42"/>
        <v>41000</v>
      </c>
      <c r="AN104" s="2">
        <f t="shared" si="43"/>
        <v>11000</v>
      </c>
      <c r="AO104" s="2">
        <v>0</v>
      </c>
      <c r="AP104" s="4">
        <f t="shared" si="34"/>
        <v>268.29268292682929</v>
      </c>
      <c r="AQ104" s="4">
        <f t="shared" si="35"/>
        <v>0</v>
      </c>
      <c r="AR104" s="5">
        <v>46191</v>
      </c>
      <c r="AS104" s="5">
        <v>46220</v>
      </c>
      <c r="AT104" s="5">
        <v>46230</v>
      </c>
      <c r="AU104" s="2" t="str">
        <f t="shared" si="36"/>
        <v>ACTIVE</v>
      </c>
      <c r="AV104" s="2"/>
      <c r="AW104" s="2">
        <f t="shared" si="37"/>
        <v>0</v>
      </c>
      <c r="AX104" s="6"/>
      <c r="AY104" s="6"/>
    </row>
    <row r="105" spans="1:51" hidden="1" x14ac:dyDescent="0.25">
      <c r="A105" s="7" t="str">
        <f t="shared" si="22"/>
        <v>ACTIVE</v>
      </c>
      <c r="B105" s="2" t="s">
        <v>156</v>
      </c>
      <c r="C105" s="2" t="s">
        <v>157</v>
      </c>
      <c r="D105" s="2" t="s">
        <v>158</v>
      </c>
      <c r="E105" s="2" t="s">
        <v>115</v>
      </c>
      <c r="F105" s="2"/>
      <c r="G105" s="2" t="s">
        <v>160</v>
      </c>
      <c r="H105" s="2" t="s">
        <v>407</v>
      </c>
      <c r="I105" s="2" t="s">
        <v>408</v>
      </c>
      <c r="J105" s="2" t="s">
        <v>409</v>
      </c>
      <c r="K105" s="2" t="s">
        <v>410</v>
      </c>
      <c r="L105" s="2">
        <v>9068307727</v>
      </c>
      <c r="M105" s="2">
        <v>20000</v>
      </c>
      <c r="N105" s="2">
        <v>1580</v>
      </c>
      <c r="O105" s="2">
        <f t="shared" si="38"/>
        <v>18420</v>
      </c>
      <c r="P105" s="2">
        <v>810</v>
      </c>
      <c r="Q105" s="11">
        <f t="shared" si="39"/>
        <v>0</v>
      </c>
      <c r="R105" s="11">
        <v>0</v>
      </c>
      <c r="S105" s="2">
        <v>36</v>
      </c>
      <c r="T105" s="7">
        <v>3</v>
      </c>
      <c r="U105" s="2">
        <f t="shared" si="24"/>
        <v>33</v>
      </c>
      <c r="V105" s="2"/>
      <c r="W105" s="8">
        <v>810</v>
      </c>
      <c r="X105" s="9"/>
      <c r="Y105" s="2">
        <f t="shared" si="40"/>
        <v>3240</v>
      </c>
      <c r="Z105" s="2">
        <f t="shared" si="41"/>
        <v>25920</v>
      </c>
      <c r="AA105" s="2" t="s">
        <v>65</v>
      </c>
      <c r="AB105" s="2" t="s">
        <v>408</v>
      </c>
      <c r="AC105" s="2">
        <f t="shared" si="27"/>
        <v>0</v>
      </c>
      <c r="AD105" s="2">
        <v>5</v>
      </c>
      <c r="AE105" s="2">
        <f t="shared" si="28"/>
        <v>0</v>
      </c>
      <c r="AF105" s="2">
        <f t="shared" si="29"/>
        <v>0</v>
      </c>
      <c r="AG105" s="2">
        <v>5</v>
      </c>
      <c r="AH105" s="2" t="str">
        <f t="shared" si="30"/>
        <v>NO</v>
      </c>
      <c r="AI105" s="2">
        <f t="shared" si="31"/>
        <v>25920</v>
      </c>
      <c r="AJ105" s="2" t="s">
        <v>50</v>
      </c>
      <c r="AK105" s="2"/>
      <c r="AL105" s="2"/>
      <c r="AM105" s="2">
        <f t="shared" si="42"/>
        <v>29160</v>
      </c>
      <c r="AN105" s="2">
        <f t="shared" si="43"/>
        <v>9160</v>
      </c>
      <c r="AO105" s="2">
        <v>0</v>
      </c>
      <c r="AP105" s="4">
        <f t="shared" si="34"/>
        <v>254.44444444444446</v>
      </c>
      <c r="AQ105" s="4">
        <f t="shared" si="35"/>
        <v>0</v>
      </c>
      <c r="AR105" s="5">
        <v>46216</v>
      </c>
      <c r="AS105" s="5">
        <v>46220</v>
      </c>
      <c r="AT105" s="5">
        <v>46230</v>
      </c>
      <c r="AU105" s="2" t="str">
        <f t="shared" si="36"/>
        <v>ACTIVE</v>
      </c>
      <c r="AV105" s="2"/>
      <c r="AW105" s="2">
        <f t="shared" si="37"/>
        <v>0</v>
      </c>
      <c r="AX105" s="6"/>
      <c r="AY105" s="6"/>
    </row>
    <row r="106" spans="1:51" hidden="1" x14ac:dyDescent="0.25">
      <c r="A106" s="7" t="str">
        <f t="shared" si="22"/>
        <v>ACTIVE</v>
      </c>
      <c r="B106" s="2" t="s">
        <v>156</v>
      </c>
      <c r="C106" s="2" t="s">
        <v>157</v>
      </c>
      <c r="D106" s="2" t="s">
        <v>158</v>
      </c>
      <c r="E106" s="2" t="s">
        <v>115</v>
      </c>
      <c r="F106" s="2"/>
      <c r="G106" s="2" t="s">
        <v>160</v>
      </c>
      <c r="H106" s="2" t="s">
        <v>180</v>
      </c>
      <c r="I106" s="2" t="s">
        <v>411</v>
      </c>
      <c r="J106" s="2" t="s">
        <v>412</v>
      </c>
      <c r="K106" s="2" t="s">
        <v>257</v>
      </c>
      <c r="L106" s="2">
        <v>7579360739</v>
      </c>
      <c r="M106" s="2">
        <v>20000</v>
      </c>
      <c r="N106" s="2">
        <v>1580</v>
      </c>
      <c r="O106" s="2">
        <f t="shared" si="38"/>
        <v>18420</v>
      </c>
      <c r="P106" s="2">
        <v>810</v>
      </c>
      <c r="Q106" s="11">
        <f t="shared" si="39"/>
        <v>0</v>
      </c>
      <c r="R106" s="11">
        <v>0</v>
      </c>
      <c r="S106" s="2">
        <v>36</v>
      </c>
      <c r="T106" s="7">
        <v>4</v>
      </c>
      <c r="U106" s="2">
        <f t="shared" si="24"/>
        <v>32</v>
      </c>
      <c r="V106" s="2"/>
      <c r="W106" s="8"/>
      <c r="X106" s="9"/>
      <c r="Y106" s="2">
        <f t="shared" si="40"/>
        <v>3240</v>
      </c>
      <c r="Z106" s="2">
        <f t="shared" si="41"/>
        <v>25920</v>
      </c>
      <c r="AA106" s="2" t="s">
        <v>57</v>
      </c>
      <c r="AB106" s="2" t="s">
        <v>411</v>
      </c>
      <c r="AC106" s="2">
        <f t="shared" si="27"/>
        <v>0</v>
      </c>
      <c r="AD106" s="2">
        <v>5</v>
      </c>
      <c r="AE106" s="2">
        <f t="shared" si="28"/>
        <v>0</v>
      </c>
      <c r="AF106" s="2">
        <f t="shared" si="29"/>
        <v>0</v>
      </c>
      <c r="AG106" s="2">
        <v>5</v>
      </c>
      <c r="AH106" s="2" t="str">
        <f t="shared" si="30"/>
        <v>NO</v>
      </c>
      <c r="AI106" s="2">
        <f t="shared" si="31"/>
        <v>25920</v>
      </c>
      <c r="AJ106" s="2" t="s">
        <v>50</v>
      </c>
      <c r="AK106" s="2"/>
      <c r="AL106" s="2"/>
      <c r="AM106" s="2">
        <f t="shared" si="42"/>
        <v>29160</v>
      </c>
      <c r="AN106" s="2">
        <f t="shared" si="43"/>
        <v>9160</v>
      </c>
      <c r="AO106" s="2">
        <v>0</v>
      </c>
      <c r="AP106" s="4">
        <f t="shared" si="34"/>
        <v>254.44444444444446</v>
      </c>
      <c r="AQ106" s="4">
        <f t="shared" si="35"/>
        <v>0</v>
      </c>
      <c r="AR106" s="5">
        <v>46216</v>
      </c>
      <c r="AS106" s="5">
        <v>46220</v>
      </c>
      <c r="AT106" s="5">
        <v>46227</v>
      </c>
      <c r="AU106" s="2" t="str">
        <f t="shared" si="36"/>
        <v>ACTIVE</v>
      </c>
      <c r="AV106" s="2"/>
      <c r="AW106" s="2">
        <f t="shared" si="37"/>
        <v>0</v>
      </c>
      <c r="AX106" s="6"/>
      <c r="AY106" s="6"/>
    </row>
    <row r="107" spans="1:51" hidden="1" x14ac:dyDescent="0.25">
      <c r="A107" s="7" t="str">
        <f t="shared" si="22"/>
        <v>ACTIVE</v>
      </c>
      <c r="B107" s="2" t="s">
        <v>156</v>
      </c>
      <c r="C107" s="2" t="s">
        <v>157</v>
      </c>
      <c r="D107" s="2" t="s">
        <v>158</v>
      </c>
      <c r="E107" s="2" t="s">
        <v>115</v>
      </c>
      <c r="F107" s="2"/>
      <c r="G107" s="2" t="s">
        <v>160</v>
      </c>
      <c r="H107" s="2" t="s">
        <v>180</v>
      </c>
      <c r="I107" s="2" t="s">
        <v>413</v>
      </c>
      <c r="J107" s="2" t="s">
        <v>414</v>
      </c>
      <c r="K107" s="2" t="s">
        <v>415</v>
      </c>
      <c r="L107" s="2">
        <v>9027955247</v>
      </c>
      <c r="M107" s="2">
        <v>20000</v>
      </c>
      <c r="N107" s="2">
        <v>1580</v>
      </c>
      <c r="O107" s="2">
        <f t="shared" si="38"/>
        <v>18420</v>
      </c>
      <c r="P107" s="2">
        <v>810</v>
      </c>
      <c r="Q107" s="11">
        <f t="shared" si="39"/>
        <v>0</v>
      </c>
      <c r="R107" s="11">
        <v>0</v>
      </c>
      <c r="S107" s="2">
        <v>36</v>
      </c>
      <c r="T107" s="7">
        <v>4</v>
      </c>
      <c r="U107" s="2">
        <f t="shared" si="24"/>
        <v>32</v>
      </c>
      <c r="V107" s="2"/>
      <c r="W107" s="8"/>
      <c r="X107" s="3"/>
      <c r="Y107" s="2">
        <f t="shared" si="40"/>
        <v>3240</v>
      </c>
      <c r="Z107" s="2">
        <f t="shared" si="41"/>
        <v>25920</v>
      </c>
      <c r="AA107" s="2" t="s">
        <v>57</v>
      </c>
      <c r="AB107" s="2" t="s">
        <v>413</v>
      </c>
      <c r="AC107" s="2">
        <f t="shared" si="27"/>
        <v>0</v>
      </c>
      <c r="AD107" s="2">
        <v>5</v>
      </c>
      <c r="AE107" s="2">
        <f t="shared" si="28"/>
        <v>0</v>
      </c>
      <c r="AF107" s="2">
        <f t="shared" si="29"/>
        <v>0</v>
      </c>
      <c r="AG107" s="2">
        <v>5</v>
      </c>
      <c r="AH107" s="2" t="str">
        <f t="shared" si="30"/>
        <v>NO</v>
      </c>
      <c r="AI107" s="2">
        <f t="shared" si="31"/>
        <v>25920</v>
      </c>
      <c r="AJ107" s="2" t="s">
        <v>50</v>
      </c>
      <c r="AK107" s="2"/>
      <c r="AL107" s="2"/>
      <c r="AM107" s="2">
        <f t="shared" si="42"/>
        <v>29160</v>
      </c>
      <c r="AN107" s="2">
        <f t="shared" si="43"/>
        <v>9160</v>
      </c>
      <c r="AO107" s="2">
        <v>0</v>
      </c>
      <c r="AP107" s="4">
        <f t="shared" si="34"/>
        <v>254.44444444444446</v>
      </c>
      <c r="AQ107" s="4">
        <f t="shared" si="35"/>
        <v>0</v>
      </c>
      <c r="AR107" s="5">
        <v>46214</v>
      </c>
      <c r="AS107" s="5">
        <v>46220</v>
      </c>
      <c r="AT107" s="5">
        <v>46227</v>
      </c>
      <c r="AU107" s="2" t="str">
        <f t="shared" si="36"/>
        <v>ACTIVE</v>
      </c>
      <c r="AV107" s="2"/>
      <c r="AW107" s="2">
        <f t="shared" si="37"/>
        <v>0</v>
      </c>
      <c r="AX107" s="6"/>
      <c r="AY107" s="6"/>
    </row>
    <row r="108" spans="1:51" hidden="1" x14ac:dyDescent="0.25">
      <c r="A108" s="7" t="str">
        <f t="shared" si="22"/>
        <v>ACTIVE</v>
      </c>
      <c r="B108" s="2" t="s">
        <v>156</v>
      </c>
      <c r="C108" s="2" t="s">
        <v>157</v>
      </c>
      <c r="D108" s="2" t="s">
        <v>158</v>
      </c>
      <c r="E108" s="2" t="s">
        <v>115</v>
      </c>
      <c r="F108" s="2">
        <v>3907</v>
      </c>
      <c r="G108" s="2" t="s">
        <v>160</v>
      </c>
      <c r="H108" s="2" t="s">
        <v>416</v>
      </c>
      <c r="I108" s="2" t="s">
        <v>417</v>
      </c>
      <c r="J108" s="2" t="s">
        <v>418</v>
      </c>
      <c r="K108" s="2" t="s">
        <v>419</v>
      </c>
      <c r="L108" s="2">
        <v>7417158423</v>
      </c>
      <c r="M108" s="2">
        <v>10000</v>
      </c>
      <c r="N108" s="2">
        <v>820</v>
      </c>
      <c r="O108" s="2">
        <f t="shared" si="38"/>
        <v>9180</v>
      </c>
      <c r="P108" s="2">
        <v>520</v>
      </c>
      <c r="Q108" s="11">
        <f t="shared" si="39"/>
        <v>0</v>
      </c>
      <c r="R108" s="11">
        <v>0</v>
      </c>
      <c r="S108" s="2">
        <v>28</v>
      </c>
      <c r="T108" s="7">
        <v>3</v>
      </c>
      <c r="U108" s="2">
        <f t="shared" si="24"/>
        <v>25</v>
      </c>
      <c r="V108" s="2"/>
      <c r="W108" s="8">
        <v>520</v>
      </c>
      <c r="X108" s="9"/>
      <c r="Y108" s="2">
        <f t="shared" si="40"/>
        <v>2080</v>
      </c>
      <c r="Z108" s="2">
        <f t="shared" si="41"/>
        <v>12480</v>
      </c>
      <c r="AA108" s="2" t="s">
        <v>65</v>
      </c>
      <c r="AB108" s="2" t="s">
        <v>417</v>
      </c>
      <c r="AC108" s="2">
        <f t="shared" si="27"/>
        <v>0</v>
      </c>
      <c r="AD108" s="2">
        <v>5</v>
      </c>
      <c r="AE108" s="2">
        <f t="shared" si="28"/>
        <v>0</v>
      </c>
      <c r="AF108" s="2">
        <f t="shared" si="29"/>
        <v>0</v>
      </c>
      <c r="AG108" s="2">
        <v>5</v>
      </c>
      <c r="AH108" s="2" t="str">
        <f t="shared" si="30"/>
        <v>NO</v>
      </c>
      <c r="AI108" s="2">
        <f t="shared" si="31"/>
        <v>12480</v>
      </c>
      <c r="AJ108" s="2" t="s">
        <v>50</v>
      </c>
      <c r="AK108" s="2"/>
      <c r="AL108" s="2"/>
      <c r="AM108" s="2">
        <f t="shared" si="42"/>
        <v>14560</v>
      </c>
      <c r="AN108" s="2">
        <f t="shared" si="43"/>
        <v>4560</v>
      </c>
      <c r="AO108" s="2">
        <v>0</v>
      </c>
      <c r="AP108" s="4">
        <f t="shared" si="34"/>
        <v>162.85714285714286</v>
      </c>
      <c r="AQ108" s="4">
        <f t="shared" si="35"/>
        <v>0</v>
      </c>
      <c r="AR108" s="5">
        <v>46217</v>
      </c>
      <c r="AS108" s="5">
        <v>46223</v>
      </c>
      <c r="AT108" s="5">
        <v>46230</v>
      </c>
      <c r="AU108" s="2" t="str">
        <f t="shared" si="36"/>
        <v>ACTIVE</v>
      </c>
      <c r="AV108" s="2"/>
      <c r="AW108" s="2">
        <f t="shared" si="37"/>
        <v>0</v>
      </c>
      <c r="AX108" s="6"/>
      <c r="AY108" s="6"/>
    </row>
    <row r="109" spans="1:51" hidden="1" x14ac:dyDescent="0.25">
      <c r="A109" s="7" t="str">
        <f t="shared" si="22"/>
        <v>ACTIVE</v>
      </c>
      <c r="B109" s="2" t="s">
        <v>156</v>
      </c>
      <c r="C109" s="2" t="s">
        <v>157</v>
      </c>
      <c r="D109" s="2" t="s">
        <v>158</v>
      </c>
      <c r="E109" s="2" t="s">
        <v>115</v>
      </c>
      <c r="F109" s="2">
        <v>873</v>
      </c>
      <c r="G109" s="2" t="s">
        <v>160</v>
      </c>
      <c r="H109" s="2" t="s">
        <v>203</v>
      </c>
      <c r="I109" s="2" t="s">
        <v>420</v>
      </c>
      <c r="J109" s="2" t="s">
        <v>421</v>
      </c>
      <c r="K109" s="2" t="s">
        <v>422</v>
      </c>
      <c r="L109" s="2">
        <v>9027750329</v>
      </c>
      <c r="M109" s="2">
        <v>10000</v>
      </c>
      <c r="N109" s="2">
        <v>820</v>
      </c>
      <c r="O109" s="2">
        <f t="shared" si="38"/>
        <v>9180</v>
      </c>
      <c r="P109" s="2">
        <v>520</v>
      </c>
      <c r="Q109" s="11">
        <f t="shared" si="39"/>
        <v>0</v>
      </c>
      <c r="R109" s="11">
        <v>0</v>
      </c>
      <c r="S109" s="2">
        <v>28</v>
      </c>
      <c r="T109" s="7">
        <v>3</v>
      </c>
      <c r="U109" s="2">
        <f t="shared" si="24"/>
        <v>25</v>
      </c>
      <c r="V109" s="2"/>
      <c r="W109" s="8">
        <v>520</v>
      </c>
      <c r="X109" s="9"/>
      <c r="Y109" s="2">
        <f t="shared" si="40"/>
        <v>2080</v>
      </c>
      <c r="Z109" s="2">
        <f t="shared" si="41"/>
        <v>12480</v>
      </c>
      <c r="AA109" s="2" t="s">
        <v>57</v>
      </c>
      <c r="AB109" s="2" t="s">
        <v>420</v>
      </c>
      <c r="AC109" s="2">
        <f t="shared" si="27"/>
        <v>0</v>
      </c>
      <c r="AD109" s="2">
        <v>5</v>
      </c>
      <c r="AE109" s="2">
        <f t="shared" si="28"/>
        <v>0</v>
      </c>
      <c r="AF109" s="2">
        <f t="shared" si="29"/>
        <v>0</v>
      </c>
      <c r="AG109" s="2">
        <v>5</v>
      </c>
      <c r="AH109" s="2" t="str">
        <f t="shared" si="30"/>
        <v>NO</v>
      </c>
      <c r="AI109" s="2">
        <f t="shared" si="31"/>
        <v>12480</v>
      </c>
      <c r="AJ109" s="2" t="s">
        <v>50</v>
      </c>
      <c r="AK109" s="2"/>
      <c r="AL109" s="2"/>
      <c r="AM109" s="2">
        <f t="shared" si="42"/>
        <v>14560</v>
      </c>
      <c r="AN109" s="2">
        <f t="shared" si="43"/>
        <v>4560</v>
      </c>
      <c r="AO109" s="2">
        <v>0</v>
      </c>
      <c r="AP109" s="4">
        <f t="shared" si="34"/>
        <v>162.85714285714286</v>
      </c>
      <c r="AQ109" s="4">
        <f t="shared" si="35"/>
        <v>0</v>
      </c>
      <c r="AR109" s="5">
        <v>46221</v>
      </c>
      <c r="AS109" s="5">
        <v>46223</v>
      </c>
      <c r="AT109" s="5">
        <v>46234</v>
      </c>
      <c r="AU109" s="2" t="str">
        <f t="shared" si="36"/>
        <v>ACTIVE</v>
      </c>
      <c r="AV109" s="2"/>
      <c r="AW109" s="2">
        <f t="shared" si="37"/>
        <v>0</v>
      </c>
      <c r="AX109" s="6"/>
      <c r="AY109" s="6"/>
    </row>
    <row r="110" spans="1:51" hidden="1" x14ac:dyDescent="0.25">
      <c r="A110" s="7" t="str">
        <f t="shared" si="22"/>
        <v>ACTIVE</v>
      </c>
      <c r="B110" s="2" t="s">
        <v>156</v>
      </c>
      <c r="C110" s="2" t="s">
        <v>157</v>
      </c>
      <c r="D110" s="2" t="s">
        <v>158</v>
      </c>
      <c r="E110" s="2" t="s">
        <v>115</v>
      </c>
      <c r="F110" s="2">
        <v>5818</v>
      </c>
      <c r="G110" s="2" t="s">
        <v>160</v>
      </c>
      <c r="H110" s="2" t="s">
        <v>203</v>
      </c>
      <c r="I110" s="2" t="s">
        <v>423</v>
      </c>
      <c r="J110" s="2" t="s">
        <v>86</v>
      </c>
      <c r="K110" s="2" t="s">
        <v>424</v>
      </c>
      <c r="L110" s="2">
        <v>8171640207</v>
      </c>
      <c r="M110" s="2">
        <v>10000</v>
      </c>
      <c r="N110" s="2">
        <v>820</v>
      </c>
      <c r="O110" s="2">
        <f t="shared" si="38"/>
        <v>9180</v>
      </c>
      <c r="P110" s="2">
        <v>520</v>
      </c>
      <c r="Q110" s="11">
        <f t="shared" si="39"/>
        <v>0</v>
      </c>
      <c r="R110" s="11">
        <v>0</v>
      </c>
      <c r="S110" s="2">
        <v>28</v>
      </c>
      <c r="T110" s="7">
        <v>3</v>
      </c>
      <c r="U110" s="2">
        <f t="shared" si="24"/>
        <v>25</v>
      </c>
      <c r="V110" s="2"/>
      <c r="W110" s="8">
        <v>520</v>
      </c>
      <c r="X110" s="9"/>
      <c r="Y110" s="2">
        <f t="shared" si="40"/>
        <v>2080</v>
      </c>
      <c r="Z110" s="2">
        <f t="shared" si="41"/>
        <v>12480</v>
      </c>
      <c r="AA110" s="2" t="s">
        <v>57</v>
      </c>
      <c r="AB110" s="2" t="s">
        <v>423</v>
      </c>
      <c r="AC110" s="2">
        <f t="shared" si="27"/>
        <v>0</v>
      </c>
      <c r="AD110" s="2">
        <v>5</v>
      </c>
      <c r="AE110" s="2">
        <f t="shared" si="28"/>
        <v>0</v>
      </c>
      <c r="AF110" s="2">
        <f t="shared" si="29"/>
        <v>0</v>
      </c>
      <c r="AG110" s="2">
        <v>5</v>
      </c>
      <c r="AH110" s="2" t="str">
        <f t="shared" si="30"/>
        <v>NO</v>
      </c>
      <c r="AI110" s="2">
        <f t="shared" si="31"/>
        <v>12480</v>
      </c>
      <c r="AJ110" s="2" t="s">
        <v>50</v>
      </c>
      <c r="AK110" s="2"/>
      <c r="AL110" s="2"/>
      <c r="AM110" s="2">
        <f t="shared" si="42"/>
        <v>14560</v>
      </c>
      <c r="AN110" s="2">
        <f t="shared" si="43"/>
        <v>4560</v>
      </c>
      <c r="AO110" s="2">
        <v>0</v>
      </c>
      <c r="AP110" s="4">
        <f t="shared" si="34"/>
        <v>162.85714285714286</v>
      </c>
      <c r="AQ110" s="4">
        <f t="shared" si="35"/>
        <v>0</v>
      </c>
      <c r="AR110" s="5">
        <v>46221</v>
      </c>
      <c r="AS110" s="5">
        <v>46223</v>
      </c>
      <c r="AT110" s="5">
        <v>46234</v>
      </c>
      <c r="AU110" s="2" t="str">
        <f t="shared" si="36"/>
        <v>ACTIVE</v>
      </c>
      <c r="AV110" s="2"/>
      <c r="AW110" s="2">
        <f t="shared" si="37"/>
        <v>0</v>
      </c>
      <c r="AX110" s="6"/>
      <c r="AY110" s="6"/>
    </row>
    <row r="111" spans="1:51" x14ac:dyDescent="0.25">
      <c r="A111" s="7" t="str">
        <f t="shared" si="22"/>
        <v>ACTIVE</v>
      </c>
      <c r="B111" s="2" t="s">
        <v>156</v>
      </c>
      <c r="C111" s="2" t="s">
        <v>157</v>
      </c>
      <c r="D111" s="2" t="s">
        <v>158</v>
      </c>
      <c r="E111" s="2" t="s">
        <v>115</v>
      </c>
      <c r="F111" s="2">
        <v>2926</v>
      </c>
      <c r="G111" s="2" t="s">
        <v>160</v>
      </c>
      <c r="H111" s="2" t="s">
        <v>255</v>
      </c>
      <c r="I111" s="2" t="s">
        <v>425</v>
      </c>
      <c r="J111" s="2" t="s">
        <v>59</v>
      </c>
      <c r="K111" s="2" t="s">
        <v>426</v>
      </c>
      <c r="L111" s="10">
        <v>8895953996</v>
      </c>
      <c r="M111" s="2">
        <v>20000</v>
      </c>
      <c r="N111" s="2">
        <v>1580</v>
      </c>
      <c r="O111" s="2">
        <f t="shared" si="38"/>
        <v>18420</v>
      </c>
      <c r="P111" s="2">
        <v>810</v>
      </c>
      <c r="Q111" s="11">
        <f t="shared" si="39"/>
        <v>0</v>
      </c>
      <c r="R111" s="11">
        <v>0</v>
      </c>
      <c r="S111" s="2">
        <v>36</v>
      </c>
      <c r="T111" s="7">
        <v>3</v>
      </c>
      <c r="U111" s="2">
        <f t="shared" si="24"/>
        <v>33</v>
      </c>
      <c r="V111" s="2"/>
      <c r="W111" s="8"/>
      <c r="X111" s="9"/>
      <c r="Y111" s="2">
        <f t="shared" si="40"/>
        <v>2430</v>
      </c>
      <c r="Z111" s="2">
        <f t="shared" si="41"/>
        <v>26730</v>
      </c>
      <c r="AA111" s="2" t="s">
        <v>53</v>
      </c>
      <c r="AB111" s="2" t="s">
        <v>425</v>
      </c>
      <c r="AC111" s="2">
        <f t="shared" si="27"/>
        <v>0</v>
      </c>
      <c r="AD111" s="2">
        <v>5</v>
      </c>
      <c r="AE111" s="2">
        <f t="shared" si="28"/>
        <v>0</v>
      </c>
      <c r="AF111" s="2">
        <f t="shared" si="29"/>
        <v>0</v>
      </c>
      <c r="AG111" s="2">
        <v>5</v>
      </c>
      <c r="AH111" s="2" t="str">
        <f t="shared" si="30"/>
        <v>NO</v>
      </c>
      <c r="AI111" s="2">
        <f t="shared" si="31"/>
        <v>26730</v>
      </c>
      <c r="AJ111" s="2" t="s">
        <v>50</v>
      </c>
      <c r="AK111" s="2"/>
      <c r="AL111" s="2"/>
      <c r="AM111" s="2">
        <f t="shared" si="42"/>
        <v>29160</v>
      </c>
      <c r="AN111" s="2">
        <f t="shared" si="43"/>
        <v>9160</v>
      </c>
      <c r="AO111" s="2">
        <v>0</v>
      </c>
      <c r="AP111" s="4">
        <f t="shared" si="34"/>
        <v>254.44444444444446</v>
      </c>
      <c r="AQ111" s="4">
        <f t="shared" si="35"/>
        <v>0</v>
      </c>
      <c r="AR111" s="5">
        <v>46224</v>
      </c>
      <c r="AS111" s="5">
        <v>46226</v>
      </c>
      <c r="AT111" s="5">
        <v>46231</v>
      </c>
      <c r="AU111" s="2" t="str">
        <f t="shared" si="36"/>
        <v>ACTIVE</v>
      </c>
      <c r="AV111" s="2"/>
      <c r="AW111" s="2">
        <f t="shared" si="37"/>
        <v>0</v>
      </c>
      <c r="AX111" s="6"/>
      <c r="AY111" s="6"/>
    </row>
    <row r="112" spans="1:51" x14ac:dyDescent="0.25">
      <c r="A112" s="7" t="str">
        <f t="shared" si="22"/>
        <v>ACTIVE</v>
      </c>
      <c r="B112" s="2" t="s">
        <v>156</v>
      </c>
      <c r="C112" s="2" t="s">
        <v>157</v>
      </c>
      <c r="D112" s="2" t="s">
        <v>158</v>
      </c>
      <c r="E112" s="2" t="s">
        <v>115</v>
      </c>
      <c r="F112" s="2">
        <v>2473</v>
      </c>
      <c r="G112" s="2" t="s">
        <v>160</v>
      </c>
      <c r="H112" s="2" t="s">
        <v>255</v>
      </c>
      <c r="I112" s="2" t="s">
        <v>427</v>
      </c>
      <c r="J112" s="2" t="s">
        <v>83</v>
      </c>
      <c r="K112" s="2" t="s">
        <v>281</v>
      </c>
      <c r="L112" s="10">
        <v>8077494762</v>
      </c>
      <c r="M112" s="2">
        <v>20000</v>
      </c>
      <c r="N112" s="2">
        <v>1580</v>
      </c>
      <c r="O112" s="2">
        <f t="shared" si="38"/>
        <v>18420</v>
      </c>
      <c r="P112" s="2">
        <v>810</v>
      </c>
      <c r="Q112" s="11">
        <f t="shared" si="39"/>
        <v>0</v>
      </c>
      <c r="R112" s="11">
        <v>0</v>
      </c>
      <c r="S112" s="2">
        <v>36</v>
      </c>
      <c r="T112" s="7">
        <v>3</v>
      </c>
      <c r="U112" s="2">
        <f t="shared" si="24"/>
        <v>33</v>
      </c>
      <c r="V112" s="2"/>
      <c r="W112" s="8">
        <v>810</v>
      </c>
      <c r="X112" s="9"/>
      <c r="Y112" s="2">
        <f t="shared" si="40"/>
        <v>3240</v>
      </c>
      <c r="Z112" s="2">
        <f t="shared" si="41"/>
        <v>25920</v>
      </c>
      <c r="AA112" s="2" t="s">
        <v>53</v>
      </c>
      <c r="AB112" s="2" t="s">
        <v>427</v>
      </c>
      <c r="AC112" s="2">
        <f t="shared" si="27"/>
        <v>0</v>
      </c>
      <c r="AD112" s="2">
        <v>5</v>
      </c>
      <c r="AE112" s="2">
        <f t="shared" si="28"/>
        <v>0</v>
      </c>
      <c r="AF112" s="2">
        <f t="shared" si="29"/>
        <v>0</v>
      </c>
      <c r="AG112" s="2">
        <v>5</v>
      </c>
      <c r="AH112" s="2" t="str">
        <f t="shared" si="30"/>
        <v>NO</v>
      </c>
      <c r="AI112" s="2">
        <f t="shared" si="31"/>
        <v>25920</v>
      </c>
      <c r="AJ112" s="2" t="s">
        <v>50</v>
      </c>
      <c r="AK112" s="2"/>
      <c r="AL112" s="2"/>
      <c r="AM112" s="2">
        <f t="shared" si="42"/>
        <v>29160</v>
      </c>
      <c r="AN112" s="2">
        <f t="shared" si="43"/>
        <v>9160</v>
      </c>
      <c r="AO112" s="2">
        <v>0</v>
      </c>
      <c r="AP112" s="4">
        <f t="shared" si="34"/>
        <v>254.44444444444446</v>
      </c>
      <c r="AQ112" s="4">
        <f t="shared" si="35"/>
        <v>0</v>
      </c>
      <c r="AR112" s="5">
        <v>46224</v>
      </c>
      <c r="AS112" s="5">
        <v>46226</v>
      </c>
      <c r="AT112" s="5">
        <v>46231</v>
      </c>
      <c r="AU112" s="2" t="str">
        <f t="shared" si="36"/>
        <v>ACTIVE</v>
      </c>
      <c r="AV112" s="2"/>
      <c r="AW112" s="2">
        <f t="shared" si="37"/>
        <v>0</v>
      </c>
      <c r="AX112" s="6"/>
      <c r="AY112" s="6"/>
    </row>
    <row r="113" spans="1:51" hidden="1" x14ac:dyDescent="0.25">
      <c r="A113" s="7" t="str">
        <f t="shared" si="22"/>
        <v>ACTIVE</v>
      </c>
      <c r="B113" s="2" t="s">
        <v>156</v>
      </c>
      <c r="C113" s="2" t="s">
        <v>157</v>
      </c>
      <c r="D113" s="2" t="s">
        <v>158</v>
      </c>
      <c r="E113" s="2" t="s">
        <v>115</v>
      </c>
      <c r="F113" s="2">
        <v>268</v>
      </c>
      <c r="G113" s="2" t="s">
        <v>160</v>
      </c>
      <c r="H113" s="2" t="s">
        <v>203</v>
      </c>
      <c r="I113" s="2" t="s">
        <v>428</v>
      </c>
      <c r="J113" s="2" t="s">
        <v>429</v>
      </c>
      <c r="K113" s="2" t="s">
        <v>430</v>
      </c>
      <c r="L113" s="10">
        <v>9720187637</v>
      </c>
      <c r="M113" s="2">
        <v>20000</v>
      </c>
      <c r="N113" s="2">
        <v>1580</v>
      </c>
      <c r="O113" s="2">
        <f t="shared" si="38"/>
        <v>18420</v>
      </c>
      <c r="P113" s="2">
        <v>810</v>
      </c>
      <c r="Q113" s="11">
        <f t="shared" si="39"/>
        <v>0</v>
      </c>
      <c r="R113" s="11">
        <v>0</v>
      </c>
      <c r="S113" s="2">
        <v>36</v>
      </c>
      <c r="T113" s="7">
        <v>3</v>
      </c>
      <c r="U113" s="2">
        <f t="shared" si="24"/>
        <v>33</v>
      </c>
      <c r="V113" s="2"/>
      <c r="W113" s="8">
        <v>810</v>
      </c>
      <c r="X113" s="9"/>
      <c r="Y113" s="2">
        <f t="shared" si="40"/>
        <v>3240</v>
      </c>
      <c r="Z113" s="2">
        <f t="shared" si="41"/>
        <v>25920</v>
      </c>
      <c r="AA113" s="2" t="s">
        <v>57</v>
      </c>
      <c r="AB113" s="2" t="s">
        <v>428</v>
      </c>
      <c r="AC113" s="2">
        <f t="shared" si="27"/>
        <v>0</v>
      </c>
      <c r="AD113" s="2">
        <v>5</v>
      </c>
      <c r="AE113" s="2">
        <f t="shared" si="28"/>
        <v>0</v>
      </c>
      <c r="AF113" s="2">
        <f t="shared" si="29"/>
        <v>0</v>
      </c>
      <c r="AG113" s="2">
        <v>5</v>
      </c>
      <c r="AH113" s="2" t="str">
        <f t="shared" si="30"/>
        <v>NO</v>
      </c>
      <c r="AI113" s="2">
        <f t="shared" si="31"/>
        <v>25920</v>
      </c>
      <c r="AJ113" s="2" t="s">
        <v>50</v>
      </c>
      <c r="AK113" s="2"/>
      <c r="AL113" s="2"/>
      <c r="AM113" s="2">
        <f t="shared" si="42"/>
        <v>29160</v>
      </c>
      <c r="AN113" s="2">
        <f t="shared" si="43"/>
        <v>9160</v>
      </c>
      <c r="AO113" s="2">
        <v>0</v>
      </c>
      <c r="AP113" s="4">
        <f t="shared" si="34"/>
        <v>254.44444444444446</v>
      </c>
      <c r="AQ113" s="4">
        <f t="shared" si="35"/>
        <v>0</v>
      </c>
      <c r="AR113" s="5">
        <v>46223</v>
      </c>
      <c r="AS113" s="5">
        <v>46226</v>
      </c>
      <c r="AT113" s="5">
        <v>46234</v>
      </c>
      <c r="AU113" s="2" t="str">
        <f t="shared" si="36"/>
        <v>ACTIVE</v>
      </c>
      <c r="AV113" s="2"/>
      <c r="AW113" s="2">
        <f t="shared" ref="AW113:AW127" si="44">Q113+V113</f>
        <v>0</v>
      </c>
      <c r="AX113" s="6"/>
      <c r="AY113" s="6"/>
    </row>
    <row r="114" spans="1:51" x14ac:dyDescent="0.25">
      <c r="A114" s="7" t="str">
        <f t="shared" ref="A114:A121" si="45">IF(Z114=0,"CLOSE","ACTIVE")</f>
        <v>ACTIVE</v>
      </c>
      <c r="B114" s="2" t="s">
        <v>156</v>
      </c>
      <c r="C114" s="2" t="s">
        <v>157</v>
      </c>
      <c r="D114" s="2" t="s">
        <v>158</v>
      </c>
      <c r="E114" s="2" t="s">
        <v>115</v>
      </c>
      <c r="F114" s="2">
        <v>4249</v>
      </c>
      <c r="G114" s="2" t="s">
        <v>160</v>
      </c>
      <c r="H114" s="2" t="s">
        <v>193</v>
      </c>
      <c r="I114" s="2" t="s">
        <v>431</v>
      </c>
      <c r="J114" s="2" t="s">
        <v>446</v>
      </c>
      <c r="K114" s="2" t="s">
        <v>454</v>
      </c>
      <c r="L114" s="10">
        <v>7037377719</v>
      </c>
      <c r="M114" s="2">
        <v>20000</v>
      </c>
      <c r="N114" s="2">
        <v>1580</v>
      </c>
      <c r="O114" s="2">
        <f t="shared" si="38"/>
        <v>18420</v>
      </c>
      <c r="P114" s="2">
        <v>810</v>
      </c>
      <c r="Q114" s="11">
        <f t="shared" ref="Q114:Q123" si="46">P114*R114</f>
        <v>0</v>
      </c>
      <c r="R114" s="11">
        <v>0</v>
      </c>
      <c r="S114" s="2">
        <v>36</v>
      </c>
      <c r="T114" s="7">
        <v>2</v>
      </c>
      <c r="U114" s="2">
        <f t="shared" si="24"/>
        <v>34</v>
      </c>
      <c r="V114" s="2"/>
      <c r="W114" s="8"/>
      <c r="X114" s="9"/>
      <c r="Y114" s="2">
        <f t="shared" si="40"/>
        <v>1620</v>
      </c>
      <c r="Z114" s="2">
        <f t="shared" si="41"/>
        <v>27540</v>
      </c>
      <c r="AA114" s="2" t="s">
        <v>53</v>
      </c>
      <c r="AB114" s="2" t="s">
        <v>431</v>
      </c>
      <c r="AC114" s="2">
        <f t="shared" si="27"/>
        <v>0</v>
      </c>
      <c r="AD114" s="2">
        <v>0</v>
      </c>
      <c r="AE114" s="2">
        <f t="shared" ref="AE114:AE124" si="47">AC114*AD114</f>
        <v>0</v>
      </c>
      <c r="AF114" s="2">
        <f t="shared" ref="AF114:AF124" si="48">AC114</f>
        <v>0</v>
      </c>
      <c r="AG114" s="2">
        <v>0</v>
      </c>
      <c r="AH114" s="2" t="str">
        <f t="shared" si="30"/>
        <v>NO</v>
      </c>
      <c r="AI114" s="2">
        <f t="shared" si="31"/>
        <v>27540</v>
      </c>
      <c r="AJ114" s="2" t="s">
        <v>50</v>
      </c>
      <c r="AK114" s="2"/>
      <c r="AL114" s="2"/>
      <c r="AM114" s="2">
        <f t="shared" ref="AM114:AM124" si="49">P114*S114</f>
        <v>29160</v>
      </c>
      <c r="AN114" s="2">
        <f t="shared" ref="AN114:AN124" si="50">AM114-M114</f>
        <v>9160</v>
      </c>
      <c r="AO114" s="2">
        <v>0</v>
      </c>
      <c r="AP114" s="4">
        <f t="shared" ref="AP114:AP124" si="51">AN114/S114</f>
        <v>254.44444444444446</v>
      </c>
      <c r="AQ114" s="4">
        <f t="shared" ref="AQ114:AQ124" si="52">AP114*AO114</f>
        <v>0</v>
      </c>
      <c r="AR114" s="5">
        <v>46225</v>
      </c>
      <c r="AS114" s="5">
        <v>46227</v>
      </c>
      <c r="AT114" s="5">
        <v>46238</v>
      </c>
      <c r="AU114" s="2" t="str">
        <f t="shared" si="36"/>
        <v>ACTIVE</v>
      </c>
      <c r="AV114" s="2"/>
      <c r="AW114" s="2">
        <f t="shared" si="44"/>
        <v>0</v>
      </c>
      <c r="AX114" s="6"/>
      <c r="AY114" s="6"/>
    </row>
    <row r="115" spans="1:51" hidden="1" x14ac:dyDescent="0.25">
      <c r="A115" s="7" t="str">
        <f t="shared" si="45"/>
        <v>ACTIVE</v>
      </c>
      <c r="B115" s="2" t="s">
        <v>156</v>
      </c>
      <c r="C115" s="2" t="s">
        <v>157</v>
      </c>
      <c r="D115" s="2" t="s">
        <v>158</v>
      </c>
      <c r="E115" s="2" t="s">
        <v>115</v>
      </c>
      <c r="F115" s="2">
        <v>5138</v>
      </c>
      <c r="G115" s="2" t="s">
        <v>160</v>
      </c>
      <c r="H115" s="2" t="s">
        <v>442</v>
      </c>
      <c r="I115" s="2" t="s">
        <v>432</v>
      </c>
      <c r="J115" s="2" t="s">
        <v>447</v>
      </c>
      <c r="K115" s="2" t="s">
        <v>455</v>
      </c>
      <c r="L115" s="10">
        <v>9997785709</v>
      </c>
      <c r="M115" s="2">
        <v>15000</v>
      </c>
      <c r="N115" s="2">
        <v>1260</v>
      </c>
      <c r="O115" s="2">
        <f t="shared" si="38"/>
        <v>13740</v>
      </c>
      <c r="P115" s="2">
        <v>730</v>
      </c>
      <c r="Q115" s="11">
        <f t="shared" si="46"/>
        <v>0</v>
      </c>
      <c r="R115" s="11">
        <v>0</v>
      </c>
      <c r="S115" s="2">
        <v>30</v>
      </c>
      <c r="T115" s="7">
        <v>3</v>
      </c>
      <c r="U115" s="2">
        <f t="shared" si="24"/>
        <v>27</v>
      </c>
      <c r="V115" s="2"/>
      <c r="W115" s="8">
        <v>730</v>
      </c>
      <c r="X115" s="9"/>
      <c r="Y115" s="2">
        <f t="shared" si="40"/>
        <v>2920</v>
      </c>
      <c r="Z115" s="2">
        <f t="shared" si="41"/>
        <v>18980</v>
      </c>
      <c r="AA115" s="2" t="s">
        <v>49</v>
      </c>
      <c r="AB115" s="2" t="s">
        <v>432</v>
      </c>
      <c r="AC115" s="2">
        <f t="shared" si="27"/>
        <v>0</v>
      </c>
      <c r="AD115" s="2">
        <v>0</v>
      </c>
      <c r="AE115" s="2">
        <f t="shared" si="47"/>
        <v>0</v>
      </c>
      <c r="AF115" s="2">
        <f t="shared" si="48"/>
        <v>0</v>
      </c>
      <c r="AG115" s="2">
        <v>0</v>
      </c>
      <c r="AH115" s="2" t="str">
        <f t="shared" si="30"/>
        <v>NO</v>
      </c>
      <c r="AI115" s="2">
        <f t="shared" si="31"/>
        <v>18980</v>
      </c>
      <c r="AJ115" s="2" t="s">
        <v>50</v>
      </c>
      <c r="AK115" s="2"/>
      <c r="AL115" s="2"/>
      <c r="AM115" s="2">
        <f t="shared" si="49"/>
        <v>21900</v>
      </c>
      <c r="AN115" s="2">
        <f t="shared" si="50"/>
        <v>6900</v>
      </c>
      <c r="AO115" s="2">
        <v>0</v>
      </c>
      <c r="AP115" s="4">
        <f t="shared" si="51"/>
        <v>230</v>
      </c>
      <c r="AQ115" s="4">
        <f t="shared" si="52"/>
        <v>0</v>
      </c>
      <c r="AR115" s="5">
        <v>46225</v>
      </c>
      <c r="AS115" s="5">
        <v>46227</v>
      </c>
      <c r="AT115" s="5">
        <v>46232</v>
      </c>
      <c r="AU115" s="2" t="str">
        <f t="shared" si="36"/>
        <v>ACTIVE</v>
      </c>
      <c r="AV115" s="2"/>
      <c r="AW115" s="2">
        <f t="shared" si="44"/>
        <v>0</v>
      </c>
      <c r="AX115" s="6"/>
      <c r="AY115" s="6"/>
    </row>
    <row r="116" spans="1:51" hidden="1" x14ac:dyDescent="0.25">
      <c r="A116" s="7" t="str">
        <f t="shared" si="45"/>
        <v>ACTIVE</v>
      </c>
      <c r="B116" s="2" t="s">
        <v>156</v>
      </c>
      <c r="C116" s="2" t="s">
        <v>157</v>
      </c>
      <c r="D116" s="2" t="s">
        <v>158</v>
      </c>
      <c r="E116" s="2" t="s">
        <v>115</v>
      </c>
      <c r="F116" s="2">
        <v>4641</v>
      </c>
      <c r="G116" s="2" t="s">
        <v>160</v>
      </c>
      <c r="H116" s="2" t="s">
        <v>443</v>
      </c>
      <c r="I116" s="2" t="s">
        <v>433</v>
      </c>
      <c r="J116" s="2" t="s">
        <v>448</v>
      </c>
      <c r="K116" s="2" t="s">
        <v>456</v>
      </c>
      <c r="L116" s="10">
        <v>7037562641</v>
      </c>
      <c r="M116" s="2">
        <v>10000</v>
      </c>
      <c r="N116" s="2">
        <v>820</v>
      </c>
      <c r="O116" s="2">
        <f t="shared" si="38"/>
        <v>9180</v>
      </c>
      <c r="P116" s="2">
        <v>520</v>
      </c>
      <c r="Q116" s="11">
        <f t="shared" si="46"/>
        <v>0</v>
      </c>
      <c r="R116" s="11">
        <v>0</v>
      </c>
      <c r="S116" s="2">
        <v>28</v>
      </c>
      <c r="T116" s="7">
        <v>3</v>
      </c>
      <c r="U116" s="2">
        <f t="shared" si="24"/>
        <v>25</v>
      </c>
      <c r="V116" s="2"/>
      <c r="W116" s="8">
        <v>520</v>
      </c>
      <c r="X116" s="9"/>
      <c r="Y116" s="2">
        <f t="shared" si="40"/>
        <v>2080</v>
      </c>
      <c r="Z116" s="2">
        <f t="shared" si="41"/>
        <v>12480</v>
      </c>
      <c r="AA116" s="2" t="s">
        <v>49</v>
      </c>
      <c r="AB116" s="2" t="s">
        <v>433</v>
      </c>
      <c r="AC116" s="2">
        <f t="shared" si="27"/>
        <v>0</v>
      </c>
      <c r="AD116" s="2">
        <v>0</v>
      </c>
      <c r="AE116" s="2">
        <f t="shared" si="47"/>
        <v>0</v>
      </c>
      <c r="AF116" s="2">
        <f t="shared" si="48"/>
        <v>0</v>
      </c>
      <c r="AG116" s="2">
        <v>0</v>
      </c>
      <c r="AH116" s="2" t="str">
        <f t="shared" si="30"/>
        <v>NO</v>
      </c>
      <c r="AI116" s="2">
        <f t="shared" si="31"/>
        <v>12480</v>
      </c>
      <c r="AJ116" s="2" t="s">
        <v>50</v>
      </c>
      <c r="AK116" s="2"/>
      <c r="AL116" s="2"/>
      <c r="AM116" s="2">
        <f t="shared" si="49"/>
        <v>14560</v>
      </c>
      <c r="AN116" s="2">
        <f t="shared" si="50"/>
        <v>4560</v>
      </c>
      <c r="AO116" s="2">
        <v>0</v>
      </c>
      <c r="AP116" s="4">
        <f t="shared" si="51"/>
        <v>162.85714285714286</v>
      </c>
      <c r="AQ116" s="4">
        <f t="shared" si="52"/>
        <v>0</v>
      </c>
      <c r="AR116" s="5">
        <v>46225</v>
      </c>
      <c r="AS116" s="5">
        <v>46227</v>
      </c>
      <c r="AT116" s="5">
        <v>46232</v>
      </c>
      <c r="AU116" s="2" t="str">
        <f t="shared" si="36"/>
        <v>ACTIVE</v>
      </c>
      <c r="AV116" s="2"/>
      <c r="AW116" s="2">
        <f t="shared" si="44"/>
        <v>0</v>
      </c>
      <c r="AX116" s="6"/>
      <c r="AY116" s="6"/>
    </row>
    <row r="117" spans="1:51" hidden="1" x14ac:dyDescent="0.25">
      <c r="A117" s="7" t="str">
        <f t="shared" si="45"/>
        <v>ACTIVE</v>
      </c>
      <c r="B117" s="2" t="s">
        <v>156</v>
      </c>
      <c r="C117" s="2" t="s">
        <v>157</v>
      </c>
      <c r="D117" s="2" t="s">
        <v>158</v>
      </c>
      <c r="E117" s="2" t="s">
        <v>115</v>
      </c>
      <c r="F117" s="2">
        <v>146</v>
      </c>
      <c r="G117" s="2" t="s">
        <v>160</v>
      </c>
      <c r="H117" s="2" t="s">
        <v>444</v>
      </c>
      <c r="I117" s="2" t="s">
        <v>434</v>
      </c>
      <c r="J117" s="2" t="s">
        <v>449</v>
      </c>
      <c r="K117" s="2" t="s">
        <v>211</v>
      </c>
      <c r="L117" s="10">
        <v>8445469631</v>
      </c>
      <c r="M117" s="2">
        <v>20000</v>
      </c>
      <c r="N117" s="2">
        <v>1580</v>
      </c>
      <c r="O117" s="2">
        <f t="shared" si="38"/>
        <v>18420</v>
      </c>
      <c r="P117" s="2">
        <v>810</v>
      </c>
      <c r="Q117" s="11">
        <f t="shared" si="46"/>
        <v>0</v>
      </c>
      <c r="R117" s="11">
        <v>0</v>
      </c>
      <c r="S117" s="2">
        <v>36</v>
      </c>
      <c r="T117" s="7">
        <v>2</v>
      </c>
      <c r="U117" s="2">
        <f t="shared" si="24"/>
        <v>34</v>
      </c>
      <c r="V117" s="2"/>
      <c r="W117" s="8"/>
      <c r="X117" s="9"/>
      <c r="Y117" s="2">
        <f t="shared" si="40"/>
        <v>1620</v>
      </c>
      <c r="Z117" s="2">
        <f t="shared" si="41"/>
        <v>27540</v>
      </c>
      <c r="AA117" s="2" t="s">
        <v>57</v>
      </c>
      <c r="AB117" s="2" t="s">
        <v>434</v>
      </c>
      <c r="AC117" s="2">
        <f t="shared" si="27"/>
        <v>0</v>
      </c>
      <c r="AD117" s="2">
        <v>0</v>
      </c>
      <c r="AE117" s="2">
        <f t="shared" si="47"/>
        <v>0</v>
      </c>
      <c r="AF117" s="2">
        <f t="shared" si="48"/>
        <v>0</v>
      </c>
      <c r="AG117" s="2">
        <v>0</v>
      </c>
      <c r="AH117" s="2" t="str">
        <f t="shared" si="30"/>
        <v>NO</v>
      </c>
      <c r="AI117" s="2">
        <f t="shared" si="31"/>
        <v>27540</v>
      </c>
      <c r="AJ117" s="2" t="s">
        <v>50</v>
      </c>
      <c r="AK117" s="2"/>
      <c r="AL117" s="2"/>
      <c r="AM117" s="2">
        <f t="shared" si="49"/>
        <v>29160</v>
      </c>
      <c r="AN117" s="2">
        <f t="shared" si="50"/>
        <v>9160</v>
      </c>
      <c r="AO117" s="2">
        <v>0</v>
      </c>
      <c r="AP117" s="4">
        <f t="shared" si="51"/>
        <v>254.44444444444446</v>
      </c>
      <c r="AQ117" s="4">
        <f t="shared" si="52"/>
        <v>0</v>
      </c>
      <c r="AR117" s="5">
        <v>46226</v>
      </c>
      <c r="AS117" s="5">
        <v>46227</v>
      </c>
      <c r="AT117" s="5">
        <v>46241</v>
      </c>
      <c r="AU117" s="2" t="str">
        <f t="shared" si="36"/>
        <v>ACTIVE</v>
      </c>
      <c r="AV117" s="2"/>
      <c r="AW117" s="2">
        <f t="shared" si="44"/>
        <v>0</v>
      </c>
      <c r="AX117" s="6"/>
      <c r="AY117" s="6"/>
    </row>
    <row r="118" spans="1:51" hidden="1" x14ac:dyDescent="0.25">
      <c r="A118" s="7" t="str">
        <f t="shared" si="45"/>
        <v>ACTIVE</v>
      </c>
      <c r="B118" s="2" t="s">
        <v>156</v>
      </c>
      <c r="C118" s="2" t="s">
        <v>157</v>
      </c>
      <c r="D118" s="2" t="s">
        <v>158</v>
      </c>
      <c r="E118" s="2" t="s">
        <v>115</v>
      </c>
      <c r="F118" s="2">
        <v>9847</v>
      </c>
      <c r="G118" s="2" t="s">
        <v>160</v>
      </c>
      <c r="H118" s="2" t="s">
        <v>444</v>
      </c>
      <c r="I118" s="2" t="s">
        <v>435</v>
      </c>
      <c r="J118" s="2" t="s">
        <v>450</v>
      </c>
      <c r="K118" s="2" t="s">
        <v>235</v>
      </c>
      <c r="L118" s="10">
        <v>7457837215</v>
      </c>
      <c r="M118" s="2">
        <v>20000</v>
      </c>
      <c r="N118" s="2">
        <v>1580</v>
      </c>
      <c r="O118" s="2">
        <f t="shared" si="38"/>
        <v>18420</v>
      </c>
      <c r="P118" s="2">
        <v>810</v>
      </c>
      <c r="Q118" s="11">
        <f t="shared" si="46"/>
        <v>0</v>
      </c>
      <c r="R118" s="11">
        <v>0</v>
      </c>
      <c r="S118" s="2">
        <v>36</v>
      </c>
      <c r="T118" s="7">
        <v>2</v>
      </c>
      <c r="U118" s="2">
        <f t="shared" si="24"/>
        <v>34</v>
      </c>
      <c r="V118" s="2"/>
      <c r="W118" s="8"/>
      <c r="X118" s="9"/>
      <c r="Y118" s="2">
        <f t="shared" si="40"/>
        <v>1620</v>
      </c>
      <c r="Z118" s="2">
        <f t="shared" si="41"/>
        <v>27540</v>
      </c>
      <c r="AA118" s="2" t="s">
        <v>57</v>
      </c>
      <c r="AB118" s="2" t="s">
        <v>435</v>
      </c>
      <c r="AC118" s="2">
        <f t="shared" si="27"/>
        <v>0</v>
      </c>
      <c r="AD118" s="2">
        <v>0</v>
      </c>
      <c r="AE118" s="2">
        <f t="shared" si="47"/>
        <v>0</v>
      </c>
      <c r="AF118" s="2">
        <f t="shared" si="48"/>
        <v>0</v>
      </c>
      <c r="AG118" s="2">
        <v>0</v>
      </c>
      <c r="AH118" s="2" t="str">
        <f t="shared" si="30"/>
        <v>NO</v>
      </c>
      <c r="AI118" s="2">
        <f t="shared" si="31"/>
        <v>27540</v>
      </c>
      <c r="AJ118" s="2" t="s">
        <v>50</v>
      </c>
      <c r="AK118" s="2"/>
      <c r="AL118" s="2"/>
      <c r="AM118" s="2">
        <f t="shared" si="49"/>
        <v>29160</v>
      </c>
      <c r="AN118" s="2">
        <f t="shared" si="50"/>
        <v>9160</v>
      </c>
      <c r="AO118" s="2">
        <v>0</v>
      </c>
      <c r="AP118" s="4">
        <f t="shared" si="51"/>
        <v>254.44444444444446</v>
      </c>
      <c r="AQ118" s="4">
        <f t="shared" si="52"/>
        <v>0</v>
      </c>
      <c r="AR118" s="5">
        <v>46226</v>
      </c>
      <c r="AS118" s="5">
        <v>46227</v>
      </c>
      <c r="AT118" s="5">
        <v>46241</v>
      </c>
      <c r="AU118" s="2" t="str">
        <f t="shared" si="36"/>
        <v>ACTIVE</v>
      </c>
      <c r="AV118" s="2"/>
      <c r="AW118" s="2">
        <f t="shared" si="44"/>
        <v>0</v>
      </c>
      <c r="AX118" s="6"/>
      <c r="AY118" s="6"/>
    </row>
    <row r="119" spans="1:51" hidden="1" x14ac:dyDescent="0.25">
      <c r="A119" s="7" t="str">
        <f t="shared" si="45"/>
        <v>ACTIVE</v>
      </c>
      <c r="B119" s="2" t="s">
        <v>156</v>
      </c>
      <c r="C119" s="2" t="s">
        <v>157</v>
      </c>
      <c r="D119" s="2" t="s">
        <v>158</v>
      </c>
      <c r="E119" s="2" t="s">
        <v>115</v>
      </c>
      <c r="F119" s="2">
        <v>1630</v>
      </c>
      <c r="G119" s="2" t="s">
        <v>160</v>
      </c>
      <c r="H119" s="2" t="s">
        <v>198</v>
      </c>
      <c r="I119" s="2" t="s">
        <v>436</v>
      </c>
      <c r="J119" s="2" t="s">
        <v>451</v>
      </c>
      <c r="K119" s="2" t="s">
        <v>170</v>
      </c>
      <c r="L119" s="10">
        <v>8937817944</v>
      </c>
      <c r="M119" s="2">
        <v>20000</v>
      </c>
      <c r="N119" s="2">
        <v>1580</v>
      </c>
      <c r="O119" s="2">
        <f t="shared" si="38"/>
        <v>18420</v>
      </c>
      <c r="P119" s="2">
        <v>810</v>
      </c>
      <c r="Q119" s="11">
        <f t="shared" si="46"/>
        <v>0</v>
      </c>
      <c r="R119" s="11">
        <v>0</v>
      </c>
      <c r="S119" s="2">
        <v>36</v>
      </c>
      <c r="T119" s="7">
        <v>2</v>
      </c>
      <c r="U119" s="2">
        <f t="shared" si="24"/>
        <v>34</v>
      </c>
      <c r="V119" s="2"/>
      <c r="W119" s="8"/>
      <c r="X119" s="9"/>
      <c r="Y119" s="2">
        <f t="shared" si="40"/>
        <v>1620</v>
      </c>
      <c r="Z119" s="2">
        <f t="shared" si="41"/>
        <v>27540</v>
      </c>
      <c r="AA119" s="2" t="s">
        <v>57</v>
      </c>
      <c r="AB119" s="2" t="s">
        <v>436</v>
      </c>
      <c r="AC119" s="2">
        <f t="shared" si="27"/>
        <v>0</v>
      </c>
      <c r="AD119" s="2">
        <v>0</v>
      </c>
      <c r="AE119" s="2">
        <f t="shared" si="47"/>
        <v>0</v>
      </c>
      <c r="AF119" s="2">
        <f t="shared" si="48"/>
        <v>0</v>
      </c>
      <c r="AG119" s="2">
        <v>0</v>
      </c>
      <c r="AH119" s="2" t="str">
        <f t="shared" si="30"/>
        <v>NO</v>
      </c>
      <c r="AI119" s="2">
        <f t="shared" si="31"/>
        <v>27540</v>
      </c>
      <c r="AJ119" s="2" t="s">
        <v>50</v>
      </c>
      <c r="AK119" s="2"/>
      <c r="AL119" s="2"/>
      <c r="AM119" s="2">
        <f t="shared" si="49"/>
        <v>29160</v>
      </c>
      <c r="AN119" s="2">
        <f t="shared" si="50"/>
        <v>9160</v>
      </c>
      <c r="AO119" s="2">
        <v>0</v>
      </c>
      <c r="AP119" s="4">
        <f t="shared" si="51"/>
        <v>254.44444444444446</v>
      </c>
      <c r="AQ119" s="4">
        <f t="shared" si="52"/>
        <v>0</v>
      </c>
      <c r="AR119" s="5">
        <v>46226</v>
      </c>
      <c r="AS119" s="5">
        <v>46227</v>
      </c>
      <c r="AT119" s="5">
        <v>46241</v>
      </c>
      <c r="AU119" s="2" t="str">
        <f t="shared" si="36"/>
        <v>ACTIVE</v>
      </c>
      <c r="AV119" s="2"/>
      <c r="AW119" s="2">
        <f t="shared" si="44"/>
        <v>0</v>
      </c>
      <c r="AX119" s="6"/>
      <c r="AY119" s="6"/>
    </row>
    <row r="120" spans="1:51" hidden="1" x14ac:dyDescent="0.25">
      <c r="A120" s="7" t="str">
        <f t="shared" si="45"/>
        <v>ACTIVE</v>
      </c>
      <c r="B120" s="2" t="s">
        <v>156</v>
      </c>
      <c r="C120" s="2" t="s">
        <v>157</v>
      </c>
      <c r="D120" s="2" t="s">
        <v>158</v>
      </c>
      <c r="E120" s="2" t="s">
        <v>115</v>
      </c>
      <c r="F120" s="2">
        <v>4129</v>
      </c>
      <c r="G120" s="2" t="s">
        <v>160</v>
      </c>
      <c r="H120" s="2" t="s">
        <v>444</v>
      </c>
      <c r="I120" s="2" t="s">
        <v>437</v>
      </c>
      <c r="J120" s="2" t="s">
        <v>452</v>
      </c>
      <c r="K120" s="2" t="s">
        <v>457</v>
      </c>
      <c r="L120" s="10">
        <v>8394893054</v>
      </c>
      <c r="M120" s="2">
        <v>20000</v>
      </c>
      <c r="N120" s="2">
        <v>1580</v>
      </c>
      <c r="O120" s="2">
        <f t="shared" si="38"/>
        <v>18420</v>
      </c>
      <c r="P120" s="2">
        <v>810</v>
      </c>
      <c r="Q120" s="11">
        <f t="shared" si="46"/>
        <v>0</v>
      </c>
      <c r="R120" s="11">
        <v>0</v>
      </c>
      <c r="S120" s="2">
        <v>36</v>
      </c>
      <c r="T120" s="7">
        <v>2</v>
      </c>
      <c r="U120" s="2">
        <f t="shared" si="24"/>
        <v>34</v>
      </c>
      <c r="V120" s="2"/>
      <c r="W120" s="8"/>
      <c r="X120" s="9"/>
      <c r="Y120" s="2">
        <f t="shared" si="40"/>
        <v>1620</v>
      </c>
      <c r="Z120" s="2">
        <f t="shared" si="41"/>
        <v>27540</v>
      </c>
      <c r="AA120" s="2" t="s">
        <v>57</v>
      </c>
      <c r="AB120" s="2" t="s">
        <v>437</v>
      </c>
      <c r="AC120" s="2">
        <f t="shared" si="27"/>
        <v>0</v>
      </c>
      <c r="AD120" s="2">
        <v>0</v>
      </c>
      <c r="AE120" s="2">
        <f t="shared" si="47"/>
        <v>0</v>
      </c>
      <c r="AF120" s="2">
        <f t="shared" si="48"/>
        <v>0</v>
      </c>
      <c r="AG120" s="2">
        <v>0</v>
      </c>
      <c r="AH120" s="2" t="str">
        <f t="shared" si="30"/>
        <v>NO</v>
      </c>
      <c r="AI120" s="2">
        <f t="shared" si="31"/>
        <v>27540</v>
      </c>
      <c r="AJ120" s="2" t="s">
        <v>50</v>
      </c>
      <c r="AK120" s="2"/>
      <c r="AL120" s="2"/>
      <c r="AM120" s="2">
        <f t="shared" si="49"/>
        <v>29160</v>
      </c>
      <c r="AN120" s="2">
        <f t="shared" si="50"/>
        <v>9160</v>
      </c>
      <c r="AO120" s="2">
        <v>0</v>
      </c>
      <c r="AP120" s="4">
        <f t="shared" si="51"/>
        <v>254.44444444444446</v>
      </c>
      <c r="AQ120" s="4">
        <f t="shared" si="52"/>
        <v>0</v>
      </c>
      <c r="AR120" s="5">
        <v>46227</v>
      </c>
      <c r="AS120" s="5">
        <v>46231</v>
      </c>
      <c r="AT120" s="5">
        <v>46241</v>
      </c>
      <c r="AU120" s="2" t="str">
        <f t="shared" si="36"/>
        <v>ACTIVE</v>
      </c>
      <c r="AV120" s="2"/>
      <c r="AW120" s="2">
        <f t="shared" si="44"/>
        <v>0</v>
      </c>
      <c r="AX120" s="6"/>
      <c r="AY120" s="6"/>
    </row>
    <row r="121" spans="1:51" hidden="1" x14ac:dyDescent="0.25">
      <c r="A121" s="7" t="str">
        <f t="shared" si="45"/>
        <v>ACTIVE</v>
      </c>
      <c r="B121" s="2" t="s">
        <v>156</v>
      </c>
      <c r="C121" s="2" t="s">
        <v>157</v>
      </c>
      <c r="D121" s="2" t="s">
        <v>158</v>
      </c>
      <c r="E121" s="2" t="s">
        <v>115</v>
      </c>
      <c r="F121" s="2">
        <v>8989</v>
      </c>
      <c r="G121" s="2" t="s">
        <v>160</v>
      </c>
      <c r="H121" s="2" t="s">
        <v>444</v>
      </c>
      <c r="I121" s="2" t="s">
        <v>438</v>
      </c>
      <c r="J121" s="2" t="s">
        <v>64</v>
      </c>
      <c r="K121" s="2" t="s">
        <v>458</v>
      </c>
      <c r="L121" s="10">
        <v>9058127312</v>
      </c>
      <c r="M121" s="2">
        <v>20000</v>
      </c>
      <c r="N121" s="2">
        <v>1580</v>
      </c>
      <c r="O121" s="2">
        <f t="shared" si="38"/>
        <v>18420</v>
      </c>
      <c r="P121" s="2">
        <v>810</v>
      </c>
      <c r="Q121" s="11">
        <f t="shared" si="46"/>
        <v>0</v>
      </c>
      <c r="R121" s="11">
        <v>0</v>
      </c>
      <c r="S121" s="2">
        <v>36</v>
      </c>
      <c r="T121" s="7">
        <v>2</v>
      </c>
      <c r="U121" s="2">
        <f t="shared" si="24"/>
        <v>34</v>
      </c>
      <c r="V121" s="2"/>
      <c r="W121" s="8"/>
      <c r="X121" s="9"/>
      <c r="Y121" s="2">
        <f t="shared" si="40"/>
        <v>1620</v>
      </c>
      <c r="Z121" s="2">
        <f t="shared" si="41"/>
        <v>27540</v>
      </c>
      <c r="AA121" s="2" t="s">
        <v>57</v>
      </c>
      <c r="AB121" s="2" t="s">
        <v>438</v>
      </c>
      <c r="AC121" s="2">
        <f t="shared" si="27"/>
        <v>0</v>
      </c>
      <c r="AD121" s="2">
        <v>0</v>
      </c>
      <c r="AE121" s="2">
        <f t="shared" si="47"/>
        <v>0</v>
      </c>
      <c r="AF121" s="2">
        <f t="shared" si="48"/>
        <v>0</v>
      </c>
      <c r="AG121" s="2">
        <v>0</v>
      </c>
      <c r="AH121" s="2" t="str">
        <f t="shared" si="30"/>
        <v>NO</v>
      </c>
      <c r="AI121" s="2">
        <f t="shared" si="31"/>
        <v>27540</v>
      </c>
      <c r="AJ121" s="2" t="s">
        <v>50</v>
      </c>
      <c r="AK121" s="2"/>
      <c r="AL121" s="2"/>
      <c r="AM121" s="2">
        <f t="shared" si="49"/>
        <v>29160</v>
      </c>
      <c r="AN121" s="2">
        <f t="shared" si="50"/>
        <v>9160</v>
      </c>
      <c r="AO121" s="2">
        <v>0</v>
      </c>
      <c r="AP121" s="4">
        <f t="shared" si="51"/>
        <v>254.44444444444446</v>
      </c>
      <c r="AQ121" s="4">
        <f t="shared" si="52"/>
        <v>0</v>
      </c>
      <c r="AR121" s="5">
        <v>46226</v>
      </c>
      <c r="AS121" s="5">
        <v>46231</v>
      </c>
      <c r="AT121" s="5">
        <v>46241</v>
      </c>
      <c r="AU121" s="2" t="str">
        <f t="shared" si="36"/>
        <v>ACTIVE</v>
      </c>
      <c r="AV121" s="2"/>
      <c r="AW121" s="2">
        <f t="shared" si="44"/>
        <v>0</v>
      </c>
      <c r="AX121" s="6"/>
      <c r="AY121" s="6"/>
    </row>
    <row r="122" spans="1:51" hidden="1" x14ac:dyDescent="0.25">
      <c r="A122" s="7" t="str">
        <f t="shared" ref="A122:A124" si="53">IF(Z122=0,"CLOSE","ACTIVE")</f>
        <v>ACTIVE</v>
      </c>
      <c r="B122" s="2" t="s">
        <v>156</v>
      </c>
      <c r="C122" s="2" t="s">
        <v>157</v>
      </c>
      <c r="D122" s="2" t="s">
        <v>158</v>
      </c>
      <c r="E122" s="2" t="s">
        <v>115</v>
      </c>
      <c r="F122" s="2">
        <v>2325</v>
      </c>
      <c r="G122" s="2" t="s">
        <v>160</v>
      </c>
      <c r="H122" s="2" t="s">
        <v>203</v>
      </c>
      <c r="I122" s="2" t="s">
        <v>439</v>
      </c>
      <c r="J122" s="2" t="s">
        <v>453</v>
      </c>
      <c r="K122" s="2" t="s">
        <v>459</v>
      </c>
      <c r="L122" s="10">
        <v>7457097029</v>
      </c>
      <c r="M122" s="2">
        <v>10000</v>
      </c>
      <c r="N122" s="2">
        <v>820</v>
      </c>
      <c r="O122" s="2">
        <f t="shared" si="38"/>
        <v>9180</v>
      </c>
      <c r="P122" s="2">
        <v>520</v>
      </c>
      <c r="Q122" s="11">
        <f t="shared" si="46"/>
        <v>0</v>
      </c>
      <c r="R122" s="11">
        <v>0</v>
      </c>
      <c r="S122" s="2">
        <v>28</v>
      </c>
      <c r="T122" s="7">
        <v>1</v>
      </c>
      <c r="U122" s="2">
        <f t="shared" si="24"/>
        <v>27</v>
      </c>
      <c r="V122" s="2"/>
      <c r="W122" s="8">
        <v>520</v>
      </c>
      <c r="X122" s="9"/>
      <c r="Y122" s="2">
        <f t="shared" si="40"/>
        <v>1040</v>
      </c>
      <c r="Z122" s="2">
        <f t="shared" si="41"/>
        <v>13520</v>
      </c>
      <c r="AA122" s="2" t="s">
        <v>49</v>
      </c>
      <c r="AB122" s="2" t="s">
        <v>439</v>
      </c>
      <c r="AC122" s="2">
        <f t="shared" si="27"/>
        <v>0</v>
      </c>
      <c r="AD122" s="2">
        <v>0</v>
      </c>
      <c r="AE122" s="2">
        <f t="shared" si="47"/>
        <v>0</v>
      </c>
      <c r="AF122" s="2">
        <f t="shared" si="48"/>
        <v>0</v>
      </c>
      <c r="AG122" s="2">
        <v>0</v>
      </c>
      <c r="AH122" s="2" t="str">
        <f t="shared" si="30"/>
        <v>NO</v>
      </c>
      <c r="AI122" s="2">
        <f t="shared" si="31"/>
        <v>13520</v>
      </c>
      <c r="AJ122" s="2" t="s">
        <v>50</v>
      </c>
      <c r="AK122" s="2"/>
      <c r="AL122" s="2"/>
      <c r="AM122" s="2">
        <f t="shared" si="49"/>
        <v>14560</v>
      </c>
      <c r="AN122" s="2">
        <f t="shared" si="50"/>
        <v>4560</v>
      </c>
      <c r="AO122" s="2">
        <v>0</v>
      </c>
      <c r="AP122" s="4">
        <f t="shared" si="51"/>
        <v>162.85714285714286</v>
      </c>
      <c r="AQ122" s="4">
        <f t="shared" si="52"/>
        <v>0</v>
      </c>
      <c r="AR122" s="5">
        <v>46227</v>
      </c>
      <c r="AS122" s="5">
        <v>46231</v>
      </c>
      <c r="AT122" s="5">
        <v>46246</v>
      </c>
      <c r="AU122" s="2" t="str">
        <f t="shared" si="36"/>
        <v>ACTIVE</v>
      </c>
      <c r="AV122" s="2"/>
      <c r="AW122" s="2">
        <f t="shared" si="44"/>
        <v>0</v>
      </c>
      <c r="AX122" s="6"/>
      <c r="AY122" s="6"/>
    </row>
    <row r="123" spans="1:51" hidden="1" x14ac:dyDescent="0.25">
      <c r="A123" s="7" t="str">
        <f t="shared" si="53"/>
        <v>ACTIVE</v>
      </c>
      <c r="B123" s="2" t="s">
        <v>156</v>
      </c>
      <c r="C123" s="2" t="s">
        <v>157</v>
      </c>
      <c r="D123" s="2" t="s">
        <v>158</v>
      </c>
      <c r="E123" s="2" t="s">
        <v>115</v>
      </c>
      <c r="F123" s="2">
        <v>8148</v>
      </c>
      <c r="G123" s="2" t="s">
        <v>160</v>
      </c>
      <c r="H123" s="2" t="s">
        <v>445</v>
      </c>
      <c r="I123" s="2" t="s">
        <v>440</v>
      </c>
      <c r="J123" s="2" t="s">
        <v>409</v>
      </c>
      <c r="K123" s="2" t="s">
        <v>460</v>
      </c>
      <c r="L123" s="10">
        <v>8859477176</v>
      </c>
      <c r="M123" s="2">
        <v>20000</v>
      </c>
      <c r="N123" s="2">
        <v>1580</v>
      </c>
      <c r="O123" s="2">
        <f t="shared" si="38"/>
        <v>18420</v>
      </c>
      <c r="P123" s="2">
        <v>810</v>
      </c>
      <c r="Q123" s="11">
        <f t="shared" si="46"/>
        <v>0</v>
      </c>
      <c r="R123" s="11">
        <v>0</v>
      </c>
      <c r="S123" s="2">
        <v>36</v>
      </c>
      <c r="T123" s="7">
        <v>2</v>
      </c>
      <c r="U123" s="2">
        <f t="shared" si="24"/>
        <v>34</v>
      </c>
      <c r="V123" s="2"/>
      <c r="W123" s="8"/>
      <c r="X123" s="9"/>
      <c r="Y123" s="2">
        <f t="shared" si="40"/>
        <v>1620</v>
      </c>
      <c r="Z123" s="2">
        <f t="shared" si="41"/>
        <v>27540</v>
      </c>
      <c r="AA123" s="2" t="s">
        <v>49</v>
      </c>
      <c r="AB123" s="2" t="s">
        <v>440</v>
      </c>
      <c r="AC123" s="2">
        <f t="shared" si="27"/>
        <v>0</v>
      </c>
      <c r="AD123" s="2">
        <v>0</v>
      </c>
      <c r="AE123" s="2">
        <f t="shared" si="47"/>
        <v>0</v>
      </c>
      <c r="AF123" s="2">
        <f t="shared" si="48"/>
        <v>0</v>
      </c>
      <c r="AG123" s="2">
        <v>0</v>
      </c>
      <c r="AH123" s="2" t="str">
        <f t="shared" si="30"/>
        <v>NO</v>
      </c>
      <c r="AI123" s="2">
        <f t="shared" si="31"/>
        <v>27540</v>
      </c>
      <c r="AJ123" s="2" t="s">
        <v>50</v>
      </c>
      <c r="AK123" s="2"/>
      <c r="AL123" s="2"/>
      <c r="AM123" s="2">
        <f t="shared" si="49"/>
        <v>29160</v>
      </c>
      <c r="AN123" s="2">
        <f t="shared" si="50"/>
        <v>9160</v>
      </c>
      <c r="AO123" s="2">
        <v>0</v>
      </c>
      <c r="AP123" s="4">
        <f t="shared" si="51"/>
        <v>254.44444444444446</v>
      </c>
      <c r="AQ123" s="4">
        <f t="shared" si="52"/>
        <v>0</v>
      </c>
      <c r="AR123" s="73">
        <v>46228</v>
      </c>
      <c r="AS123" s="5">
        <v>46231</v>
      </c>
      <c r="AT123" s="5">
        <v>46239</v>
      </c>
      <c r="AU123" s="2" t="str">
        <f t="shared" si="36"/>
        <v>ACTIVE</v>
      </c>
      <c r="AV123" s="2"/>
      <c r="AW123" s="2">
        <f t="shared" si="44"/>
        <v>0</v>
      </c>
      <c r="AX123" s="6"/>
      <c r="AY123" s="6"/>
    </row>
    <row r="124" spans="1:51" hidden="1" x14ac:dyDescent="0.25">
      <c r="A124" s="7" t="str">
        <f t="shared" si="53"/>
        <v>ACTIVE</v>
      </c>
      <c r="B124" s="2" t="s">
        <v>156</v>
      </c>
      <c r="C124" s="2" t="s">
        <v>157</v>
      </c>
      <c r="D124" s="2" t="s">
        <v>158</v>
      </c>
      <c r="E124" s="2" t="s">
        <v>115</v>
      </c>
      <c r="F124" s="2">
        <v>7636</v>
      </c>
      <c r="G124" s="2" t="s">
        <v>160</v>
      </c>
      <c r="H124" s="2" t="s">
        <v>445</v>
      </c>
      <c r="I124" s="2" t="s">
        <v>441</v>
      </c>
      <c r="J124" s="2" t="s">
        <v>461</v>
      </c>
      <c r="K124" s="2" t="s">
        <v>70</v>
      </c>
      <c r="L124" s="10">
        <v>7351404992</v>
      </c>
      <c r="M124" s="2">
        <v>20000</v>
      </c>
      <c r="N124" s="2">
        <v>1580</v>
      </c>
      <c r="O124" s="2">
        <f t="shared" si="38"/>
        <v>18420</v>
      </c>
      <c r="P124" s="2">
        <v>810</v>
      </c>
      <c r="Q124" s="11">
        <f t="shared" ref="Q124:Q126" si="54">P124*R124</f>
        <v>0</v>
      </c>
      <c r="R124" s="11">
        <v>0</v>
      </c>
      <c r="S124" s="2">
        <v>36</v>
      </c>
      <c r="T124" s="7">
        <v>2</v>
      </c>
      <c r="U124" s="2">
        <f t="shared" si="24"/>
        <v>34</v>
      </c>
      <c r="V124" s="2"/>
      <c r="W124" s="8"/>
      <c r="X124" s="9"/>
      <c r="Y124" s="2">
        <f t="shared" si="40"/>
        <v>1620</v>
      </c>
      <c r="Z124" s="2">
        <f t="shared" si="41"/>
        <v>27540</v>
      </c>
      <c r="AA124" s="2" t="s">
        <v>49</v>
      </c>
      <c r="AB124" s="2" t="s">
        <v>441</v>
      </c>
      <c r="AC124" s="2">
        <f t="shared" si="27"/>
        <v>0</v>
      </c>
      <c r="AD124" s="2">
        <v>0</v>
      </c>
      <c r="AE124" s="2">
        <f t="shared" si="47"/>
        <v>0</v>
      </c>
      <c r="AF124" s="2">
        <f t="shared" si="48"/>
        <v>0</v>
      </c>
      <c r="AG124" s="2">
        <v>0</v>
      </c>
      <c r="AH124" s="2" t="str">
        <f t="shared" si="30"/>
        <v>NO</v>
      </c>
      <c r="AI124" s="2">
        <f t="shared" si="31"/>
        <v>27540</v>
      </c>
      <c r="AJ124" s="2" t="s">
        <v>50</v>
      </c>
      <c r="AK124" s="2"/>
      <c r="AL124" s="2"/>
      <c r="AM124" s="2">
        <f t="shared" si="49"/>
        <v>29160</v>
      </c>
      <c r="AN124" s="2">
        <f t="shared" si="50"/>
        <v>9160</v>
      </c>
      <c r="AO124" s="2">
        <v>0</v>
      </c>
      <c r="AP124" s="4">
        <f t="shared" si="51"/>
        <v>254.44444444444446</v>
      </c>
      <c r="AQ124" s="4">
        <f t="shared" si="52"/>
        <v>0</v>
      </c>
      <c r="AR124" s="73">
        <v>46228</v>
      </c>
      <c r="AS124" s="5">
        <v>46233</v>
      </c>
      <c r="AT124" s="5">
        <v>46239</v>
      </c>
      <c r="AU124" s="2" t="str">
        <f t="shared" si="36"/>
        <v>ACTIVE</v>
      </c>
      <c r="AV124" s="2"/>
      <c r="AW124" s="2">
        <f t="shared" si="44"/>
        <v>0</v>
      </c>
      <c r="AX124" s="6"/>
      <c r="AY124" s="6"/>
    </row>
    <row r="125" spans="1:51" hidden="1" x14ac:dyDescent="0.25">
      <c r="A125" s="7" t="str">
        <f t="shared" ref="A125:A126" si="55">IF(Z125=0,"CLOSE","ACTIVE")</f>
        <v>ACTIVE</v>
      </c>
      <c r="B125" s="2" t="s">
        <v>156</v>
      </c>
      <c r="C125" s="2" t="s">
        <v>157</v>
      </c>
      <c r="D125" s="2" t="s">
        <v>158</v>
      </c>
      <c r="E125" s="2" t="s">
        <v>115</v>
      </c>
      <c r="F125" s="2">
        <v>1405</v>
      </c>
      <c r="G125" s="2" t="s">
        <v>160</v>
      </c>
      <c r="H125" s="2" t="s">
        <v>445</v>
      </c>
      <c r="I125" s="2" t="s">
        <v>491</v>
      </c>
      <c r="J125" s="2" t="s">
        <v>92</v>
      </c>
      <c r="K125" s="2" t="s">
        <v>494</v>
      </c>
      <c r="L125" s="2">
        <v>9720463480</v>
      </c>
      <c r="M125" s="2">
        <v>20000</v>
      </c>
      <c r="N125" s="2">
        <v>1580</v>
      </c>
      <c r="O125" s="2">
        <f t="shared" ref="O125:O134" si="56">M125-N125</f>
        <v>18420</v>
      </c>
      <c r="P125" s="2">
        <v>810</v>
      </c>
      <c r="Q125" s="11">
        <f t="shared" si="54"/>
        <v>0</v>
      </c>
      <c r="R125" s="11">
        <v>0</v>
      </c>
      <c r="S125" s="2">
        <v>36</v>
      </c>
      <c r="T125" s="7">
        <v>2</v>
      </c>
      <c r="U125" s="2">
        <f t="shared" si="24"/>
        <v>34</v>
      </c>
      <c r="V125" s="2"/>
      <c r="W125" s="8"/>
      <c r="X125" s="9"/>
      <c r="Y125" s="2">
        <f t="shared" si="40"/>
        <v>1620</v>
      </c>
      <c r="Z125" s="2">
        <f t="shared" si="41"/>
        <v>27540</v>
      </c>
      <c r="AA125" s="2" t="s">
        <v>49</v>
      </c>
      <c r="AB125" s="2" t="s">
        <v>491</v>
      </c>
      <c r="AC125" s="2">
        <f t="shared" ref="AC125:AC126" si="57">R125*14</f>
        <v>0</v>
      </c>
      <c r="AD125" s="2">
        <v>0</v>
      </c>
      <c r="AE125" s="2">
        <f t="shared" ref="AE125:AE126" si="58">AC125*AD125</f>
        <v>0</v>
      </c>
      <c r="AF125" s="2">
        <f t="shared" ref="AF125:AF126" si="59">AC125</f>
        <v>0</v>
      </c>
      <c r="AG125" s="2">
        <v>0</v>
      </c>
      <c r="AH125" s="2" t="str">
        <f t="shared" ref="AH125:AH126" si="60">IF(AC125&gt;90,"YES","NO")</f>
        <v>NO</v>
      </c>
      <c r="AI125" s="2">
        <f t="shared" ref="AI125:AI126" si="61">Z125+AE125</f>
        <v>27540</v>
      </c>
      <c r="AJ125" s="2" t="s">
        <v>50</v>
      </c>
      <c r="AK125" s="2"/>
      <c r="AL125" s="2"/>
      <c r="AM125" s="2">
        <f t="shared" ref="AM125:AM126" si="62">P125*S125</f>
        <v>29160</v>
      </c>
      <c r="AN125" s="2">
        <f t="shared" ref="AN125:AN126" si="63">AM125-M125</f>
        <v>9160</v>
      </c>
      <c r="AO125" s="2">
        <v>0</v>
      </c>
      <c r="AP125" s="4">
        <f t="shared" ref="AP125:AP126" si="64">AN125/S125</f>
        <v>254.44444444444446</v>
      </c>
      <c r="AQ125" s="4">
        <f t="shared" ref="AQ125:AQ126" si="65">AP125*AO125</f>
        <v>0</v>
      </c>
      <c r="AR125" s="73">
        <v>46228</v>
      </c>
      <c r="AS125" s="5">
        <v>46233</v>
      </c>
      <c r="AT125" s="5">
        <v>46239</v>
      </c>
      <c r="AU125" s="2" t="str">
        <f t="shared" si="36"/>
        <v>ACTIVE</v>
      </c>
      <c r="AV125" s="2"/>
      <c r="AW125" s="2">
        <f t="shared" si="44"/>
        <v>0</v>
      </c>
      <c r="AX125" s="6"/>
      <c r="AY125" s="6"/>
    </row>
    <row r="126" spans="1:51" hidden="1" x14ac:dyDescent="0.25">
      <c r="A126" s="7" t="str">
        <f t="shared" si="55"/>
        <v>ACTIVE</v>
      </c>
      <c r="B126" s="2" t="s">
        <v>156</v>
      </c>
      <c r="C126" s="2" t="s">
        <v>157</v>
      </c>
      <c r="D126" s="2" t="s">
        <v>158</v>
      </c>
      <c r="E126" s="2" t="s">
        <v>115</v>
      </c>
      <c r="F126" s="2">
        <v>1344</v>
      </c>
      <c r="G126" s="2" t="s">
        <v>160</v>
      </c>
      <c r="H126" s="2" t="s">
        <v>490</v>
      </c>
      <c r="I126" s="2" t="s">
        <v>492</v>
      </c>
      <c r="J126" s="2" t="s">
        <v>493</v>
      </c>
      <c r="K126" s="2" t="s">
        <v>495</v>
      </c>
      <c r="L126" s="2">
        <v>8938063338</v>
      </c>
      <c r="M126" s="2">
        <v>10000</v>
      </c>
      <c r="N126" s="2">
        <v>820</v>
      </c>
      <c r="O126" s="2">
        <f t="shared" si="56"/>
        <v>9180</v>
      </c>
      <c r="P126" s="2">
        <v>520</v>
      </c>
      <c r="Q126" s="11">
        <f t="shared" si="54"/>
        <v>0</v>
      </c>
      <c r="R126" s="11">
        <v>0</v>
      </c>
      <c r="S126" s="2">
        <v>28</v>
      </c>
      <c r="T126" s="7">
        <v>1</v>
      </c>
      <c r="U126" s="2">
        <f t="shared" si="24"/>
        <v>27</v>
      </c>
      <c r="V126" s="2"/>
      <c r="W126" s="8">
        <v>520</v>
      </c>
      <c r="X126" s="9"/>
      <c r="Y126" s="2">
        <f t="shared" si="40"/>
        <v>1040</v>
      </c>
      <c r="Z126" s="2">
        <f t="shared" si="41"/>
        <v>13520</v>
      </c>
      <c r="AA126" s="2" t="s">
        <v>65</v>
      </c>
      <c r="AB126" s="2" t="s">
        <v>492</v>
      </c>
      <c r="AC126" s="2">
        <f t="shared" si="57"/>
        <v>0</v>
      </c>
      <c r="AD126" s="2">
        <v>0</v>
      </c>
      <c r="AE126" s="2">
        <f t="shared" si="58"/>
        <v>0</v>
      </c>
      <c r="AF126" s="2">
        <f t="shared" si="59"/>
        <v>0</v>
      </c>
      <c r="AG126" s="2">
        <v>0</v>
      </c>
      <c r="AH126" s="2" t="str">
        <f t="shared" si="60"/>
        <v>NO</v>
      </c>
      <c r="AI126" s="2">
        <f t="shared" si="61"/>
        <v>13520</v>
      </c>
      <c r="AJ126" s="2" t="s">
        <v>50</v>
      </c>
      <c r="AK126" s="2"/>
      <c r="AL126" s="2"/>
      <c r="AM126" s="2">
        <f t="shared" si="62"/>
        <v>14560</v>
      </c>
      <c r="AN126" s="2">
        <f t="shared" si="63"/>
        <v>4560</v>
      </c>
      <c r="AO126" s="2">
        <v>0</v>
      </c>
      <c r="AP126" s="4">
        <f t="shared" si="64"/>
        <v>162.85714285714286</v>
      </c>
      <c r="AQ126" s="4">
        <f t="shared" si="65"/>
        <v>0</v>
      </c>
      <c r="AR126" s="5">
        <v>46231</v>
      </c>
      <c r="AS126" s="5">
        <v>46233</v>
      </c>
      <c r="AT126" s="5">
        <v>46244</v>
      </c>
      <c r="AU126" s="2" t="str">
        <f t="shared" si="36"/>
        <v>ACTIVE</v>
      </c>
      <c r="AV126" s="2"/>
      <c r="AW126" s="2">
        <f t="shared" si="44"/>
        <v>0</v>
      </c>
      <c r="AX126" s="6"/>
      <c r="AY126" s="6"/>
    </row>
    <row r="127" spans="1:51" hidden="1" x14ac:dyDescent="0.25">
      <c r="A127" s="7" t="str">
        <f t="shared" ref="A127:A129" si="66">IF(Z127=0,"CLOSE","ACTIVE")</f>
        <v>ACTIVE</v>
      </c>
      <c r="B127" s="2" t="s">
        <v>156</v>
      </c>
      <c r="C127" s="2" t="s">
        <v>157</v>
      </c>
      <c r="D127" s="2" t="s">
        <v>158</v>
      </c>
      <c r="E127" s="2" t="s">
        <v>542</v>
      </c>
      <c r="F127" s="2">
        <v>7909</v>
      </c>
      <c r="G127" s="2" t="s">
        <v>160</v>
      </c>
      <c r="H127" s="2" t="s">
        <v>543</v>
      </c>
      <c r="I127" s="2" t="s">
        <v>544</v>
      </c>
      <c r="J127" s="2" t="s">
        <v>547</v>
      </c>
      <c r="K127" s="2" t="s">
        <v>550</v>
      </c>
      <c r="L127" s="2">
        <v>8533034037</v>
      </c>
      <c r="M127" s="2">
        <v>20000</v>
      </c>
      <c r="N127" s="2">
        <v>1580</v>
      </c>
      <c r="O127" s="2">
        <f t="shared" si="56"/>
        <v>18420</v>
      </c>
      <c r="P127" s="2">
        <v>810</v>
      </c>
      <c r="Q127" s="11">
        <f t="shared" ref="Q127:Q129" si="67">P127*R127</f>
        <v>0</v>
      </c>
      <c r="R127" s="11">
        <v>0</v>
      </c>
      <c r="S127" s="2">
        <v>36</v>
      </c>
      <c r="T127" s="7">
        <v>1</v>
      </c>
      <c r="U127" s="2">
        <f t="shared" si="24"/>
        <v>35</v>
      </c>
      <c r="V127" s="2"/>
      <c r="W127" s="8">
        <v>810</v>
      </c>
      <c r="X127" s="9"/>
      <c r="Y127" s="2">
        <f t="shared" ref="Y127:Y135" si="68">(T127*P127)-V127+W127</f>
        <v>1620</v>
      </c>
      <c r="Z127" s="2">
        <f t="shared" si="41"/>
        <v>27540</v>
      </c>
      <c r="AA127" s="2" t="s">
        <v>49</v>
      </c>
      <c r="AB127" s="2" t="s">
        <v>544</v>
      </c>
      <c r="AC127" s="2">
        <f t="shared" ref="AC127:AC129" si="69">R127*14</f>
        <v>0</v>
      </c>
      <c r="AD127" s="2">
        <v>0</v>
      </c>
      <c r="AE127" s="2">
        <f t="shared" ref="AE127:AE129" si="70">AC127*AD127</f>
        <v>0</v>
      </c>
      <c r="AF127" s="2">
        <f t="shared" ref="AF127:AF129" si="71">AC127</f>
        <v>0</v>
      </c>
      <c r="AG127" s="2">
        <v>0</v>
      </c>
      <c r="AH127" s="2" t="str">
        <f t="shared" ref="AH127:AH129" si="72">IF(AC127&gt;90,"YES","NO")</f>
        <v>NO</v>
      </c>
      <c r="AI127" s="2">
        <f t="shared" ref="AI127:AI129" si="73">Z127+AE127</f>
        <v>27540</v>
      </c>
      <c r="AJ127" s="2" t="s">
        <v>50</v>
      </c>
      <c r="AK127" s="2"/>
      <c r="AL127" s="2"/>
      <c r="AM127" s="2">
        <f t="shared" ref="AM127:AM129" si="74">P127*S127</f>
        <v>29160</v>
      </c>
      <c r="AN127" s="2">
        <f t="shared" ref="AN127:AN129" si="75">AM127-M127</f>
        <v>9160</v>
      </c>
      <c r="AO127" s="2">
        <v>0</v>
      </c>
      <c r="AP127" s="4">
        <f t="shared" ref="AP127:AP129" si="76">AN127/S127</f>
        <v>254.44444444444446</v>
      </c>
      <c r="AQ127" s="4">
        <f t="shared" ref="AQ127:AQ129" si="77">AP127*AO127</f>
        <v>0</v>
      </c>
      <c r="AR127" s="5">
        <v>46235</v>
      </c>
      <c r="AS127" s="5">
        <v>46239</v>
      </c>
      <c r="AT127" s="5">
        <v>46246</v>
      </c>
      <c r="AU127" s="2" t="str">
        <f t="shared" si="36"/>
        <v>ACTIVE</v>
      </c>
      <c r="AV127" s="2"/>
      <c r="AW127" s="2">
        <f t="shared" si="44"/>
        <v>0</v>
      </c>
      <c r="AX127" s="6"/>
      <c r="AY127" s="6"/>
    </row>
    <row r="128" spans="1:51" hidden="1" x14ac:dyDescent="0.25">
      <c r="A128" s="7" t="str">
        <f t="shared" si="66"/>
        <v>ACTIVE</v>
      </c>
      <c r="B128" s="2" t="s">
        <v>156</v>
      </c>
      <c r="C128" s="2" t="s">
        <v>157</v>
      </c>
      <c r="D128" s="2" t="s">
        <v>158</v>
      </c>
      <c r="E128" s="2" t="s">
        <v>542</v>
      </c>
      <c r="F128" s="2">
        <v>5320</v>
      </c>
      <c r="G128" s="2" t="s">
        <v>160</v>
      </c>
      <c r="H128" s="2" t="s">
        <v>543</v>
      </c>
      <c r="I128" s="2" t="s">
        <v>545</v>
      </c>
      <c r="J128" s="2" t="s">
        <v>548</v>
      </c>
      <c r="K128" s="2" t="s">
        <v>551</v>
      </c>
      <c r="L128" s="2">
        <v>7037011351</v>
      </c>
      <c r="M128" s="2">
        <v>20000</v>
      </c>
      <c r="N128" s="2">
        <v>1580</v>
      </c>
      <c r="O128" s="2">
        <f t="shared" si="56"/>
        <v>18420</v>
      </c>
      <c r="P128" s="2">
        <v>810</v>
      </c>
      <c r="Q128" s="11">
        <f t="shared" si="67"/>
        <v>0</v>
      </c>
      <c r="R128" s="11">
        <v>0</v>
      </c>
      <c r="S128" s="2">
        <v>36</v>
      </c>
      <c r="T128" s="7">
        <v>1</v>
      </c>
      <c r="U128" s="2">
        <f t="shared" si="24"/>
        <v>35</v>
      </c>
      <c r="V128" s="2"/>
      <c r="W128" s="8">
        <v>810</v>
      </c>
      <c r="X128" s="9"/>
      <c r="Y128" s="2">
        <f t="shared" si="68"/>
        <v>1620</v>
      </c>
      <c r="Z128" s="2">
        <f t="shared" si="41"/>
        <v>27540</v>
      </c>
      <c r="AA128" s="2" t="s">
        <v>49</v>
      </c>
      <c r="AB128" s="2" t="s">
        <v>545</v>
      </c>
      <c r="AC128" s="2">
        <f t="shared" si="69"/>
        <v>0</v>
      </c>
      <c r="AD128" s="2">
        <v>0</v>
      </c>
      <c r="AE128" s="2">
        <f t="shared" si="70"/>
        <v>0</v>
      </c>
      <c r="AF128" s="2">
        <f t="shared" si="71"/>
        <v>0</v>
      </c>
      <c r="AG128" s="2">
        <v>0</v>
      </c>
      <c r="AH128" s="2" t="str">
        <f t="shared" si="72"/>
        <v>NO</v>
      </c>
      <c r="AI128" s="2">
        <f t="shared" si="73"/>
        <v>27540</v>
      </c>
      <c r="AJ128" s="2" t="s">
        <v>50</v>
      </c>
      <c r="AK128" s="2"/>
      <c r="AL128" s="2"/>
      <c r="AM128" s="2">
        <f t="shared" si="74"/>
        <v>29160</v>
      </c>
      <c r="AN128" s="2">
        <f t="shared" si="75"/>
        <v>9160</v>
      </c>
      <c r="AO128" s="2">
        <v>0</v>
      </c>
      <c r="AP128" s="4">
        <f t="shared" si="76"/>
        <v>254.44444444444446</v>
      </c>
      <c r="AQ128" s="4">
        <f t="shared" si="77"/>
        <v>0</v>
      </c>
      <c r="AR128" s="5">
        <v>46235</v>
      </c>
      <c r="AS128" s="5">
        <v>46239</v>
      </c>
      <c r="AT128" s="5">
        <v>46246</v>
      </c>
      <c r="AU128" s="2" t="str">
        <f t="shared" si="36"/>
        <v>ACTIVE</v>
      </c>
      <c r="AV128" s="2"/>
      <c r="AW128" s="2">
        <f t="shared" ref="AW128:AW131" si="78">Q128+V128</f>
        <v>0</v>
      </c>
      <c r="AX128" s="6"/>
      <c r="AY128" s="6"/>
    </row>
    <row r="129" spans="1:51" hidden="1" x14ac:dyDescent="0.25">
      <c r="A129" s="7" t="str">
        <f t="shared" si="66"/>
        <v>ACTIVE</v>
      </c>
      <c r="B129" s="2" t="s">
        <v>156</v>
      </c>
      <c r="C129" s="2" t="s">
        <v>157</v>
      </c>
      <c r="D129" s="2" t="s">
        <v>158</v>
      </c>
      <c r="E129" s="2" t="s">
        <v>542</v>
      </c>
      <c r="F129" s="2">
        <v>7127</v>
      </c>
      <c r="G129" s="2" t="s">
        <v>160</v>
      </c>
      <c r="H129" s="2" t="s">
        <v>543</v>
      </c>
      <c r="I129" s="2" t="s">
        <v>546</v>
      </c>
      <c r="J129" s="2" t="s">
        <v>549</v>
      </c>
      <c r="K129" s="2" t="s">
        <v>552</v>
      </c>
      <c r="L129" s="2">
        <v>9193134173</v>
      </c>
      <c r="M129" s="2">
        <v>15000</v>
      </c>
      <c r="N129" s="2">
        <v>1260</v>
      </c>
      <c r="O129" s="2">
        <f t="shared" si="56"/>
        <v>13740</v>
      </c>
      <c r="P129" s="2">
        <v>730</v>
      </c>
      <c r="Q129" s="11">
        <f t="shared" si="67"/>
        <v>0</v>
      </c>
      <c r="R129" s="11">
        <v>0</v>
      </c>
      <c r="S129" s="2">
        <v>30</v>
      </c>
      <c r="T129" s="7">
        <v>1</v>
      </c>
      <c r="U129" s="2">
        <f t="shared" si="24"/>
        <v>29</v>
      </c>
      <c r="V129" s="2"/>
      <c r="W129" s="8">
        <v>730</v>
      </c>
      <c r="X129" s="9"/>
      <c r="Y129" s="2">
        <f t="shared" si="68"/>
        <v>1460</v>
      </c>
      <c r="Z129" s="2">
        <f t="shared" si="41"/>
        <v>20440</v>
      </c>
      <c r="AA129" s="2" t="s">
        <v>49</v>
      </c>
      <c r="AB129" s="2" t="s">
        <v>546</v>
      </c>
      <c r="AC129" s="2">
        <f t="shared" si="69"/>
        <v>0</v>
      </c>
      <c r="AD129" s="2">
        <v>0</v>
      </c>
      <c r="AE129" s="2">
        <f t="shared" si="70"/>
        <v>0</v>
      </c>
      <c r="AF129" s="2">
        <f t="shared" si="71"/>
        <v>0</v>
      </c>
      <c r="AG129" s="2">
        <v>0</v>
      </c>
      <c r="AH129" s="2" t="str">
        <f t="shared" si="72"/>
        <v>NO</v>
      </c>
      <c r="AI129" s="2">
        <f t="shared" si="73"/>
        <v>20440</v>
      </c>
      <c r="AJ129" s="2" t="s">
        <v>50</v>
      </c>
      <c r="AK129" s="2"/>
      <c r="AL129" s="2"/>
      <c r="AM129" s="2">
        <f t="shared" si="74"/>
        <v>21900</v>
      </c>
      <c r="AN129" s="2">
        <f t="shared" si="75"/>
        <v>6900</v>
      </c>
      <c r="AO129" s="2">
        <v>0</v>
      </c>
      <c r="AP129" s="4">
        <f t="shared" si="76"/>
        <v>230</v>
      </c>
      <c r="AQ129" s="4">
        <f t="shared" si="77"/>
        <v>0</v>
      </c>
      <c r="AR129" s="5">
        <v>46235</v>
      </c>
      <c r="AS129" s="5">
        <v>46239</v>
      </c>
      <c r="AT129" s="5">
        <v>46246</v>
      </c>
      <c r="AU129" s="2" t="str">
        <f t="shared" si="36"/>
        <v>ACTIVE</v>
      </c>
      <c r="AV129" s="2"/>
      <c r="AW129" s="2">
        <f t="shared" si="78"/>
        <v>0</v>
      </c>
      <c r="AX129" s="6"/>
      <c r="AY129" s="6"/>
    </row>
    <row r="130" spans="1:51" hidden="1" x14ac:dyDescent="0.25">
      <c r="A130" s="7" t="str">
        <f t="shared" ref="A130:A135" si="79">IF(Z130=0,"CLOSE","ACTIVE")</f>
        <v>ACTIVE</v>
      </c>
      <c r="B130" s="2" t="s">
        <v>156</v>
      </c>
      <c r="C130" s="2" t="s">
        <v>157</v>
      </c>
      <c r="D130" s="2" t="s">
        <v>158</v>
      </c>
      <c r="E130" s="2" t="s">
        <v>542</v>
      </c>
      <c r="F130" s="2">
        <v>1420</v>
      </c>
      <c r="G130" s="2" t="s">
        <v>160</v>
      </c>
      <c r="H130" s="18" t="s">
        <v>171</v>
      </c>
      <c r="I130" s="18" t="s">
        <v>554</v>
      </c>
      <c r="J130" s="18" t="s">
        <v>174</v>
      </c>
      <c r="K130" s="18" t="s">
        <v>557</v>
      </c>
      <c r="L130" s="18">
        <v>7500304927</v>
      </c>
      <c r="M130" s="18">
        <v>20000</v>
      </c>
      <c r="N130" s="18">
        <v>1580</v>
      </c>
      <c r="O130" s="2">
        <f t="shared" si="56"/>
        <v>18420</v>
      </c>
      <c r="P130" s="18">
        <v>810</v>
      </c>
      <c r="Q130" s="11">
        <f t="shared" ref="Q130:Q131" si="80">P130*R130</f>
        <v>0</v>
      </c>
      <c r="R130" s="11">
        <v>0</v>
      </c>
      <c r="S130" s="2">
        <v>36</v>
      </c>
      <c r="T130" s="7">
        <v>1</v>
      </c>
      <c r="U130" s="2">
        <f t="shared" si="24"/>
        <v>35</v>
      </c>
      <c r="V130" s="2"/>
      <c r="W130" s="8">
        <v>810</v>
      </c>
      <c r="X130" s="9"/>
      <c r="Y130" s="2">
        <f t="shared" si="68"/>
        <v>1620</v>
      </c>
      <c r="Z130" s="2">
        <f t="shared" si="41"/>
        <v>27540</v>
      </c>
      <c r="AA130" s="2" t="s">
        <v>57</v>
      </c>
      <c r="AB130" s="2" t="s">
        <v>554</v>
      </c>
      <c r="AC130" s="2">
        <f t="shared" ref="AC130:AC131" si="81">R130*14</f>
        <v>0</v>
      </c>
      <c r="AD130" s="2">
        <v>0</v>
      </c>
      <c r="AE130" s="2">
        <f t="shared" ref="AE130:AE131" si="82">AC130*AD130</f>
        <v>0</v>
      </c>
      <c r="AF130" s="2">
        <f t="shared" ref="AF130:AF131" si="83">AC130</f>
        <v>0</v>
      </c>
      <c r="AG130" s="2">
        <v>0</v>
      </c>
      <c r="AH130" s="2" t="str">
        <f t="shared" ref="AH130:AH131" si="84">IF(AC130&gt;90,"YES","NO")</f>
        <v>NO</v>
      </c>
      <c r="AI130" s="2">
        <f t="shared" ref="AI130:AI131" si="85">Z130+AE130</f>
        <v>27540</v>
      </c>
      <c r="AJ130" s="2" t="s">
        <v>50</v>
      </c>
      <c r="AK130" s="2"/>
      <c r="AL130" s="2"/>
      <c r="AM130" s="2">
        <f t="shared" ref="AM130:AM131" si="86">P130*S130</f>
        <v>29160</v>
      </c>
      <c r="AN130" s="2">
        <f t="shared" ref="AN130:AN131" si="87">AM130-M130</f>
        <v>9160</v>
      </c>
      <c r="AO130" s="2">
        <v>0</v>
      </c>
      <c r="AP130" s="4">
        <f t="shared" ref="AP130:AP131" si="88">AN130/S130</f>
        <v>254.44444444444446</v>
      </c>
      <c r="AQ130" s="4">
        <f t="shared" ref="AQ130:AQ131" si="89">AP130*AO130</f>
        <v>0</v>
      </c>
      <c r="AR130" s="19">
        <v>46239</v>
      </c>
      <c r="AS130" s="19">
        <v>46240</v>
      </c>
      <c r="AT130" s="19">
        <v>46248</v>
      </c>
      <c r="AU130" s="2" t="str">
        <f t="shared" si="36"/>
        <v>ACTIVE</v>
      </c>
      <c r="AV130" s="2"/>
      <c r="AW130" s="2">
        <f t="shared" si="78"/>
        <v>0</v>
      </c>
      <c r="AX130" s="6"/>
      <c r="AY130" s="6"/>
    </row>
    <row r="131" spans="1:51" hidden="1" x14ac:dyDescent="0.25">
      <c r="A131" s="7" t="str">
        <f t="shared" si="79"/>
        <v>ACTIVE</v>
      </c>
      <c r="B131" s="2" t="s">
        <v>156</v>
      </c>
      <c r="C131" s="2" t="s">
        <v>157</v>
      </c>
      <c r="D131" s="2" t="s">
        <v>158</v>
      </c>
      <c r="E131" s="2" t="s">
        <v>542</v>
      </c>
      <c r="F131" s="2">
        <v>6632</v>
      </c>
      <c r="G131" s="2" t="s">
        <v>160</v>
      </c>
      <c r="H131" s="18" t="s">
        <v>171</v>
      </c>
      <c r="I131" s="18" t="s">
        <v>555</v>
      </c>
      <c r="J131" s="18" t="s">
        <v>556</v>
      </c>
      <c r="K131" s="18" t="s">
        <v>558</v>
      </c>
      <c r="L131" s="18">
        <v>8859131330</v>
      </c>
      <c r="M131" s="18">
        <v>20000</v>
      </c>
      <c r="N131" s="18">
        <v>1580</v>
      </c>
      <c r="O131" s="2">
        <f t="shared" si="56"/>
        <v>18420</v>
      </c>
      <c r="P131" s="18">
        <v>810</v>
      </c>
      <c r="Q131" s="11">
        <f t="shared" si="80"/>
        <v>0</v>
      </c>
      <c r="R131" s="11">
        <v>0</v>
      </c>
      <c r="S131" s="2">
        <v>36</v>
      </c>
      <c r="T131" s="7">
        <v>1</v>
      </c>
      <c r="U131" s="2">
        <f t="shared" si="24"/>
        <v>35</v>
      </c>
      <c r="V131" s="2"/>
      <c r="W131" s="8">
        <v>810</v>
      </c>
      <c r="X131" s="9"/>
      <c r="Y131" s="2">
        <f t="shared" si="68"/>
        <v>1620</v>
      </c>
      <c r="Z131" s="2">
        <f t="shared" si="41"/>
        <v>27540</v>
      </c>
      <c r="AA131" s="2" t="s">
        <v>57</v>
      </c>
      <c r="AB131" s="2" t="s">
        <v>555</v>
      </c>
      <c r="AC131" s="2">
        <f t="shared" si="81"/>
        <v>0</v>
      </c>
      <c r="AD131" s="2">
        <v>0</v>
      </c>
      <c r="AE131" s="2">
        <f t="shared" si="82"/>
        <v>0</v>
      </c>
      <c r="AF131" s="2">
        <f t="shared" si="83"/>
        <v>0</v>
      </c>
      <c r="AG131" s="2">
        <v>0</v>
      </c>
      <c r="AH131" s="2" t="str">
        <f t="shared" si="84"/>
        <v>NO</v>
      </c>
      <c r="AI131" s="2">
        <f t="shared" si="85"/>
        <v>27540</v>
      </c>
      <c r="AJ131" s="2" t="s">
        <v>50</v>
      </c>
      <c r="AK131" s="2"/>
      <c r="AL131" s="2"/>
      <c r="AM131" s="2">
        <f t="shared" si="86"/>
        <v>29160</v>
      </c>
      <c r="AN131" s="2">
        <f t="shared" si="87"/>
        <v>9160</v>
      </c>
      <c r="AO131" s="2">
        <v>0</v>
      </c>
      <c r="AP131" s="4">
        <f t="shared" si="88"/>
        <v>254.44444444444446</v>
      </c>
      <c r="AQ131" s="4">
        <f t="shared" si="89"/>
        <v>0</v>
      </c>
      <c r="AR131" s="19">
        <v>46239</v>
      </c>
      <c r="AS131" s="19">
        <v>46240</v>
      </c>
      <c r="AT131" s="19">
        <v>46248</v>
      </c>
      <c r="AU131" s="2" t="str">
        <f t="shared" si="36"/>
        <v>ACTIVE</v>
      </c>
      <c r="AV131" s="2"/>
      <c r="AW131" s="2">
        <f t="shared" si="78"/>
        <v>0</v>
      </c>
      <c r="AX131" s="6"/>
      <c r="AY131" s="6"/>
    </row>
    <row r="132" spans="1:51" hidden="1" x14ac:dyDescent="0.25">
      <c r="A132" s="7" t="str">
        <f t="shared" si="79"/>
        <v>ACTIVE</v>
      </c>
      <c r="B132" s="2" t="s">
        <v>156</v>
      </c>
      <c r="C132" s="2" t="s">
        <v>157</v>
      </c>
      <c r="D132" s="2" t="s">
        <v>158</v>
      </c>
      <c r="E132" s="2" t="s">
        <v>542</v>
      </c>
      <c r="F132" s="18">
        <v>4154</v>
      </c>
      <c r="G132" s="2" t="s">
        <v>160</v>
      </c>
      <c r="H132" s="18" t="s">
        <v>157</v>
      </c>
      <c r="I132" s="2" t="s">
        <v>561</v>
      </c>
      <c r="J132" s="18" t="s">
        <v>453</v>
      </c>
      <c r="K132" s="18" t="s">
        <v>566</v>
      </c>
      <c r="L132" s="18">
        <v>8650977845</v>
      </c>
      <c r="M132" s="18">
        <v>30000</v>
      </c>
      <c r="N132" s="18">
        <v>2200</v>
      </c>
      <c r="O132" s="18">
        <f t="shared" si="56"/>
        <v>27800</v>
      </c>
      <c r="P132" s="18">
        <v>1000</v>
      </c>
      <c r="Q132" s="11">
        <f t="shared" ref="Q132:Q135" si="90">P132*R132</f>
        <v>0</v>
      </c>
      <c r="R132" s="11">
        <v>0</v>
      </c>
      <c r="S132" s="2">
        <v>41</v>
      </c>
      <c r="T132" s="7">
        <v>0</v>
      </c>
      <c r="U132" s="2">
        <f t="shared" si="24"/>
        <v>41</v>
      </c>
      <c r="V132" s="2"/>
      <c r="W132" s="8"/>
      <c r="X132" s="9"/>
      <c r="Y132" s="2">
        <f t="shared" si="68"/>
        <v>0</v>
      </c>
      <c r="Z132" s="2">
        <f t="shared" si="41"/>
        <v>41000</v>
      </c>
      <c r="AA132" s="2" t="s">
        <v>67</v>
      </c>
      <c r="AB132" s="2" t="s">
        <v>561</v>
      </c>
      <c r="AC132" s="2">
        <f t="shared" ref="AC132:AC135" si="91">R132*14</f>
        <v>0</v>
      </c>
      <c r="AD132" s="2">
        <v>0</v>
      </c>
      <c r="AE132" s="2">
        <f t="shared" ref="AE132:AE135" si="92">AC132*AD132</f>
        <v>0</v>
      </c>
      <c r="AF132" s="2">
        <f t="shared" ref="AF132:AF135" si="93">AC132</f>
        <v>0</v>
      </c>
      <c r="AG132" s="2">
        <v>0</v>
      </c>
      <c r="AH132" s="2" t="str">
        <f t="shared" ref="AH132:AH135" si="94">IF(AC132&gt;90,"YES","NO")</f>
        <v>NO</v>
      </c>
      <c r="AI132" s="2">
        <f t="shared" ref="AI132:AI135" si="95">Z132+AE132</f>
        <v>41000</v>
      </c>
      <c r="AJ132" s="2" t="s">
        <v>50</v>
      </c>
      <c r="AK132" s="2"/>
      <c r="AL132" s="2"/>
      <c r="AM132" s="2">
        <f t="shared" ref="AM132:AM136" si="96">P132*S132</f>
        <v>41000</v>
      </c>
      <c r="AN132" s="2">
        <f t="shared" ref="AN132:AN136" si="97">AM132-M132</f>
        <v>11000</v>
      </c>
      <c r="AO132" s="2">
        <v>0</v>
      </c>
      <c r="AP132" s="4">
        <f t="shared" ref="AP132:AP136" si="98">AN132/S132</f>
        <v>268.29268292682929</v>
      </c>
      <c r="AQ132" s="4">
        <f t="shared" ref="AQ132:AQ135" si="99">AP132*AO132</f>
        <v>0</v>
      </c>
      <c r="AR132" s="19">
        <v>46242</v>
      </c>
      <c r="AS132" s="19">
        <v>46246</v>
      </c>
      <c r="AT132" s="19">
        <v>46254</v>
      </c>
      <c r="AU132" s="2" t="str">
        <f t="shared" ref="AU132:AU135" si="100">IF(Z132=0,"CLOSE","ACTIVE")</f>
        <v>ACTIVE</v>
      </c>
      <c r="AV132" s="2"/>
      <c r="AW132" s="2">
        <f t="shared" ref="AW132:AW135" si="101">Q132+V132</f>
        <v>0</v>
      </c>
      <c r="AX132" s="6"/>
      <c r="AY132" s="6"/>
    </row>
    <row r="133" spans="1:51" hidden="1" x14ac:dyDescent="0.25">
      <c r="A133" s="7" t="str">
        <f t="shared" si="79"/>
        <v>ACTIVE</v>
      </c>
      <c r="B133" s="2" t="s">
        <v>156</v>
      </c>
      <c r="C133" s="2" t="s">
        <v>157</v>
      </c>
      <c r="D133" s="2" t="s">
        <v>158</v>
      </c>
      <c r="E133" s="2" t="s">
        <v>542</v>
      </c>
      <c r="F133" s="18">
        <v>3307</v>
      </c>
      <c r="G133" s="2" t="s">
        <v>160</v>
      </c>
      <c r="H133" s="18" t="s">
        <v>157</v>
      </c>
      <c r="I133" s="2" t="s">
        <v>562</v>
      </c>
      <c r="J133" s="18" t="s">
        <v>565</v>
      </c>
      <c r="K133" s="18" t="s">
        <v>567</v>
      </c>
      <c r="L133" s="18">
        <v>7599223378</v>
      </c>
      <c r="M133" s="18">
        <v>30000</v>
      </c>
      <c r="N133" s="18">
        <v>2200</v>
      </c>
      <c r="O133" s="18">
        <f t="shared" si="56"/>
        <v>27800</v>
      </c>
      <c r="P133" s="18">
        <v>1000</v>
      </c>
      <c r="Q133" s="11">
        <f t="shared" si="90"/>
        <v>0</v>
      </c>
      <c r="R133" s="11">
        <v>0</v>
      </c>
      <c r="S133" s="2">
        <v>41</v>
      </c>
      <c r="T133" s="7">
        <v>0</v>
      </c>
      <c r="U133" s="2">
        <f t="shared" si="24"/>
        <v>41</v>
      </c>
      <c r="V133" s="2"/>
      <c r="W133" s="8"/>
      <c r="X133" s="9"/>
      <c r="Y133" s="2">
        <f t="shared" si="68"/>
        <v>0</v>
      </c>
      <c r="Z133" s="2">
        <f t="shared" si="41"/>
        <v>41000</v>
      </c>
      <c r="AA133" s="2" t="s">
        <v>67</v>
      </c>
      <c r="AB133" s="2" t="s">
        <v>562</v>
      </c>
      <c r="AC133" s="2">
        <f t="shared" si="91"/>
        <v>0</v>
      </c>
      <c r="AD133" s="2">
        <v>0</v>
      </c>
      <c r="AE133" s="2">
        <f t="shared" si="92"/>
        <v>0</v>
      </c>
      <c r="AF133" s="2">
        <f t="shared" si="93"/>
        <v>0</v>
      </c>
      <c r="AG133" s="2">
        <v>0</v>
      </c>
      <c r="AH133" s="2" t="str">
        <f t="shared" si="94"/>
        <v>NO</v>
      </c>
      <c r="AI133" s="2">
        <f t="shared" si="95"/>
        <v>41000</v>
      </c>
      <c r="AJ133" s="2" t="s">
        <v>50</v>
      </c>
      <c r="AK133" s="2"/>
      <c r="AL133" s="2"/>
      <c r="AM133" s="2">
        <f t="shared" si="96"/>
        <v>41000</v>
      </c>
      <c r="AN133" s="2">
        <f t="shared" si="97"/>
        <v>11000</v>
      </c>
      <c r="AO133" s="2">
        <v>0</v>
      </c>
      <c r="AP133" s="4">
        <f t="shared" si="98"/>
        <v>268.29268292682929</v>
      </c>
      <c r="AQ133" s="4">
        <f t="shared" si="99"/>
        <v>0</v>
      </c>
      <c r="AR133" s="19">
        <v>46242</v>
      </c>
      <c r="AS133" s="19">
        <v>46246</v>
      </c>
      <c r="AT133" s="19">
        <v>46254</v>
      </c>
      <c r="AU133" s="2" t="str">
        <f t="shared" si="100"/>
        <v>ACTIVE</v>
      </c>
      <c r="AV133" s="2"/>
      <c r="AW133" s="2">
        <f t="shared" si="101"/>
        <v>0</v>
      </c>
      <c r="AX133" s="6"/>
      <c r="AY133" s="6"/>
    </row>
    <row r="134" spans="1:51" hidden="1" x14ac:dyDescent="0.25">
      <c r="A134" s="7" t="str">
        <f t="shared" si="79"/>
        <v>ACTIVE</v>
      </c>
      <c r="B134" s="2" t="s">
        <v>156</v>
      </c>
      <c r="C134" s="2" t="s">
        <v>157</v>
      </c>
      <c r="D134" s="2" t="s">
        <v>158</v>
      </c>
      <c r="E134" s="2" t="s">
        <v>542</v>
      </c>
      <c r="F134" s="18">
        <v>8523</v>
      </c>
      <c r="G134" s="2" t="s">
        <v>160</v>
      </c>
      <c r="H134" s="18" t="s">
        <v>157</v>
      </c>
      <c r="I134" s="2" t="s">
        <v>563</v>
      </c>
      <c r="J134" s="18" t="s">
        <v>294</v>
      </c>
      <c r="K134" s="18" t="s">
        <v>568</v>
      </c>
      <c r="L134" s="18">
        <v>9259505033</v>
      </c>
      <c r="M134" s="18">
        <v>30000</v>
      </c>
      <c r="N134" s="18">
        <v>2200</v>
      </c>
      <c r="O134" s="18">
        <f t="shared" si="56"/>
        <v>27800</v>
      </c>
      <c r="P134" s="18">
        <v>1000</v>
      </c>
      <c r="Q134" s="11">
        <f t="shared" si="90"/>
        <v>0</v>
      </c>
      <c r="R134" s="11">
        <v>0</v>
      </c>
      <c r="S134" s="2">
        <v>41</v>
      </c>
      <c r="T134" s="7">
        <v>0</v>
      </c>
      <c r="U134" s="2">
        <f t="shared" si="24"/>
        <v>41</v>
      </c>
      <c r="V134" s="2"/>
      <c r="W134" s="8"/>
      <c r="X134" s="9"/>
      <c r="Y134" s="2">
        <f t="shared" si="68"/>
        <v>0</v>
      </c>
      <c r="Z134" s="2">
        <f t="shared" si="41"/>
        <v>41000</v>
      </c>
      <c r="AA134" s="2" t="s">
        <v>67</v>
      </c>
      <c r="AB134" s="2" t="s">
        <v>563</v>
      </c>
      <c r="AC134" s="2">
        <f t="shared" si="91"/>
        <v>0</v>
      </c>
      <c r="AD134" s="2">
        <v>0</v>
      </c>
      <c r="AE134" s="2">
        <f t="shared" si="92"/>
        <v>0</v>
      </c>
      <c r="AF134" s="2">
        <f t="shared" si="93"/>
        <v>0</v>
      </c>
      <c r="AG134" s="2">
        <v>0</v>
      </c>
      <c r="AH134" s="2" t="str">
        <f t="shared" si="94"/>
        <v>NO</v>
      </c>
      <c r="AI134" s="2">
        <f t="shared" si="95"/>
        <v>41000</v>
      </c>
      <c r="AJ134" s="2" t="s">
        <v>50</v>
      </c>
      <c r="AK134" s="2"/>
      <c r="AL134" s="2"/>
      <c r="AM134" s="2">
        <f t="shared" si="96"/>
        <v>41000</v>
      </c>
      <c r="AN134" s="2">
        <f t="shared" si="97"/>
        <v>11000</v>
      </c>
      <c r="AO134" s="2">
        <v>0</v>
      </c>
      <c r="AP134" s="4">
        <f t="shared" si="98"/>
        <v>268.29268292682929</v>
      </c>
      <c r="AQ134" s="4">
        <f t="shared" si="99"/>
        <v>0</v>
      </c>
      <c r="AR134" s="19">
        <v>46242</v>
      </c>
      <c r="AS134" s="19">
        <v>46246</v>
      </c>
      <c r="AT134" s="19">
        <v>46254</v>
      </c>
      <c r="AU134" s="2" t="str">
        <f t="shared" si="100"/>
        <v>ACTIVE</v>
      </c>
      <c r="AV134" s="2"/>
      <c r="AW134" s="2">
        <f t="shared" si="101"/>
        <v>0</v>
      </c>
      <c r="AX134" s="6"/>
      <c r="AY134" s="6"/>
    </row>
    <row r="135" spans="1:51" hidden="1" x14ac:dyDescent="0.25">
      <c r="A135" s="7" t="str">
        <f t="shared" si="79"/>
        <v>ACTIVE</v>
      </c>
      <c r="B135" s="2" t="s">
        <v>156</v>
      </c>
      <c r="C135" s="2" t="s">
        <v>157</v>
      </c>
      <c r="D135" s="2" t="s">
        <v>158</v>
      </c>
      <c r="E135" s="2" t="s">
        <v>542</v>
      </c>
      <c r="F135" s="18">
        <v>2202</v>
      </c>
      <c r="G135" s="2" t="s">
        <v>160</v>
      </c>
      <c r="H135" s="18" t="s">
        <v>560</v>
      </c>
      <c r="I135" s="2" t="s">
        <v>564</v>
      </c>
      <c r="J135" s="18" t="s">
        <v>59</v>
      </c>
      <c r="K135" s="18" t="s">
        <v>455</v>
      </c>
      <c r="L135" s="18">
        <v>7500502110</v>
      </c>
      <c r="M135" s="18">
        <v>20000</v>
      </c>
      <c r="N135" s="18">
        <v>1580</v>
      </c>
      <c r="O135" s="2">
        <f t="shared" ref="O135:O136" si="102">M135-N135</f>
        <v>18420</v>
      </c>
      <c r="P135" s="18">
        <v>810</v>
      </c>
      <c r="Q135" s="11">
        <f t="shared" si="90"/>
        <v>0</v>
      </c>
      <c r="R135" s="11">
        <v>0</v>
      </c>
      <c r="S135" s="2">
        <v>36</v>
      </c>
      <c r="T135" s="7">
        <v>1</v>
      </c>
      <c r="U135" s="2">
        <f t="shared" si="24"/>
        <v>35</v>
      </c>
      <c r="V135" s="2"/>
      <c r="W135" s="8">
        <v>810</v>
      </c>
      <c r="X135" s="9"/>
      <c r="Y135" s="2">
        <f t="shared" si="68"/>
        <v>1620</v>
      </c>
      <c r="Z135" s="2">
        <f t="shared" si="41"/>
        <v>27540</v>
      </c>
      <c r="AA135" s="2" t="s">
        <v>57</v>
      </c>
      <c r="AB135" s="2" t="s">
        <v>564</v>
      </c>
      <c r="AC135" s="2">
        <f t="shared" si="91"/>
        <v>0</v>
      </c>
      <c r="AD135" s="2">
        <v>0</v>
      </c>
      <c r="AE135" s="2">
        <f t="shared" si="92"/>
        <v>0</v>
      </c>
      <c r="AF135" s="2">
        <f t="shared" si="93"/>
        <v>0</v>
      </c>
      <c r="AG135" s="2">
        <v>0</v>
      </c>
      <c r="AH135" s="2" t="str">
        <f t="shared" si="94"/>
        <v>NO</v>
      </c>
      <c r="AI135" s="2">
        <f t="shared" si="95"/>
        <v>27540</v>
      </c>
      <c r="AJ135" s="2" t="s">
        <v>50</v>
      </c>
      <c r="AK135" s="2"/>
      <c r="AL135" s="2"/>
      <c r="AM135" s="2">
        <f t="shared" si="96"/>
        <v>29160</v>
      </c>
      <c r="AN135" s="2">
        <f t="shared" si="97"/>
        <v>9160</v>
      </c>
      <c r="AO135" s="2">
        <v>0</v>
      </c>
      <c r="AP135" s="4">
        <f t="shared" si="98"/>
        <v>254.44444444444446</v>
      </c>
      <c r="AQ135" s="4">
        <f t="shared" si="99"/>
        <v>0</v>
      </c>
      <c r="AR135" s="19">
        <v>46239</v>
      </c>
      <c r="AS135" s="19">
        <v>46246</v>
      </c>
      <c r="AT135" s="19">
        <v>46248</v>
      </c>
      <c r="AU135" s="2" t="str">
        <f t="shared" si="100"/>
        <v>ACTIVE</v>
      </c>
      <c r="AV135" s="2"/>
      <c r="AW135" s="2">
        <f t="shared" si="101"/>
        <v>0</v>
      </c>
      <c r="AX135" s="6"/>
      <c r="AY135" s="6"/>
    </row>
    <row r="136" spans="1:51" hidden="1" x14ac:dyDescent="0.25">
      <c r="A136" s="7" t="str">
        <f t="shared" ref="A136" si="103">IF(Z136=0,"CLOSE","ACTIVE")</f>
        <v>ACTIVE</v>
      </c>
      <c r="B136" s="2" t="s">
        <v>156</v>
      </c>
      <c r="C136" s="2" t="s">
        <v>157</v>
      </c>
      <c r="D136" s="2" t="s">
        <v>158</v>
      </c>
      <c r="E136" s="2" t="s">
        <v>542</v>
      </c>
      <c r="F136" s="18">
        <v>2059</v>
      </c>
      <c r="G136" s="2" t="s">
        <v>160</v>
      </c>
      <c r="H136" s="18" t="s">
        <v>569</v>
      </c>
      <c r="I136" s="18" t="s">
        <v>570</v>
      </c>
      <c r="J136" s="18" t="s">
        <v>414</v>
      </c>
      <c r="K136" s="18" t="s">
        <v>571</v>
      </c>
      <c r="L136" s="18">
        <v>9917783324</v>
      </c>
      <c r="M136" s="18">
        <v>30000</v>
      </c>
      <c r="N136" s="18">
        <v>2200</v>
      </c>
      <c r="O136" s="18">
        <f t="shared" si="102"/>
        <v>27800</v>
      </c>
      <c r="P136" s="18">
        <v>1000</v>
      </c>
      <c r="Q136" s="11">
        <f t="shared" ref="Q136" si="104">P136*R136</f>
        <v>0</v>
      </c>
      <c r="R136" s="11">
        <v>0</v>
      </c>
      <c r="S136" s="2">
        <v>41</v>
      </c>
      <c r="T136" s="7">
        <v>0</v>
      </c>
      <c r="U136" s="2">
        <f t="shared" si="24"/>
        <v>41</v>
      </c>
      <c r="V136" s="2"/>
      <c r="W136" s="8">
        <v>0</v>
      </c>
      <c r="X136" s="9"/>
      <c r="Y136" s="2">
        <f t="shared" ref="Y136" si="105">(T136*P136)-V136+W136</f>
        <v>0</v>
      </c>
      <c r="Z136" s="2">
        <f t="shared" ref="Z136" si="106">P136*(R136+U136)+V136-W136</f>
        <v>41000</v>
      </c>
      <c r="AA136" s="2" t="s">
        <v>67</v>
      </c>
      <c r="AB136" s="2" t="s">
        <v>570</v>
      </c>
      <c r="AC136" s="2">
        <f t="shared" ref="AC136" si="107">R136*14</f>
        <v>0</v>
      </c>
      <c r="AD136" s="2">
        <v>0</v>
      </c>
      <c r="AE136" s="2">
        <f t="shared" ref="AE136" si="108">AC136*AD136</f>
        <v>0</v>
      </c>
      <c r="AF136" s="2">
        <f t="shared" ref="AF136" si="109">AC136</f>
        <v>0</v>
      </c>
      <c r="AG136" s="2">
        <v>0</v>
      </c>
      <c r="AH136" s="2" t="str">
        <f t="shared" ref="AH136" si="110">IF(AC136&gt;90,"YES","NO")</f>
        <v>NO</v>
      </c>
      <c r="AI136" s="2">
        <f t="shared" ref="AI136" si="111">Z136+AE136</f>
        <v>41000</v>
      </c>
      <c r="AJ136" s="2" t="s">
        <v>50</v>
      </c>
      <c r="AK136" s="2"/>
      <c r="AL136" s="2"/>
      <c r="AM136" s="2">
        <f t="shared" ref="AM136" si="112">P136*S136</f>
        <v>41000</v>
      </c>
      <c r="AN136" s="2">
        <f t="shared" ref="AN136" si="113">AM136-M136</f>
        <v>11000</v>
      </c>
      <c r="AO136" s="2">
        <v>0</v>
      </c>
      <c r="AP136" s="4">
        <f t="shared" ref="AP136" si="114">AN136/S136</f>
        <v>268.29268292682929</v>
      </c>
      <c r="AQ136" s="4">
        <f t="shared" ref="AQ136" si="115">AP136*AO136</f>
        <v>0</v>
      </c>
      <c r="AR136" s="19">
        <v>46242</v>
      </c>
      <c r="AS136" s="19">
        <v>46248</v>
      </c>
      <c r="AT136" s="19">
        <v>46254</v>
      </c>
      <c r="AU136" s="2" t="str">
        <f t="shared" ref="AU136" si="116">IF(Z136=0,"CLOSE","ACTIVE")</f>
        <v>ACTIVE</v>
      </c>
      <c r="AV136" s="2"/>
      <c r="AW136" s="2">
        <f t="shared" ref="AW136" si="117">Q136+V136</f>
        <v>0</v>
      </c>
      <c r="AX136" s="6"/>
      <c r="AY136" s="6"/>
    </row>
    <row r="137" spans="1:51" x14ac:dyDescent="0.25">
      <c r="A137" s="7"/>
      <c r="B137" s="2"/>
      <c r="C137" s="2"/>
      <c r="D137" s="2"/>
      <c r="E137" s="2"/>
      <c r="F137" s="2"/>
      <c r="G137" s="2"/>
      <c r="H137" s="18"/>
      <c r="I137" s="18"/>
      <c r="J137" s="18"/>
      <c r="K137" s="18"/>
      <c r="L137" s="18"/>
      <c r="M137" s="18"/>
      <c r="N137" s="18"/>
      <c r="O137" s="2"/>
      <c r="P137" s="18"/>
      <c r="Q137" s="11"/>
      <c r="R137" s="11"/>
      <c r="S137" s="2"/>
      <c r="T137" s="7"/>
      <c r="U137" s="2"/>
      <c r="V137" s="2"/>
      <c r="W137" s="8"/>
      <c r="X137" s="9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4"/>
      <c r="AQ137" s="4"/>
      <c r="AR137" s="19"/>
      <c r="AS137" s="19"/>
      <c r="AT137" s="19"/>
      <c r="AU137" s="2"/>
      <c r="AV137" s="2"/>
      <c r="AW137" s="2"/>
      <c r="AX137" s="6"/>
      <c r="AY137" s="6"/>
    </row>
    <row r="138" spans="1:51" x14ac:dyDescent="0.25">
      <c r="A138" s="7"/>
      <c r="B138" s="2"/>
      <c r="C138" s="2"/>
      <c r="D138" s="2"/>
      <c r="E138" s="2"/>
      <c r="F138" s="2"/>
      <c r="G138" s="2"/>
      <c r="H138" s="18"/>
      <c r="I138" s="18"/>
      <c r="J138" s="18"/>
      <c r="K138" s="18"/>
      <c r="L138" s="18"/>
      <c r="M138" s="18"/>
      <c r="N138" s="18"/>
      <c r="O138" s="2"/>
      <c r="P138" s="18"/>
      <c r="Q138" s="11"/>
      <c r="R138" s="11"/>
      <c r="S138" s="2"/>
      <c r="T138" s="7"/>
      <c r="U138" s="2"/>
      <c r="V138" s="2"/>
      <c r="W138" s="8"/>
      <c r="X138" s="9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4"/>
      <c r="AQ138" s="4"/>
      <c r="AR138" s="19"/>
      <c r="AS138" s="19"/>
      <c r="AT138" s="19"/>
      <c r="AU138" s="2"/>
      <c r="AV138" s="2"/>
      <c r="AW138" s="2"/>
      <c r="AX138" s="6"/>
      <c r="AY138" s="6"/>
    </row>
    <row r="139" spans="1:51" x14ac:dyDescent="0.25">
      <c r="A139" s="7"/>
      <c r="B139" s="2"/>
      <c r="C139" s="2"/>
      <c r="D139" s="2"/>
      <c r="E139" s="2"/>
      <c r="F139" s="2"/>
      <c r="G139" s="2"/>
      <c r="H139" s="18"/>
      <c r="I139" s="18"/>
      <c r="J139" s="18"/>
      <c r="K139" s="18"/>
      <c r="L139" s="18"/>
      <c r="M139" s="18"/>
      <c r="N139" s="18"/>
      <c r="O139" s="2"/>
      <c r="P139" s="18"/>
      <c r="Q139" s="11"/>
      <c r="R139" s="11"/>
      <c r="S139" s="2"/>
      <c r="T139" s="7"/>
      <c r="U139" s="2"/>
      <c r="V139" s="2"/>
      <c r="W139" s="8"/>
      <c r="X139" s="9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4"/>
      <c r="AQ139" s="4"/>
      <c r="AR139" s="19"/>
      <c r="AS139" s="19"/>
      <c r="AT139" s="19"/>
      <c r="AU139" s="2"/>
      <c r="AV139" s="2"/>
      <c r="AW139" s="2"/>
      <c r="AX139" s="6"/>
      <c r="AY139" s="6"/>
    </row>
    <row r="140" spans="1:51" x14ac:dyDescent="0.25">
      <c r="A140" s="7"/>
      <c r="B140" s="2"/>
      <c r="C140" s="2"/>
      <c r="D140" s="2"/>
      <c r="E140" s="2"/>
      <c r="F140" s="2"/>
      <c r="G140" s="2"/>
      <c r="H140" s="18"/>
      <c r="I140" s="18"/>
      <c r="J140" s="18"/>
      <c r="K140" s="18"/>
      <c r="L140" s="18"/>
      <c r="M140" s="18"/>
      <c r="N140" s="18"/>
      <c r="O140" s="2"/>
      <c r="P140" s="18"/>
      <c r="Q140" s="11"/>
      <c r="R140" s="11"/>
      <c r="S140" s="2"/>
      <c r="T140" s="7"/>
      <c r="U140" s="2"/>
      <c r="V140" s="2"/>
      <c r="W140" s="8"/>
      <c r="X140" s="9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4"/>
      <c r="AQ140" s="4"/>
      <c r="AR140" s="19"/>
      <c r="AS140" s="19"/>
      <c r="AT140" s="19"/>
      <c r="AU140" s="2"/>
      <c r="AV140" s="2"/>
      <c r="AW140" s="2"/>
      <c r="AX140" s="6"/>
      <c r="AY140" s="6"/>
    </row>
    <row r="141" spans="1:51" x14ac:dyDescent="0.25">
      <c r="A141" s="7"/>
      <c r="B141" s="2"/>
      <c r="C141" s="2"/>
      <c r="D141" s="2"/>
      <c r="E141" s="2"/>
      <c r="F141" s="2"/>
      <c r="G141" s="2"/>
      <c r="H141" s="18"/>
      <c r="I141" s="18"/>
      <c r="J141" s="18"/>
      <c r="K141" s="18"/>
      <c r="L141" s="18"/>
      <c r="M141" s="18"/>
      <c r="N141" s="18"/>
      <c r="O141" s="2"/>
      <c r="P141" s="18"/>
      <c r="Q141" s="11"/>
      <c r="R141" s="11"/>
      <c r="S141" s="2"/>
      <c r="T141" s="7"/>
      <c r="U141" s="2"/>
      <c r="V141" s="2"/>
      <c r="W141" s="8"/>
      <c r="X141" s="9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4"/>
      <c r="AQ141" s="4"/>
      <c r="AR141" s="19"/>
      <c r="AS141" s="19"/>
      <c r="AT141" s="19"/>
      <c r="AU141" s="2"/>
      <c r="AV141" s="2"/>
      <c r="AW141" s="2"/>
      <c r="AX141" s="6"/>
      <c r="AY141" s="6"/>
    </row>
    <row r="142" spans="1:51" x14ac:dyDescent="0.2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11"/>
      <c r="S142" s="2"/>
      <c r="T142" s="7"/>
      <c r="U142" s="2"/>
      <c r="V142" s="2"/>
      <c r="W142" s="8"/>
      <c r="X142" s="9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4"/>
      <c r="AQ142" s="4"/>
      <c r="AR142" s="5"/>
      <c r="AS142" s="5"/>
      <c r="AT142" s="5"/>
      <c r="AU142" s="2"/>
      <c r="AV142" s="2"/>
      <c r="AW142" s="2"/>
      <c r="AX142" s="6"/>
      <c r="AY142" s="6"/>
    </row>
    <row r="143" spans="1:51" x14ac:dyDescent="0.2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1"/>
      <c r="R143" s="11"/>
      <c r="S143" s="2"/>
      <c r="T143" s="7"/>
      <c r="U143" s="2"/>
      <c r="V143" s="2"/>
      <c r="W143" s="8"/>
      <c r="X143" s="9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4"/>
      <c r="AQ143" s="4"/>
      <c r="AR143" s="5"/>
      <c r="AS143" s="5"/>
      <c r="AT143" s="5"/>
      <c r="AU143" s="2"/>
      <c r="AV143" s="2"/>
      <c r="AW143" s="2"/>
      <c r="AX143" s="6"/>
      <c r="AY143" s="6"/>
    </row>
    <row r="144" spans="1:51" x14ac:dyDescent="0.25">
      <c r="A144" s="74"/>
      <c r="B144" s="74"/>
      <c r="C144" s="74"/>
      <c r="D144" s="74"/>
      <c r="E144" s="74"/>
      <c r="F144" s="74"/>
      <c r="G144" s="74"/>
      <c r="H144" s="74"/>
      <c r="I144" s="75"/>
      <c r="J144" s="74"/>
      <c r="K144" s="74"/>
      <c r="L144" s="75"/>
      <c r="M144" s="75"/>
      <c r="N144" s="75"/>
      <c r="O144" s="75"/>
      <c r="P144" s="76"/>
      <c r="Q144" s="76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</row>
    <row r="145" spans="1:51" ht="18.75" x14ac:dyDescent="0.25">
      <c r="A145" s="74"/>
      <c r="B145" s="74"/>
      <c r="C145" s="74"/>
      <c r="D145" s="74"/>
      <c r="E145" s="74"/>
      <c r="F145" s="74"/>
      <c r="G145" s="74"/>
      <c r="H145" s="74"/>
      <c r="I145" s="75"/>
      <c r="J145" s="74"/>
      <c r="K145" s="74"/>
      <c r="L145" s="75"/>
      <c r="M145" s="2">
        <f>SUM(M3:M144)</f>
        <v>2570000</v>
      </c>
      <c r="N145" s="2">
        <f>SUM(N3:N144)</f>
        <v>201120</v>
      </c>
      <c r="O145" s="2">
        <f>SUM(O3:O144)</f>
        <v>2368880</v>
      </c>
      <c r="P145" s="75"/>
      <c r="Q145" s="75"/>
      <c r="R145" s="75"/>
      <c r="S145" s="75"/>
      <c r="T145" s="75"/>
      <c r="U145" s="75"/>
      <c r="V145" s="75"/>
      <c r="W145" s="75"/>
      <c r="X145" s="75"/>
      <c r="Y145" s="2">
        <f>SUM(Y3:Y144)</f>
        <v>831000</v>
      </c>
      <c r="Z145" s="77">
        <f>SUM(Z3:Z144)</f>
        <v>2891820</v>
      </c>
      <c r="AA145" s="75"/>
      <c r="AB145" s="75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7">
        <f>SUM(AM3:AM144)</f>
        <v>3722820</v>
      </c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</row>
    <row r="146" spans="1:51" x14ac:dyDescent="0.25">
      <c r="A146" s="74"/>
      <c r="B146" s="74"/>
      <c r="C146" s="74"/>
      <c r="D146" s="74"/>
      <c r="E146" s="74"/>
      <c r="F146" s="74"/>
      <c r="G146" s="74"/>
      <c r="H146" s="74"/>
      <c r="I146" s="75"/>
      <c r="J146" s="74"/>
      <c r="K146" s="74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2"/>
      <c r="AA146" s="75"/>
      <c r="AB146" s="75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</row>
    <row r="147" spans="1:51" ht="15.75" x14ac:dyDescent="0.25">
      <c r="A147" s="74"/>
      <c r="B147" s="74"/>
      <c r="C147" s="74"/>
      <c r="D147" s="74"/>
      <c r="E147" s="74"/>
      <c r="F147" s="74"/>
      <c r="G147" s="74"/>
      <c r="H147" s="74"/>
      <c r="I147" s="75"/>
      <c r="J147" s="74"/>
      <c r="K147" s="74"/>
      <c r="L147" s="75"/>
      <c r="M147" s="75"/>
      <c r="N147" s="75"/>
      <c r="O147" s="75"/>
      <c r="P147" s="75"/>
      <c r="Q147" s="75"/>
      <c r="R147" s="78">
        <v>46249</v>
      </c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</row>
    <row r="148" spans="1:51" x14ac:dyDescent="0.25">
      <c r="A148" s="74"/>
      <c r="B148" s="74"/>
      <c r="C148" s="74"/>
      <c r="D148" s="74"/>
      <c r="E148" s="74"/>
      <c r="F148" s="74"/>
      <c r="G148" s="74"/>
      <c r="H148" s="74"/>
      <c r="I148" s="75"/>
      <c r="J148" s="74"/>
      <c r="K148" s="74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</row>
    <row r="149" spans="1:51" ht="21" x14ac:dyDescent="0.35">
      <c r="A149" s="74"/>
      <c r="B149" s="74"/>
      <c r="C149" s="74"/>
      <c r="D149" s="74"/>
      <c r="E149" s="74"/>
      <c r="F149" s="74"/>
      <c r="G149" s="74"/>
      <c r="H149" s="74"/>
      <c r="I149" s="75"/>
      <c r="J149" s="74"/>
      <c r="K149" s="74"/>
      <c r="L149" s="75"/>
      <c r="M149" s="75"/>
      <c r="N149" s="75"/>
      <c r="O149" s="75"/>
      <c r="P149" s="75"/>
      <c r="Q149" s="75"/>
      <c r="R149" s="79">
        <v>2891820</v>
      </c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4"/>
      <c r="AD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</row>
    <row r="150" spans="1:51" x14ac:dyDescent="0.25">
      <c r="A150" s="74"/>
      <c r="B150" s="74"/>
      <c r="C150" s="74"/>
      <c r="D150" s="74"/>
      <c r="E150" s="74"/>
      <c r="F150" s="74"/>
      <c r="G150" s="74"/>
      <c r="H150" s="74"/>
      <c r="I150" s="75"/>
      <c r="J150" s="74"/>
      <c r="K150" s="74"/>
      <c r="L150" s="75"/>
      <c r="M150" s="75"/>
      <c r="N150" s="75"/>
      <c r="O150" s="75"/>
      <c r="P150" s="75"/>
      <c r="Q150" s="75"/>
      <c r="R150" s="75">
        <f>R149-Z145</f>
        <v>0</v>
      </c>
      <c r="S150" s="75"/>
      <c r="T150" s="75"/>
      <c r="U150" s="75"/>
      <c r="V150" s="75"/>
      <c r="W150" s="75"/>
      <c r="X150" s="75"/>
      <c r="Y150" s="75"/>
      <c r="Z150" s="6"/>
      <c r="AA150" s="75"/>
      <c r="AB150" s="75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</row>
  </sheetData>
  <autoFilter ref="A2:AY136" xr:uid="{71F6EB14-B085-4009-B281-668C7420BE66}">
    <filterColumn colId="26">
      <filters>
        <filter val="TUE"/>
      </filters>
    </filterColumn>
  </autoFilter>
  <mergeCells count="1">
    <mergeCell ref="A1:AY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D2A9-1721-4AB7-AC77-3D6709BF9C53}">
  <dimension ref="A1:R59"/>
  <sheetViews>
    <sheetView topLeftCell="F51" workbookViewId="0">
      <selection activeCell="J66" sqref="J66"/>
    </sheetView>
  </sheetViews>
  <sheetFormatPr defaultRowHeight="15" x14ac:dyDescent="0.25"/>
  <cols>
    <col min="1" max="1" width="7.5703125" style="18" bestFit="1" customWidth="1"/>
    <col min="2" max="2" width="10" style="18" bestFit="1" customWidth="1"/>
    <col min="3" max="3" width="5.7109375" style="18" bestFit="1" customWidth="1"/>
    <col min="4" max="4" width="20" style="18" bestFit="1" customWidth="1"/>
    <col min="5" max="5" width="8.42578125" style="18" bestFit="1" customWidth="1"/>
    <col min="6" max="6" width="13.7109375" style="18" bestFit="1" customWidth="1"/>
    <col min="7" max="7" width="16.85546875" style="18" bestFit="1" customWidth="1"/>
    <col min="8" max="8" width="11" style="18" bestFit="1" customWidth="1"/>
    <col min="9" max="9" width="9.85546875" style="18" bestFit="1" customWidth="1"/>
    <col min="10" max="10" width="9.140625" style="18" bestFit="1" customWidth="1"/>
    <col min="11" max="11" width="9.85546875" style="18" bestFit="1" customWidth="1"/>
    <col min="12" max="12" width="5" style="18" bestFit="1" customWidth="1"/>
    <col min="13" max="13" width="6.85546875" style="18" bestFit="1" customWidth="1"/>
    <col min="14" max="16" width="10.42578125" style="18" bestFit="1" customWidth="1"/>
    <col min="17" max="17" width="8.28515625" style="18" bestFit="1" customWidth="1"/>
    <col min="18" max="18" width="7.7109375" style="18" bestFit="1" customWidth="1"/>
    <col min="19" max="16384" width="9.140625" style="18"/>
  </cols>
  <sheetData>
    <row r="1" spans="1:18" ht="31.5" x14ac:dyDescent="0.25">
      <c r="A1" s="63" t="s">
        <v>489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47.25" x14ac:dyDescent="0.25">
      <c r="A2" s="17" t="s">
        <v>462</v>
      </c>
      <c r="B2" s="17" t="s">
        <v>464</v>
      </c>
      <c r="C2" s="17" t="s">
        <v>479</v>
      </c>
      <c r="D2" s="17" t="s">
        <v>465</v>
      </c>
      <c r="E2" s="17" t="s">
        <v>480</v>
      </c>
      <c r="F2" s="17" t="s">
        <v>467</v>
      </c>
      <c r="G2" s="17" t="s">
        <v>481</v>
      </c>
      <c r="H2" s="17" t="s">
        <v>482</v>
      </c>
      <c r="I2" s="17" t="s">
        <v>0</v>
      </c>
      <c r="J2" s="17" t="s">
        <v>1</v>
      </c>
      <c r="K2" s="17" t="s">
        <v>483</v>
      </c>
      <c r="L2" s="17" t="s">
        <v>484</v>
      </c>
      <c r="M2" s="17" t="s">
        <v>17</v>
      </c>
      <c r="N2" s="17" t="s">
        <v>485</v>
      </c>
      <c r="O2" s="17" t="s">
        <v>486</v>
      </c>
      <c r="P2" s="17" t="s">
        <v>487</v>
      </c>
      <c r="Q2" s="17" t="s">
        <v>488</v>
      </c>
      <c r="R2" s="17" t="s">
        <v>496</v>
      </c>
    </row>
    <row r="3" spans="1:18" x14ac:dyDescent="0.25">
      <c r="A3" s="18">
        <v>1</v>
      </c>
      <c r="B3" s="18" t="s">
        <v>160</v>
      </c>
      <c r="C3" s="2" t="s">
        <v>67</v>
      </c>
      <c r="D3" s="2" t="s">
        <v>365</v>
      </c>
      <c r="E3" s="2" t="s">
        <v>366</v>
      </c>
      <c r="F3" s="2" t="s">
        <v>134</v>
      </c>
      <c r="G3" s="2" t="s">
        <v>173</v>
      </c>
      <c r="H3" s="2">
        <v>7060909606</v>
      </c>
      <c r="I3" s="2">
        <v>20000</v>
      </c>
      <c r="J3" s="2">
        <v>1580</v>
      </c>
      <c r="K3" s="2">
        <f t="shared" ref="K3:K39" si="0">I3-J3</f>
        <v>18420</v>
      </c>
      <c r="L3" s="2">
        <v>810</v>
      </c>
      <c r="M3" s="2">
        <v>36</v>
      </c>
      <c r="N3" s="5">
        <v>46198</v>
      </c>
      <c r="O3" s="5">
        <v>46206</v>
      </c>
      <c r="P3" s="5">
        <v>46212</v>
      </c>
      <c r="Q3" s="18" t="s">
        <v>499</v>
      </c>
      <c r="R3" s="2"/>
    </row>
    <row r="4" spans="1:18" x14ac:dyDescent="0.25">
      <c r="A4" s="18">
        <v>2</v>
      </c>
      <c r="B4" s="18" t="s">
        <v>160</v>
      </c>
      <c r="C4" s="2" t="s">
        <v>53</v>
      </c>
      <c r="D4" s="2" t="s">
        <v>255</v>
      </c>
      <c r="E4" s="2" t="s">
        <v>367</v>
      </c>
      <c r="F4" s="2" t="s">
        <v>92</v>
      </c>
      <c r="G4" s="2" t="s">
        <v>368</v>
      </c>
      <c r="H4" s="2">
        <v>9897022238</v>
      </c>
      <c r="I4" s="2">
        <v>25000</v>
      </c>
      <c r="J4" s="2">
        <v>1860</v>
      </c>
      <c r="K4" s="2">
        <f t="shared" si="0"/>
        <v>23140</v>
      </c>
      <c r="L4" s="2">
        <v>830</v>
      </c>
      <c r="M4" s="2">
        <v>44</v>
      </c>
      <c r="N4" s="5">
        <v>46203</v>
      </c>
      <c r="O4" s="5">
        <v>46209</v>
      </c>
      <c r="P4" s="5">
        <v>46217</v>
      </c>
      <c r="Q4" s="18" t="s">
        <v>499</v>
      </c>
      <c r="R4" s="2"/>
    </row>
    <row r="5" spans="1:18" x14ac:dyDescent="0.25">
      <c r="A5" s="18">
        <v>3</v>
      </c>
      <c r="B5" s="18" t="s">
        <v>160</v>
      </c>
      <c r="C5" s="2" t="s">
        <v>53</v>
      </c>
      <c r="D5" s="2" t="s">
        <v>255</v>
      </c>
      <c r="E5" s="2" t="s">
        <v>369</v>
      </c>
      <c r="F5" s="2" t="s">
        <v>370</v>
      </c>
      <c r="G5" s="2" t="s">
        <v>371</v>
      </c>
      <c r="H5" s="2">
        <v>8791791725</v>
      </c>
      <c r="I5" s="2">
        <v>15000</v>
      </c>
      <c r="J5" s="2">
        <v>1260</v>
      </c>
      <c r="K5" s="2">
        <f t="shared" si="0"/>
        <v>13740</v>
      </c>
      <c r="L5" s="2">
        <v>730</v>
      </c>
      <c r="M5" s="2">
        <v>30</v>
      </c>
      <c r="N5" s="5">
        <v>46204</v>
      </c>
      <c r="O5" s="5">
        <v>46209</v>
      </c>
      <c r="P5" s="5">
        <v>46217</v>
      </c>
      <c r="Q5" s="18" t="s">
        <v>499</v>
      </c>
      <c r="R5" s="2"/>
    </row>
    <row r="6" spans="1:18" x14ac:dyDescent="0.25">
      <c r="A6" s="18">
        <v>4</v>
      </c>
      <c r="B6" s="18" t="s">
        <v>160</v>
      </c>
      <c r="C6" s="2" t="s">
        <v>53</v>
      </c>
      <c r="D6" s="2" t="s">
        <v>317</v>
      </c>
      <c r="E6" s="2" t="s">
        <v>372</v>
      </c>
      <c r="F6" s="2" t="s">
        <v>114</v>
      </c>
      <c r="G6" s="2" t="s">
        <v>310</v>
      </c>
      <c r="H6" s="2">
        <v>9259698473</v>
      </c>
      <c r="I6" s="2">
        <v>10000</v>
      </c>
      <c r="J6" s="2">
        <v>820</v>
      </c>
      <c r="K6" s="2">
        <f t="shared" si="0"/>
        <v>9180</v>
      </c>
      <c r="L6" s="2">
        <v>520</v>
      </c>
      <c r="M6" s="2">
        <v>28</v>
      </c>
      <c r="N6" s="5">
        <v>46202</v>
      </c>
      <c r="O6" s="5">
        <v>46209</v>
      </c>
      <c r="P6" s="5">
        <v>46217</v>
      </c>
      <c r="Q6" s="18" t="s">
        <v>499</v>
      </c>
      <c r="R6" s="2"/>
    </row>
    <row r="7" spans="1:18" x14ac:dyDescent="0.25">
      <c r="A7" s="18">
        <v>5</v>
      </c>
      <c r="B7" s="18" t="s">
        <v>160</v>
      </c>
      <c r="C7" s="2" t="s">
        <v>53</v>
      </c>
      <c r="D7" s="2" t="s">
        <v>373</v>
      </c>
      <c r="E7" s="2" t="s">
        <v>374</v>
      </c>
      <c r="F7" s="2" t="s">
        <v>375</v>
      </c>
      <c r="G7" s="2" t="s">
        <v>376</v>
      </c>
      <c r="H7" s="2">
        <v>7351720450</v>
      </c>
      <c r="I7" s="2">
        <v>25000</v>
      </c>
      <c r="J7" s="2">
        <v>1860</v>
      </c>
      <c r="K7" s="2">
        <f t="shared" si="0"/>
        <v>23140</v>
      </c>
      <c r="L7" s="2">
        <v>830</v>
      </c>
      <c r="M7" s="2">
        <v>44</v>
      </c>
      <c r="N7" s="5">
        <v>46202</v>
      </c>
      <c r="O7" s="5">
        <v>46209</v>
      </c>
      <c r="P7" s="5">
        <v>46217</v>
      </c>
      <c r="Q7" s="18" t="s">
        <v>499</v>
      </c>
      <c r="R7" s="2"/>
    </row>
    <row r="8" spans="1:18" x14ac:dyDescent="0.25">
      <c r="A8" s="18">
        <v>6</v>
      </c>
      <c r="B8" s="18" t="s">
        <v>160</v>
      </c>
      <c r="C8" s="2" t="s">
        <v>57</v>
      </c>
      <c r="D8" s="2" t="s">
        <v>377</v>
      </c>
      <c r="E8" s="2" t="s">
        <v>378</v>
      </c>
      <c r="F8" s="2" t="s">
        <v>379</v>
      </c>
      <c r="G8" s="2" t="s">
        <v>380</v>
      </c>
      <c r="H8" s="2">
        <v>9520353141</v>
      </c>
      <c r="I8" s="2">
        <v>20000</v>
      </c>
      <c r="J8" s="2">
        <v>1580</v>
      </c>
      <c r="K8" s="2">
        <f t="shared" si="0"/>
        <v>18420</v>
      </c>
      <c r="L8" s="2">
        <v>810</v>
      </c>
      <c r="M8" s="2">
        <v>36</v>
      </c>
      <c r="N8" s="5">
        <v>46198</v>
      </c>
      <c r="O8" s="5">
        <v>46209</v>
      </c>
      <c r="P8" s="5">
        <v>46213</v>
      </c>
      <c r="Q8" s="18" t="s">
        <v>499</v>
      </c>
      <c r="R8" s="2"/>
    </row>
    <row r="9" spans="1:18" x14ac:dyDescent="0.25">
      <c r="A9" s="18">
        <v>7</v>
      </c>
      <c r="B9" s="18" t="s">
        <v>160</v>
      </c>
      <c r="C9" s="2" t="s">
        <v>49</v>
      </c>
      <c r="D9" s="2" t="s">
        <v>381</v>
      </c>
      <c r="E9" s="2" t="s">
        <v>382</v>
      </c>
      <c r="F9" s="2" t="s">
        <v>55</v>
      </c>
      <c r="G9" s="2" t="s">
        <v>383</v>
      </c>
      <c r="H9" s="2">
        <v>7251022379</v>
      </c>
      <c r="I9" s="2">
        <v>20000</v>
      </c>
      <c r="J9" s="2">
        <v>1580</v>
      </c>
      <c r="K9" s="2">
        <f t="shared" si="0"/>
        <v>18420</v>
      </c>
      <c r="L9" s="2">
        <v>810</v>
      </c>
      <c r="M9" s="2">
        <v>36</v>
      </c>
      <c r="N9" s="5">
        <v>46197</v>
      </c>
      <c r="O9" s="5">
        <v>46212</v>
      </c>
      <c r="P9" s="5">
        <v>46218</v>
      </c>
      <c r="Q9" s="18" t="s">
        <v>499</v>
      </c>
      <c r="R9" s="2"/>
    </row>
    <row r="10" spans="1:18" x14ac:dyDescent="0.25">
      <c r="A10" s="18">
        <v>8</v>
      </c>
      <c r="B10" s="18" t="s">
        <v>160</v>
      </c>
      <c r="C10" s="2" t="s">
        <v>53</v>
      </c>
      <c r="D10" s="2" t="s">
        <v>384</v>
      </c>
      <c r="E10" s="2" t="s">
        <v>385</v>
      </c>
      <c r="F10" s="2" t="s">
        <v>386</v>
      </c>
      <c r="G10" s="2" t="s">
        <v>387</v>
      </c>
      <c r="H10" s="2">
        <v>6395685785</v>
      </c>
      <c r="I10" s="2">
        <v>20000</v>
      </c>
      <c r="J10" s="2">
        <v>1580</v>
      </c>
      <c r="K10" s="2">
        <f t="shared" si="0"/>
        <v>18420</v>
      </c>
      <c r="L10" s="2">
        <v>810</v>
      </c>
      <c r="M10" s="2">
        <v>36</v>
      </c>
      <c r="N10" s="5">
        <v>46209</v>
      </c>
      <c r="O10" s="5">
        <v>46212</v>
      </c>
      <c r="P10" s="5">
        <v>46217</v>
      </c>
      <c r="Q10" s="18" t="s">
        <v>499</v>
      </c>
      <c r="R10" s="2"/>
    </row>
    <row r="11" spans="1:18" x14ac:dyDescent="0.25">
      <c r="A11" s="18">
        <v>9</v>
      </c>
      <c r="B11" s="18" t="s">
        <v>160</v>
      </c>
      <c r="C11" s="2" t="s">
        <v>49</v>
      </c>
      <c r="D11" s="2" t="s">
        <v>388</v>
      </c>
      <c r="E11" s="2" t="s">
        <v>389</v>
      </c>
      <c r="F11" s="2" t="s">
        <v>390</v>
      </c>
      <c r="G11" s="2" t="s">
        <v>391</v>
      </c>
      <c r="H11" s="2">
        <v>8218425696</v>
      </c>
      <c r="I11" s="2">
        <v>30000</v>
      </c>
      <c r="J11" s="2">
        <v>2200</v>
      </c>
      <c r="K11" s="2">
        <f t="shared" si="0"/>
        <v>27800</v>
      </c>
      <c r="L11" s="2">
        <v>1000</v>
      </c>
      <c r="M11" s="2">
        <v>41</v>
      </c>
      <c r="N11" s="5">
        <v>46206</v>
      </c>
      <c r="O11" s="5">
        <v>46212</v>
      </c>
      <c r="P11" s="5">
        <v>46218</v>
      </c>
      <c r="Q11" s="18" t="s">
        <v>499</v>
      </c>
      <c r="R11" s="2"/>
    </row>
    <row r="12" spans="1:18" x14ac:dyDescent="0.25">
      <c r="A12" s="18">
        <v>10</v>
      </c>
      <c r="B12" s="18" t="s">
        <v>160</v>
      </c>
      <c r="C12" s="2" t="s">
        <v>65</v>
      </c>
      <c r="D12" s="2" t="s">
        <v>288</v>
      </c>
      <c r="E12" s="2" t="s">
        <v>392</v>
      </c>
      <c r="F12" s="2" t="s">
        <v>393</v>
      </c>
      <c r="G12" s="2" t="s">
        <v>394</v>
      </c>
      <c r="H12" s="2">
        <v>902737829</v>
      </c>
      <c r="I12" s="2">
        <v>20000</v>
      </c>
      <c r="J12" s="2">
        <v>1580</v>
      </c>
      <c r="K12" s="2">
        <f t="shared" si="0"/>
        <v>18420</v>
      </c>
      <c r="L12" s="2">
        <v>810</v>
      </c>
      <c r="M12" s="2">
        <v>36</v>
      </c>
      <c r="N12" s="5">
        <v>46209</v>
      </c>
      <c r="O12" s="5">
        <v>46214</v>
      </c>
      <c r="P12" s="5">
        <v>46230</v>
      </c>
      <c r="Q12" s="18" t="s">
        <v>499</v>
      </c>
      <c r="R12" s="2"/>
    </row>
    <row r="13" spans="1:18" x14ac:dyDescent="0.25">
      <c r="A13" s="18">
        <v>11</v>
      </c>
      <c r="B13" s="18" t="s">
        <v>160</v>
      </c>
      <c r="C13" s="2" t="s">
        <v>49</v>
      </c>
      <c r="D13" s="2" t="s">
        <v>381</v>
      </c>
      <c r="E13" s="2" t="s">
        <v>395</v>
      </c>
      <c r="F13" s="2" t="s">
        <v>390</v>
      </c>
      <c r="G13" s="2" t="s">
        <v>396</v>
      </c>
      <c r="H13" s="2">
        <v>9084978593</v>
      </c>
      <c r="I13" s="2">
        <v>20000</v>
      </c>
      <c r="J13" s="2">
        <v>1580</v>
      </c>
      <c r="K13" s="2">
        <f t="shared" si="0"/>
        <v>18420</v>
      </c>
      <c r="L13" s="2">
        <v>810</v>
      </c>
      <c r="M13" s="2">
        <v>36</v>
      </c>
      <c r="N13" s="5">
        <v>46197</v>
      </c>
      <c r="O13" s="5">
        <v>46214</v>
      </c>
      <c r="P13" s="5">
        <v>46218</v>
      </c>
      <c r="Q13" s="18" t="s">
        <v>499</v>
      </c>
      <c r="R13" s="2"/>
    </row>
    <row r="14" spans="1:18" x14ac:dyDescent="0.25">
      <c r="A14" s="18">
        <v>12</v>
      </c>
      <c r="B14" s="18" t="s">
        <v>160</v>
      </c>
      <c r="C14" s="2" t="s">
        <v>65</v>
      </c>
      <c r="D14" s="2" t="s">
        <v>397</v>
      </c>
      <c r="E14" s="2" t="s">
        <v>398</v>
      </c>
      <c r="F14" s="2" t="s">
        <v>92</v>
      </c>
      <c r="G14" s="2" t="s">
        <v>187</v>
      </c>
      <c r="H14" s="2">
        <v>7452866568</v>
      </c>
      <c r="I14" s="2">
        <v>15000</v>
      </c>
      <c r="J14" s="2">
        <v>1260</v>
      </c>
      <c r="K14" s="2">
        <f t="shared" si="0"/>
        <v>13740</v>
      </c>
      <c r="L14" s="2">
        <v>730</v>
      </c>
      <c r="M14" s="2">
        <v>30</v>
      </c>
      <c r="N14" s="5">
        <v>46209</v>
      </c>
      <c r="O14" s="5">
        <v>46216</v>
      </c>
      <c r="P14" s="5">
        <v>46230</v>
      </c>
      <c r="Q14" s="18" t="s">
        <v>499</v>
      </c>
      <c r="R14" s="2"/>
    </row>
    <row r="15" spans="1:18" x14ac:dyDescent="0.25">
      <c r="A15" s="18">
        <v>13</v>
      </c>
      <c r="B15" s="18" t="s">
        <v>160</v>
      </c>
      <c r="C15" s="2" t="s">
        <v>65</v>
      </c>
      <c r="D15" s="2" t="s">
        <v>397</v>
      </c>
      <c r="E15" s="2" t="s">
        <v>399</v>
      </c>
      <c r="F15" s="2" t="s">
        <v>400</v>
      </c>
      <c r="G15" s="2" t="s">
        <v>401</v>
      </c>
      <c r="H15" s="2">
        <v>9719345902</v>
      </c>
      <c r="I15" s="2">
        <v>20000</v>
      </c>
      <c r="J15" s="2">
        <v>1580</v>
      </c>
      <c r="K15" s="2">
        <f t="shared" si="0"/>
        <v>18420</v>
      </c>
      <c r="L15" s="2">
        <v>810</v>
      </c>
      <c r="M15" s="2">
        <v>36</v>
      </c>
      <c r="N15" s="5">
        <v>46209</v>
      </c>
      <c r="O15" s="5">
        <v>46216</v>
      </c>
      <c r="P15" s="5">
        <v>46230</v>
      </c>
      <c r="Q15" s="18" t="s">
        <v>499</v>
      </c>
      <c r="R15" s="2"/>
    </row>
    <row r="16" spans="1:18" x14ac:dyDescent="0.25">
      <c r="A16" s="18">
        <v>14</v>
      </c>
      <c r="B16" s="18" t="s">
        <v>160</v>
      </c>
      <c r="C16" s="2" t="s">
        <v>65</v>
      </c>
      <c r="D16" s="2" t="s">
        <v>288</v>
      </c>
      <c r="E16" s="2" t="s">
        <v>402</v>
      </c>
      <c r="F16" s="2" t="s">
        <v>80</v>
      </c>
      <c r="G16" s="2" t="s">
        <v>403</v>
      </c>
      <c r="H16" s="2">
        <v>8273313036</v>
      </c>
      <c r="I16" s="2">
        <v>25000</v>
      </c>
      <c r="J16" s="2">
        <v>1860</v>
      </c>
      <c r="K16" s="2">
        <f t="shared" si="0"/>
        <v>23140</v>
      </c>
      <c r="L16" s="2">
        <v>830</v>
      </c>
      <c r="M16" s="2">
        <v>44</v>
      </c>
      <c r="N16" s="5">
        <v>46211</v>
      </c>
      <c r="O16" s="5">
        <v>46220</v>
      </c>
      <c r="P16" s="5">
        <v>46230</v>
      </c>
      <c r="Q16" s="18" t="s">
        <v>499</v>
      </c>
      <c r="R16" s="2"/>
    </row>
    <row r="17" spans="1:18" x14ac:dyDescent="0.25">
      <c r="A17" s="18">
        <v>15</v>
      </c>
      <c r="B17" s="18" t="s">
        <v>160</v>
      </c>
      <c r="C17" s="2" t="s">
        <v>65</v>
      </c>
      <c r="D17" s="2" t="s">
        <v>404</v>
      </c>
      <c r="E17" s="2" t="s">
        <v>405</v>
      </c>
      <c r="F17" s="2" t="s">
        <v>406</v>
      </c>
      <c r="G17" s="2" t="s">
        <v>118</v>
      </c>
      <c r="H17" s="2">
        <v>8923609267</v>
      </c>
      <c r="I17" s="2">
        <v>30000</v>
      </c>
      <c r="J17" s="2">
        <v>2200</v>
      </c>
      <c r="K17" s="2">
        <f t="shared" si="0"/>
        <v>27800</v>
      </c>
      <c r="L17" s="2">
        <v>1000</v>
      </c>
      <c r="M17" s="2">
        <v>41</v>
      </c>
      <c r="N17" s="5">
        <v>46191</v>
      </c>
      <c r="O17" s="5">
        <v>46220</v>
      </c>
      <c r="P17" s="5">
        <v>46230</v>
      </c>
      <c r="Q17" s="18" t="s">
        <v>499</v>
      </c>
      <c r="R17" s="2"/>
    </row>
    <row r="18" spans="1:18" x14ac:dyDescent="0.25">
      <c r="A18" s="18">
        <v>16</v>
      </c>
      <c r="B18" s="18" t="s">
        <v>160</v>
      </c>
      <c r="C18" s="2" t="s">
        <v>65</v>
      </c>
      <c r="D18" s="2" t="s">
        <v>407</v>
      </c>
      <c r="E18" s="2" t="s">
        <v>408</v>
      </c>
      <c r="F18" s="2" t="s">
        <v>409</v>
      </c>
      <c r="G18" s="2" t="s">
        <v>410</v>
      </c>
      <c r="H18" s="2">
        <v>9068307727</v>
      </c>
      <c r="I18" s="2">
        <v>20000</v>
      </c>
      <c r="J18" s="2">
        <v>1580</v>
      </c>
      <c r="K18" s="2">
        <f t="shared" si="0"/>
        <v>18420</v>
      </c>
      <c r="L18" s="2">
        <v>810</v>
      </c>
      <c r="M18" s="2">
        <v>36</v>
      </c>
      <c r="N18" s="5">
        <v>46216</v>
      </c>
      <c r="O18" s="5">
        <v>46220</v>
      </c>
      <c r="P18" s="5">
        <v>46230</v>
      </c>
      <c r="Q18" s="18" t="s">
        <v>499</v>
      </c>
      <c r="R18" s="2"/>
    </row>
    <row r="19" spans="1:18" x14ac:dyDescent="0.25">
      <c r="A19" s="18">
        <v>17</v>
      </c>
      <c r="B19" s="18" t="s">
        <v>160</v>
      </c>
      <c r="C19" s="2" t="s">
        <v>57</v>
      </c>
      <c r="D19" s="2" t="s">
        <v>180</v>
      </c>
      <c r="E19" s="2" t="s">
        <v>411</v>
      </c>
      <c r="F19" s="2" t="s">
        <v>412</v>
      </c>
      <c r="G19" s="2" t="s">
        <v>257</v>
      </c>
      <c r="H19" s="2">
        <v>7579360739</v>
      </c>
      <c r="I19" s="2">
        <v>20000</v>
      </c>
      <c r="J19" s="2">
        <v>1580</v>
      </c>
      <c r="K19" s="2">
        <f t="shared" si="0"/>
        <v>18420</v>
      </c>
      <c r="L19" s="2">
        <v>810</v>
      </c>
      <c r="M19" s="2">
        <v>36</v>
      </c>
      <c r="N19" s="5">
        <v>46216</v>
      </c>
      <c r="O19" s="5">
        <v>46220</v>
      </c>
      <c r="P19" s="5">
        <v>46227</v>
      </c>
      <c r="Q19" s="18" t="s">
        <v>499</v>
      </c>
      <c r="R19" s="2"/>
    </row>
    <row r="20" spans="1:18" x14ac:dyDescent="0.25">
      <c r="A20" s="18">
        <v>18</v>
      </c>
      <c r="B20" s="18" t="s">
        <v>160</v>
      </c>
      <c r="C20" s="2" t="s">
        <v>57</v>
      </c>
      <c r="D20" s="2" t="s">
        <v>180</v>
      </c>
      <c r="E20" s="2" t="s">
        <v>413</v>
      </c>
      <c r="F20" s="2" t="s">
        <v>414</v>
      </c>
      <c r="G20" s="2" t="s">
        <v>415</v>
      </c>
      <c r="H20" s="2">
        <v>9027955247</v>
      </c>
      <c r="I20" s="2">
        <v>20000</v>
      </c>
      <c r="J20" s="2">
        <v>1580</v>
      </c>
      <c r="K20" s="2">
        <f t="shared" si="0"/>
        <v>18420</v>
      </c>
      <c r="L20" s="2">
        <v>810</v>
      </c>
      <c r="M20" s="2">
        <v>36</v>
      </c>
      <c r="N20" s="5">
        <v>46214</v>
      </c>
      <c r="O20" s="5">
        <v>46220</v>
      </c>
      <c r="P20" s="5">
        <v>46227</v>
      </c>
      <c r="Q20" s="18" t="s">
        <v>499</v>
      </c>
      <c r="R20" s="2"/>
    </row>
    <row r="21" spans="1:18" x14ac:dyDescent="0.25">
      <c r="A21" s="18">
        <v>19</v>
      </c>
      <c r="B21" s="18" t="s">
        <v>160</v>
      </c>
      <c r="C21" s="2" t="s">
        <v>65</v>
      </c>
      <c r="D21" s="2" t="s">
        <v>416</v>
      </c>
      <c r="E21" s="2" t="s">
        <v>417</v>
      </c>
      <c r="F21" s="2" t="s">
        <v>418</v>
      </c>
      <c r="G21" s="2" t="s">
        <v>419</v>
      </c>
      <c r="H21" s="2">
        <v>7417158423</v>
      </c>
      <c r="I21" s="2">
        <v>10000</v>
      </c>
      <c r="J21" s="2">
        <v>820</v>
      </c>
      <c r="K21" s="2">
        <f t="shared" si="0"/>
        <v>9180</v>
      </c>
      <c r="L21" s="2">
        <v>520</v>
      </c>
      <c r="M21" s="2">
        <v>28</v>
      </c>
      <c r="N21" s="5">
        <v>46217</v>
      </c>
      <c r="O21" s="5">
        <v>46223</v>
      </c>
      <c r="P21" s="5">
        <v>46230</v>
      </c>
      <c r="Q21" s="18" t="s">
        <v>499</v>
      </c>
      <c r="R21" s="2">
        <v>3907</v>
      </c>
    </row>
    <row r="22" spans="1:18" x14ac:dyDescent="0.25">
      <c r="A22" s="18">
        <v>20</v>
      </c>
      <c r="B22" s="18" t="s">
        <v>160</v>
      </c>
      <c r="C22" s="2" t="s">
        <v>57</v>
      </c>
      <c r="D22" s="2" t="s">
        <v>203</v>
      </c>
      <c r="E22" s="2" t="s">
        <v>420</v>
      </c>
      <c r="F22" s="2" t="s">
        <v>421</v>
      </c>
      <c r="G22" s="2" t="s">
        <v>422</v>
      </c>
      <c r="H22" s="2">
        <v>9027750329</v>
      </c>
      <c r="I22" s="2">
        <v>10000</v>
      </c>
      <c r="J22" s="2">
        <v>820</v>
      </c>
      <c r="K22" s="2">
        <f t="shared" si="0"/>
        <v>9180</v>
      </c>
      <c r="L22" s="2">
        <v>520</v>
      </c>
      <c r="M22" s="2">
        <v>28</v>
      </c>
      <c r="N22" s="5">
        <v>46221</v>
      </c>
      <c r="O22" s="5">
        <v>46223</v>
      </c>
      <c r="P22" s="5">
        <v>46234</v>
      </c>
      <c r="Q22" s="18" t="s">
        <v>499</v>
      </c>
      <c r="R22" s="2">
        <v>873</v>
      </c>
    </row>
    <row r="23" spans="1:18" x14ac:dyDescent="0.25">
      <c r="A23" s="18">
        <v>21</v>
      </c>
      <c r="B23" s="18" t="s">
        <v>160</v>
      </c>
      <c r="C23" s="2" t="s">
        <v>57</v>
      </c>
      <c r="D23" s="2" t="s">
        <v>203</v>
      </c>
      <c r="E23" s="2" t="s">
        <v>423</v>
      </c>
      <c r="F23" s="2" t="s">
        <v>86</v>
      </c>
      <c r="G23" s="2" t="s">
        <v>424</v>
      </c>
      <c r="H23" s="2">
        <v>8171640207</v>
      </c>
      <c r="I23" s="2">
        <v>10000</v>
      </c>
      <c r="J23" s="2">
        <v>820</v>
      </c>
      <c r="K23" s="2">
        <f t="shared" si="0"/>
        <v>9180</v>
      </c>
      <c r="L23" s="2">
        <v>520</v>
      </c>
      <c r="M23" s="2">
        <v>28</v>
      </c>
      <c r="N23" s="5">
        <v>46221</v>
      </c>
      <c r="O23" s="5">
        <v>46223</v>
      </c>
      <c r="P23" s="5">
        <v>46234</v>
      </c>
      <c r="Q23" s="18" t="s">
        <v>499</v>
      </c>
      <c r="R23" s="2">
        <v>5818</v>
      </c>
    </row>
    <row r="24" spans="1:18" x14ac:dyDescent="0.25">
      <c r="A24" s="18">
        <v>22</v>
      </c>
      <c r="B24" s="18" t="s">
        <v>160</v>
      </c>
      <c r="C24" s="2" t="s">
        <v>53</v>
      </c>
      <c r="D24" s="2" t="s">
        <v>255</v>
      </c>
      <c r="E24" s="2" t="s">
        <v>425</v>
      </c>
      <c r="F24" s="2" t="s">
        <v>59</v>
      </c>
      <c r="G24" s="2" t="s">
        <v>426</v>
      </c>
      <c r="H24" s="10">
        <v>8895953996</v>
      </c>
      <c r="I24" s="2">
        <v>20000</v>
      </c>
      <c r="J24" s="2">
        <v>1580</v>
      </c>
      <c r="K24" s="2">
        <f t="shared" si="0"/>
        <v>18420</v>
      </c>
      <c r="L24" s="2">
        <v>810</v>
      </c>
      <c r="M24" s="2">
        <v>36</v>
      </c>
      <c r="N24" s="5">
        <v>46224</v>
      </c>
      <c r="O24" s="5">
        <v>46226</v>
      </c>
      <c r="P24" s="5">
        <v>46231</v>
      </c>
      <c r="Q24" s="18" t="s">
        <v>499</v>
      </c>
      <c r="R24" s="2">
        <v>2926</v>
      </c>
    </row>
    <row r="25" spans="1:18" x14ac:dyDescent="0.25">
      <c r="A25" s="18">
        <v>23</v>
      </c>
      <c r="B25" s="18" t="s">
        <v>160</v>
      </c>
      <c r="C25" s="2" t="s">
        <v>53</v>
      </c>
      <c r="D25" s="2" t="s">
        <v>255</v>
      </c>
      <c r="E25" s="2" t="s">
        <v>427</v>
      </c>
      <c r="F25" s="2" t="s">
        <v>83</v>
      </c>
      <c r="G25" s="2" t="s">
        <v>281</v>
      </c>
      <c r="H25" s="10">
        <v>8077494762</v>
      </c>
      <c r="I25" s="2">
        <v>20000</v>
      </c>
      <c r="J25" s="2">
        <v>1580</v>
      </c>
      <c r="K25" s="2">
        <f t="shared" si="0"/>
        <v>18420</v>
      </c>
      <c r="L25" s="2">
        <v>810</v>
      </c>
      <c r="M25" s="2">
        <v>36</v>
      </c>
      <c r="N25" s="5">
        <v>46224</v>
      </c>
      <c r="O25" s="5">
        <v>46226</v>
      </c>
      <c r="P25" s="5">
        <v>46231</v>
      </c>
      <c r="Q25" s="18" t="s">
        <v>499</v>
      </c>
      <c r="R25" s="2">
        <v>2473</v>
      </c>
    </row>
    <row r="26" spans="1:18" x14ac:dyDescent="0.25">
      <c r="A26" s="18">
        <v>24</v>
      </c>
      <c r="B26" s="18" t="s">
        <v>160</v>
      </c>
      <c r="C26" s="2" t="s">
        <v>57</v>
      </c>
      <c r="D26" s="2" t="s">
        <v>203</v>
      </c>
      <c r="E26" s="2" t="s">
        <v>428</v>
      </c>
      <c r="F26" s="2" t="s">
        <v>429</v>
      </c>
      <c r="G26" s="2" t="s">
        <v>430</v>
      </c>
      <c r="H26" s="10">
        <v>9720187637</v>
      </c>
      <c r="I26" s="2">
        <v>20000</v>
      </c>
      <c r="J26" s="2">
        <v>1580</v>
      </c>
      <c r="K26" s="2">
        <f t="shared" si="0"/>
        <v>18420</v>
      </c>
      <c r="L26" s="2">
        <v>810</v>
      </c>
      <c r="M26" s="2">
        <v>36</v>
      </c>
      <c r="N26" s="5">
        <v>46223</v>
      </c>
      <c r="O26" s="5">
        <v>46226</v>
      </c>
      <c r="P26" s="5">
        <v>46234</v>
      </c>
      <c r="Q26" s="18" t="s">
        <v>499</v>
      </c>
      <c r="R26" s="2">
        <v>268</v>
      </c>
    </row>
    <row r="27" spans="1:18" x14ac:dyDescent="0.25">
      <c r="A27" s="18">
        <v>25</v>
      </c>
      <c r="B27" s="18" t="s">
        <v>160</v>
      </c>
      <c r="C27" s="2" t="s">
        <v>53</v>
      </c>
      <c r="D27" s="2" t="s">
        <v>193</v>
      </c>
      <c r="E27" s="2" t="s">
        <v>431</v>
      </c>
      <c r="F27" s="2" t="s">
        <v>446</v>
      </c>
      <c r="G27" s="2" t="s">
        <v>454</v>
      </c>
      <c r="H27" s="10">
        <v>7037377719</v>
      </c>
      <c r="I27" s="2">
        <v>20000</v>
      </c>
      <c r="J27" s="2">
        <v>1580</v>
      </c>
      <c r="K27" s="2">
        <f t="shared" si="0"/>
        <v>18420</v>
      </c>
      <c r="L27" s="2">
        <v>810</v>
      </c>
      <c r="M27" s="2">
        <v>36</v>
      </c>
      <c r="N27" s="5">
        <v>46225</v>
      </c>
      <c r="O27" s="5">
        <v>46227</v>
      </c>
      <c r="P27" s="5">
        <v>46238</v>
      </c>
      <c r="Q27" s="18" t="s">
        <v>499</v>
      </c>
      <c r="R27" s="2">
        <v>4249</v>
      </c>
    </row>
    <row r="28" spans="1:18" x14ac:dyDescent="0.25">
      <c r="A28" s="18">
        <v>26</v>
      </c>
      <c r="B28" s="18" t="s">
        <v>160</v>
      </c>
      <c r="C28" s="2" t="s">
        <v>49</v>
      </c>
      <c r="D28" s="2" t="s">
        <v>442</v>
      </c>
      <c r="E28" s="2" t="s">
        <v>432</v>
      </c>
      <c r="F28" s="2" t="s">
        <v>447</v>
      </c>
      <c r="G28" s="2" t="s">
        <v>455</v>
      </c>
      <c r="H28" s="10">
        <v>9997785709</v>
      </c>
      <c r="I28" s="2">
        <v>15000</v>
      </c>
      <c r="J28" s="2">
        <v>1260</v>
      </c>
      <c r="K28" s="2">
        <f t="shared" si="0"/>
        <v>13740</v>
      </c>
      <c r="L28" s="2">
        <v>730</v>
      </c>
      <c r="M28" s="2">
        <v>30</v>
      </c>
      <c r="N28" s="5">
        <v>46225</v>
      </c>
      <c r="O28" s="5">
        <v>46227</v>
      </c>
      <c r="P28" s="5">
        <v>46232</v>
      </c>
      <c r="Q28" s="18" t="s">
        <v>499</v>
      </c>
      <c r="R28" s="2">
        <v>5138</v>
      </c>
    </row>
    <row r="29" spans="1:18" x14ac:dyDescent="0.25">
      <c r="A29" s="18">
        <v>27</v>
      </c>
      <c r="B29" s="18" t="s">
        <v>160</v>
      </c>
      <c r="C29" s="2" t="s">
        <v>49</v>
      </c>
      <c r="D29" s="2" t="s">
        <v>443</v>
      </c>
      <c r="E29" s="2" t="s">
        <v>433</v>
      </c>
      <c r="F29" s="2" t="s">
        <v>448</v>
      </c>
      <c r="G29" s="2" t="s">
        <v>456</v>
      </c>
      <c r="H29" s="10">
        <v>7037562641</v>
      </c>
      <c r="I29" s="2">
        <v>10000</v>
      </c>
      <c r="J29" s="2">
        <v>820</v>
      </c>
      <c r="K29" s="2">
        <f t="shared" si="0"/>
        <v>9180</v>
      </c>
      <c r="L29" s="2">
        <v>520</v>
      </c>
      <c r="M29" s="2">
        <v>28</v>
      </c>
      <c r="N29" s="5">
        <v>46225</v>
      </c>
      <c r="O29" s="5">
        <v>46227</v>
      </c>
      <c r="P29" s="5">
        <v>46232</v>
      </c>
      <c r="Q29" s="18" t="s">
        <v>499</v>
      </c>
      <c r="R29" s="2">
        <v>4641</v>
      </c>
    </row>
    <row r="30" spans="1:18" x14ac:dyDescent="0.25">
      <c r="A30" s="18">
        <v>28</v>
      </c>
      <c r="B30" s="18" t="s">
        <v>160</v>
      </c>
      <c r="C30" s="2" t="s">
        <v>57</v>
      </c>
      <c r="D30" s="2" t="s">
        <v>444</v>
      </c>
      <c r="E30" s="2" t="s">
        <v>434</v>
      </c>
      <c r="F30" s="2" t="s">
        <v>449</v>
      </c>
      <c r="G30" s="2" t="s">
        <v>211</v>
      </c>
      <c r="H30" s="10">
        <v>8445469631</v>
      </c>
      <c r="I30" s="2">
        <v>20000</v>
      </c>
      <c r="J30" s="2">
        <v>1580</v>
      </c>
      <c r="K30" s="2">
        <f t="shared" si="0"/>
        <v>18420</v>
      </c>
      <c r="L30" s="2">
        <v>810</v>
      </c>
      <c r="M30" s="2">
        <v>36</v>
      </c>
      <c r="N30" s="5">
        <v>46226</v>
      </c>
      <c r="O30" s="5">
        <v>46227</v>
      </c>
      <c r="P30" s="5">
        <v>46241</v>
      </c>
      <c r="Q30" s="18" t="s">
        <v>499</v>
      </c>
      <c r="R30" s="2">
        <v>146</v>
      </c>
    </row>
    <row r="31" spans="1:18" x14ac:dyDescent="0.25">
      <c r="A31" s="18">
        <v>29</v>
      </c>
      <c r="B31" s="18" t="s">
        <v>160</v>
      </c>
      <c r="C31" s="2" t="s">
        <v>57</v>
      </c>
      <c r="D31" s="2" t="s">
        <v>444</v>
      </c>
      <c r="E31" s="2" t="s">
        <v>435</v>
      </c>
      <c r="F31" s="2" t="s">
        <v>450</v>
      </c>
      <c r="G31" s="2" t="s">
        <v>235</v>
      </c>
      <c r="H31" s="10">
        <v>7457837215</v>
      </c>
      <c r="I31" s="2">
        <v>20000</v>
      </c>
      <c r="J31" s="2">
        <v>1580</v>
      </c>
      <c r="K31" s="2">
        <f t="shared" si="0"/>
        <v>18420</v>
      </c>
      <c r="L31" s="2">
        <v>810</v>
      </c>
      <c r="M31" s="2">
        <v>36</v>
      </c>
      <c r="N31" s="5">
        <v>46226</v>
      </c>
      <c r="O31" s="5">
        <v>46227</v>
      </c>
      <c r="P31" s="5">
        <v>46241</v>
      </c>
      <c r="Q31" s="18" t="s">
        <v>499</v>
      </c>
      <c r="R31" s="2">
        <v>9847</v>
      </c>
    </row>
    <row r="32" spans="1:18" x14ac:dyDescent="0.25">
      <c r="A32" s="18">
        <v>30</v>
      </c>
      <c r="B32" s="18" t="s">
        <v>160</v>
      </c>
      <c r="C32" s="2" t="s">
        <v>57</v>
      </c>
      <c r="D32" s="2" t="s">
        <v>198</v>
      </c>
      <c r="E32" s="2" t="s">
        <v>436</v>
      </c>
      <c r="F32" s="2" t="s">
        <v>451</v>
      </c>
      <c r="G32" s="2" t="s">
        <v>170</v>
      </c>
      <c r="H32" s="10">
        <v>8937817944</v>
      </c>
      <c r="I32" s="2">
        <v>20000</v>
      </c>
      <c r="J32" s="2">
        <v>1580</v>
      </c>
      <c r="K32" s="2">
        <f t="shared" si="0"/>
        <v>18420</v>
      </c>
      <c r="L32" s="2">
        <v>810</v>
      </c>
      <c r="M32" s="2">
        <v>36</v>
      </c>
      <c r="N32" s="5">
        <v>46226</v>
      </c>
      <c r="O32" s="5">
        <v>46227</v>
      </c>
      <c r="P32" s="5">
        <v>46241</v>
      </c>
      <c r="Q32" s="18" t="s">
        <v>499</v>
      </c>
      <c r="R32" s="2">
        <v>1630</v>
      </c>
    </row>
    <row r="33" spans="1:18" x14ac:dyDescent="0.25">
      <c r="A33" s="18">
        <v>31</v>
      </c>
      <c r="B33" s="18" t="s">
        <v>160</v>
      </c>
      <c r="C33" s="2" t="s">
        <v>57</v>
      </c>
      <c r="D33" s="2" t="s">
        <v>444</v>
      </c>
      <c r="E33" s="2" t="s">
        <v>437</v>
      </c>
      <c r="F33" s="2" t="s">
        <v>452</v>
      </c>
      <c r="G33" s="2" t="s">
        <v>457</v>
      </c>
      <c r="H33" s="10">
        <v>8394893054</v>
      </c>
      <c r="I33" s="2">
        <v>20000</v>
      </c>
      <c r="J33" s="2">
        <v>1580</v>
      </c>
      <c r="K33" s="2">
        <f t="shared" si="0"/>
        <v>18420</v>
      </c>
      <c r="L33" s="2">
        <v>810</v>
      </c>
      <c r="M33" s="2">
        <v>36</v>
      </c>
      <c r="N33" s="5">
        <v>46227</v>
      </c>
      <c r="O33" s="5">
        <v>46231</v>
      </c>
      <c r="P33" s="5">
        <v>46241</v>
      </c>
      <c r="Q33" s="18" t="s">
        <v>499</v>
      </c>
      <c r="R33" s="2">
        <v>4129</v>
      </c>
    </row>
    <row r="34" spans="1:18" x14ac:dyDescent="0.25">
      <c r="A34" s="18">
        <v>32</v>
      </c>
      <c r="B34" s="18" t="s">
        <v>160</v>
      </c>
      <c r="C34" s="2" t="s">
        <v>57</v>
      </c>
      <c r="D34" s="2" t="s">
        <v>444</v>
      </c>
      <c r="E34" s="2" t="s">
        <v>438</v>
      </c>
      <c r="F34" s="2" t="s">
        <v>64</v>
      </c>
      <c r="G34" s="2" t="s">
        <v>458</v>
      </c>
      <c r="H34" s="10">
        <v>9058127312</v>
      </c>
      <c r="I34" s="2">
        <v>20000</v>
      </c>
      <c r="J34" s="2">
        <v>1580</v>
      </c>
      <c r="K34" s="2">
        <f t="shared" si="0"/>
        <v>18420</v>
      </c>
      <c r="L34" s="2">
        <v>810</v>
      </c>
      <c r="M34" s="2">
        <v>36</v>
      </c>
      <c r="N34" s="5">
        <v>46226</v>
      </c>
      <c r="O34" s="5">
        <v>46231</v>
      </c>
      <c r="P34" s="5">
        <v>46241</v>
      </c>
      <c r="Q34" s="18" t="s">
        <v>499</v>
      </c>
      <c r="R34" s="2">
        <v>8989</v>
      </c>
    </row>
    <row r="35" spans="1:18" x14ac:dyDescent="0.25">
      <c r="A35" s="18">
        <v>33</v>
      </c>
      <c r="B35" s="18" t="s">
        <v>160</v>
      </c>
      <c r="C35" s="2" t="s">
        <v>49</v>
      </c>
      <c r="D35" s="2" t="s">
        <v>203</v>
      </c>
      <c r="E35" s="2" t="s">
        <v>439</v>
      </c>
      <c r="F35" s="2" t="s">
        <v>453</v>
      </c>
      <c r="G35" s="2" t="s">
        <v>459</v>
      </c>
      <c r="H35" s="10">
        <v>7457097029</v>
      </c>
      <c r="I35" s="2">
        <v>10000</v>
      </c>
      <c r="J35" s="2">
        <v>820</v>
      </c>
      <c r="K35" s="2">
        <f t="shared" si="0"/>
        <v>9180</v>
      </c>
      <c r="L35" s="2">
        <v>520</v>
      </c>
      <c r="M35" s="2">
        <v>28</v>
      </c>
      <c r="N35" s="5">
        <v>46227</v>
      </c>
      <c r="O35" s="5">
        <v>46231</v>
      </c>
      <c r="P35" s="5">
        <v>46246</v>
      </c>
      <c r="Q35" s="18" t="s">
        <v>499</v>
      </c>
      <c r="R35" s="2">
        <v>2325</v>
      </c>
    </row>
    <row r="36" spans="1:18" x14ac:dyDescent="0.25">
      <c r="A36" s="18">
        <v>34</v>
      </c>
      <c r="B36" s="18" t="s">
        <v>160</v>
      </c>
      <c r="C36" s="2" t="s">
        <v>49</v>
      </c>
      <c r="D36" s="2" t="s">
        <v>445</v>
      </c>
      <c r="E36" s="2" t="s">
        <v>440</v>
      </c>
      <c r="F36" s="2" t="s">
        <v>409</v>
      </c>
      <c r="G36" s="2" t="s">
        <v>460</v>
      </c>
      <c r="H36" s="10">
        <v>8859477176</v>
      </c>
      <c r="I36" s="2">
        <v>20000</v>
      </c>
      <c r="J36" s="2">
        <v>1580</v>
      </c>
      <c r="K36" s="2">
        <f t="shared" si="0"/>
        <v>18420</v>
      </c>
      <c r="L36" s="2">
        <v>810</v>
      </c>
      <c r="M36" s="2">
        <v>36</v>
      </c>
      <c r="N36" s="19">
        <v>46228</v>
      </c>
      <c r="O36" s="5">
        <v>46231</v>
      </c>
      <c r="P36" s="5">
        <v>46239</v>
      </c>
      <c r="Q36" s="18" t="s">
        <v>499</v>
      </c>
      <c r="R36" s="2">
        <v>8148</v>
      </c>
    </row>
    <row r="37" spans="1:18" x14ac:dyDescent="0.25">
      <c r="A37" s="18">
        <v>35</v>
      </c>
      <c r="B37" s="18" t="s">
        <v>160</v>
      </c>
      <c r="C37" s="2" t="s">
        <v>49</v>
      </c>
      <c r="D37" s="2" t="s">
        <v>445</v>
      </c>
      <c r="E37" s="2" t="s">
        <v>441</v>
      </c>
      <c r="F37" s="2" t="s">
        <v>461</v>
      </c>
      <c r="G37" s="2" t="s">
        <v>70</v>
      </c>
      <c r="H37" s="10">
        <v>7351404992</v>
      </c>
      <c r="I37" s="2">
        <v>20000</v>
      </c>
      <c r="J37" s="2">
        <v>1580</v>
      </c>
      <c r="K37" s="2">
        <f t="shared" si="0"/>
        <v>18420</v>
      </c>
      <c r="L37" s="2">
        <v>810</v>
      </c>
      <c r="M37" s="2">
        <v>36</v>
      </c>
      <c r="N37" s="19">
        <v>46228</v>
      </c>
      <c r="O37" s="5">
        <v>46233</v>
      </c>
      <c r="P37" s="5">
        <v>46239</v>
      </c>
      <c r="Q37" s="18" t="s">
        <v>499</v>
      </c>
      <c r="R37" s="2">
        <v>7636</v>
      </c>
    </row>
    <row r="38" spans="1:18" x14ac:dyDescent="0.25">
      <c r="A38" s="18">
        <v>36</v>
      </c>
      <c r="B38" s="18" t="s">
        <v>160</v>
      </c>
      <c r="C38" s="2" t="s">
        <v>49</v>
      </c>
      <c r="D38" s="2" t="s">
        <v>445</v>
      </c>
      <c r="E38" s="2" t="s">
        <v>491</v>
      </c>
      <c r="F38" s="2" t="s">
        <v>92</v>
      </c>
      <c r="G38" s="2" t="s">
        <v>494</v>
      </c>
      <c r="H38" s="2">
        <v>9720463480</v>
      </c>
      <c r="I38" s="2">
        <v>20000</v>
      </c>
      <c r="J38" s="2">
        <v>1580</v>
      </c>
      <c r="K38" s="2">
        <f t="shared" si="0"/>
        <v>18420</v>
      </c>
      <c r="L38" s="2">
        <v>810</v>
      </c>
      <c r="M38" s="2">
        <v>36</v>
      </c>
      <c r="N38" s="19">
        <v>46228</v>
      </c>
      <c r="O38" s="5">
        <v>46233</v>
      </c>
      <c r="P38" s="5">
        <v>46239</v>
      </c>
      <c r="Q38" s="18" t="s">
        <v>499</v>
      </c>
      <c r="R38" s="2">
        <v>1405</v>
      </c>
    </row>
    <row r="39" spans="1:18" x14ac:dyDescent="0.25">
      <c r="A39" s="18">
        <v>37</v>
      </c>
      <c r="B39" s="18" t="s">
        <v>160</v>
      </c>
      <c r="C39" s="2" t="s">
        <v>65</v>
      </c>
      <c r="D39" s="2" t="s">
        <v>490</v>
      </c>
      <c r="E39" s="2" t="s">
        <v>492</v>
      </c>
      <c r="F39" s="2" t="s">
        <v>493</v>
      </c>
      <c r="G39" s="2" t="s">
        <v>495</v>
      </c>
      <c r="H39" s="2">
        <v>8938063338</v>
      </c>
      <c r="I39" s="2">
        <v>10000</v>
      </c>
      <c r="J39" s="2">
        <v>820</v>
      </c>
      <c r="K39" s="2">
        <f t="shared" si="0"/>
        <v>9180</v>
      </c>
      <c r="L39" s="2">
        <v>520</v>
      </c>
      <c r="M39" s="2">
        <v>28</v>
      </c>
      <c r="N39" s="5">
        <v>46231</v>
      </c>
      <c r="O39" s="5">
        <v>46233</v>
      </c>
      <c r="P39" s="5">
        <v>46244</v>
      </c>
      <c r="Q39" s="18" t="s">
        <v>499</v>
      </c>
      <c r="R39" s="2">
        <v>1344</v>
      </c>
    </row>
    <row r="42" spans="1:18" ht="20.25" customHeight="1" x14ac:dyDescent="0.25">
      <c r="I42" s="20">
        <f>SUM(I3:I41)</f>
        <v>690000</v>
      </c>
      <c r="J42" s="20">
        <f>SUM(J3:J41)</f>
        <v>54260</v>
      </c>
      <c r="K42" s="20">
        <f>SUM(K3:K41)</f>
        <v>635740</v>
      </c>
    </row>
    <row r="48" spans="1:18" ht="31.5" x14ac:dyDescent="0.25">
      <c r="A48" s="63" t="s">
        <v>500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</row>
    <row r="49" spans="1:18" ht="47.25" x14ac:dyDescent="0.25">
      <c r="A49" s="17" t="s">
        <v>462</v>
      </c>
      <c r="B49" s="17" t="s">
        <v>464</v>
      </c>
      <c r="C49" s="17" t="s">
        <v>479</v>
      </c>
      <c r="D49" s="17" t="s">
        <v>465</v>
      </c>
      <c r="E49" s="17" t="s">
        <v>480</v>
      </c>
      <c r="F49" s="17" t="s">
        <v>467</v>
      </c>
      <c r="G49" s="17" t="s">
        <v>481</v>
      </c>
      <c r="H49" s="17" t="s">
        <v>482</v>
      </c>
      <c r="I49" s="17" t="s">
        <v>0</v>
      </c>
      <c r="J49" s="17" t="s">
        <v>1</v>
      </c>
      <c r="K49" s="17" t="s">
        <v>483</v>
      </c>
      <c r="L49" s="17" t="s">
        <v>484</v>
      </c>
      <c r="M49" s="17" t="s">
        <v>17</v>
      </c>
      <c r="N49" s="17" t="s">
        <v>485</v>
      </c>
      <c r="O49" s="17" t="s">
        <v>486</v>
      </c>
      <c r="P49" s="17" t="s">
        <v>487</v>
      </c>
      <c r="Q49" s="17" t="s">
        <v>488</v>
      </c>
      <c r="R49" s="17" t="s">
        <v>496</v>
      </c>
    </row>
    <row r="50" spans="1:18" x14ac:dyDescent="0.25">
      <c r="A50" s="18">
        <v>1</v>
      </c>
      <c r="B50" s="18" t="s">
        <v>160</v>
      </c>
      <c r="C50" s="18" t="s">
        <v>49</v>
      </c>
      <c r="D50" s="2" t="s">
        <v>543</v>
      </c>
      <c r="E50" s="2" t="s">
        <v>544</v>
      </c>
      <c r="F50" s="2" t="s">
        <v>547</v>
      </c>
      <c r="G50" s="2" t="s">
        <v>550</v>
      </c>
      <c r="H50" s="2">
        <v>8533034037</v>
      </c>
      <c r="I50" s="2">
        <v>20000</v>
      </c>
      <c r="J50" s="2">
        <v>1580</v>
      </c>
      <c r="K50" s="2">
        <f>I50-J50</f>
        <v>18420</v>
      </c>
      <c r="L50" s="2">
        <v>810</v>
      </c>
      <c r="M50" s="18">
        <v>36</v>
      </c>
      <c r="N50" s="5">
        <v>46235</v>
      </c>
      <c r="O50" s="5">
        <v>46239</v>
      </c>
      <c r="P50" s="5">
        <v>46246</v>
      </c>
      <c r="Q50" s="18" t="s">
        <v>499</v>
      </c>
      <c r="R50" s="2">
        <v>7909</v>
      </c>
    </row>
    <row r="51" spans="1:18" x14ac:dyDescent="0.25">
      <c r="A51" s="18">
        <v>2</v>
      </c>
      <c r="B51" s="18" t="s">
        <v>160</v>
      </c>
      <c r="C51" s="18" t="s">
        <v>49</v>
      </c>
      <c r="D51" s="2" t="s">
        <v>543</v>
      </c>
      <c r="E51" s="2" t="s">
        <v>545</v>
      </c>
      <c r="F51" s="1" t="s">
        <v>548</v>
      </c>
      <c r="G51" s="1" t="s">
        <v>551</v>
      </c>
      <c r="H51" s="1">
        <v>7037011351</v>
      </c>
      <c r="I51" s="1">
        <v>20000</v>
      </c>
      <c r="J51" s="1">
        <v>1580</v>
      </c>
      <c r="K51" s="1">
        <f>I51-J51</f>
        <v>18420</v>
      </c>
      <c r="L51" s="1">
        <v>810</v>
      </c>
      <c r="M51" s="18">
        <v>36</v>
      </c>
      <c r="N51" s="5">
        <v>46235</v>
      </c>
      <c r="O51" s="5">
        <v>46239</v>
      </c>
      <c r="P51" s="5">
        <v>46246</v>
      </c>
      <c r="Q51" s="18" t="s">
        <v>499</v>
      </c>
      <c r="R51" s="1">
        <v>5320</v>
      </c>
    </row>
    <row r="52" spans="1:18" x14ac:dyDescent="0.25">
      <c r="A52" s="18">
        <v>3</v>
      </c>
      <c r="B52" s="18" t="s">
        <v>160</v>
      </c>
      <c r="C52" s="18" t="s">
        <v>49</v>
      </c>
      <c r="D52" s="2" t="s">
        <v>543</v>
      </c>
      <c r="E52" s="2" t="s">
        <v>546</v>
      </c>
      <c r="F52" s="1" t="s">
        <v>549</v>
      </c>
      <c r="G52" s="1" t="s">
        <v>552</v>
      </c>
      <c r="H52" s="1">
        <v>9193134173</v>
      </c>
      <c r="I52" s="1">
        <v>15000</v>
      </c>
      <c r="J52" s="1">
        <v>1260</v>
      </c>
      <c r="K52" s="1">
        <f>I52-J52</f>
        <v>13740</v>
      </c>
      <c r="L52" s="1">
        <v>730</v>
      </c>
      <c r="M52" s="18">
        <v>30</v>
      </c>
      <c r="N52" s="5">
        <v>46235</v>
      </c>
      <c r="O52" s="5">
        <v>46239</v>
      </c>
      <c r="P52" s="5">
        <v>46246</v>
      </c>
      <c r="Q52" s="18" t="s">
        <v>499</v>
      </c>
      <c r="R52" s="1">
        <v>7127</v>
      </c>
    </row>
    <row r="53" spans="1:18" x14ac:dyDescent="0.25">
      <c r="A53" s="18">
        <v>4</v>
      </c>
      <c r="B53" s="18" t="s">
        <v>160</v>
      </c>
      <c r="C53" s="18" t="s">
        <v>57</v>
      </c>
      <c r="D53" s="18" t="s">
        <v>171</v>
      </c>
      <c r="E53" s="2" t="s">
        <v>554</v>
      </c>
      <c r="F53" s="18" t="s">
        <v>174</v>
      </c>
      <c r="G53" s="18" t="s">
        <v>557</v>
      </c>
      <c r="H53" s="18">
        <v>7500304927</v>
      </c>
      <c r="I53" s="18">
        <v>20000</v>
      </c>
      <c r="J53" s="18">
        <v>1580</v>
      </c>
      <c r="K53" s="1">
        <f t="shared" ref="K53:K55" si="1">I53-J53</f>
        <v>18420</v>
      </c>
      <c r="L53" s="18">
        <v>810</v>
      </c>
      <c r="M53" s="18">
        <v>36</v>
      </c>
      <c r="N53" s="19">
        <v>46239</v>
      </c>
      <c r="O53" s="19">
        <v>46240</v>
      </c>
      <c r="P53" s="19">
        <v>46248</v>
      </c>
      <c r="Q53" s="18" t="s">
        <v>499</v>
      </c>
      <c r="R53" s="18">
        <v>1420</v>
      </c>
    </row>
    <row r="54" spans="1:18" x14ac:dyDescent="0.25">
      <c r="A54" s="18">
        <v>5</v>
      </c>
      <c r="B54" s="18" t="s">
        <v>160</v>
      </c>
      <c r="C54" s="18" t="s">
        <v>57</v>
      </c>
      <c r="D54" s="18" t="s">
        <v>171</v>
      </c>
      <c r="E54" s="2" t="s">
        <v>555</v>
      </c>
      <c r="F54" s="18" t="s">
        <v>556</v>
      </c>
      <c r="G54" s="18" t="s">
        <v>558</v>
      </c>
      <c r="H54" s="18">
        <v>8859131330</v>
      </c>
      <c r="I54" s="18">
        <v>20000</v>
      </c>
      <c r="J54" s="18">
        <v>1580</v>
      </c>
      <c r="K54" s="1">
        <f t="shared" si="1"/>
        <v>18420</v>
      </c>
      <c r="L54" s="18">
        <v>810</v>
      </c>
      <c r="M54" s="18">
        <v>36</v>
      </c>
      <c r="N54" s="19">
        <v>46239</v>
      </c>
      <c r="O54" s="19">
        <v>46240</v>
      </c>
      <c r="P54" s="19">
        <v>46248</v>
      </c>
      <c r="Q54" s="18" t="s">
        <v>499</v>
      </c>
      <c r="R54" s="18">
        <v>6632</v>
      </c>
    </row>
    <row r="55" spans="1:18" x14ac:dyDescent="0.25">
      <c r="A55" s="18">
        <v>6</v>
      </c>
      <c r="B55" s="18" t="s">
        <v>160</v>
      </c>
      <c r="C55" s="18" t="s">
        <v>67</v>
      </c>
      <c r="D55" s="18" t="s">
        <v>157</v>
      </c>
      <c r="E55" s="2" t="s">
        <v>561</v>
      </c>
      <c r="F55" s="18" t="s">
        <v>453</v>
      </c>
      <c r="G55" s="18" t="s">
        <v>566</v>
      </c>
      <c r="H55" s="18">
        <v>8650977845</v>
      </c>
      <c r="I55" s="18">
        <v>30000</v>
      </c>
      <c r="J55" s="18">
        <v>2200</v>
      </c>
      <c r="K55" s="18">
        <f t="shared" si="1"/>
        <v>27800</v>
      </c>
      <c r="L55" s="18">
        <v>1000</v>
      </c>
      <c r="M55" s="18">
        <v>41</v>
      </c>
      <c r="N55" s="19">
        <v>46242</v>
      </c>
      <c r="O55" s="19">
        <v>46246</v>
      </c>
      <c r="P55" s="19">
        <v>46254</v>
      </c>
      <c r="Q55" s="18" t="s">
        <v>499</v>
      </c>
      <c r="R55" s="18">
        <v>4154</v>
      </c>
    </row>
    <row r="56" spans="1:18" x14ac:dyDescent="0.25">
      <c r="A56" s="18">
        <v>7</v>
      </c>
      <c r="B56" s="18" t="s">
        <v>160</v>
      </c>
      <c r="C56" s="18" t="s">
        <v>67</v>
      </c>
      <c r="D56" s="18" t="s">
        <v>157</v>
      </c>
      <c r="E56" s="2" t="s">
        <v>562</v>
      </c>
      <c r="F56" s="18" t="s">
        <v>565</v>
      </c>
      <c r="G56" s="18" t="s">
        <v>567</v>
      </c>
      <c r="H56" s="18">
        <v>7599223378</v>
      </c>
      <c r="I56" s="18">
        <v>30000</v>
      </c>
      <c r="J56" s="18">
        <v>2200</v>
      </c>
      <c r="K56" s="18">
        <f t="shared" ref="K56:K59" si="2">I56-J56</f>
        <v>27800</v>
      </c>
      <c r="L56" s="18">
        <v>1000</v>
      </c>
      <c r="M56" s="18">
        <v>41</v>
      </c>
      <c r="N56" s="19">
        <v>46242</v>
      </c>
      <c r="O56" s="19">
        <v>46246</v>
      </c>
      <c r="P56" s="19">
        <v>46254</v>
      </c>
      <c r="Q56" s="18" t="s">
        <v>499</v>
      </c>
      <c r="R56" s="18">
        <v>3307</v>
      </c>
    </row>
    <row r="57" spans="1:18" x14ac:dyDescent="0.25">
      <c r="A57" s="18">
        <v>8</v>
      </c>
      <c r="B57" s="18" t="s">
        <v>160</v>
      </c>
      <c r="C57" s="18" t="s">
        <v>67</v>
      </c>
      <c r="D57" s="18" t="s">
        <v>157</v>
      </c>
      <c r="E57" s="2" t="s">
        <v>563</v>
      </c>
      <c r="F57" s="18" t="s">
        <v>294</v>
      </c>
      <c r="G57" s="18" t="s">
        <v>568</v>
      </c>
      <c r="H57" s="18">
        <v>9259505033</v>
      </c>
      <c r="I57" s="18">
        <v>30000</v>
      </c>
      <c r="J57" s="18">
        <v>2200</v>
      </c>
      <c r="K57" s="18">
        <f t="shared" si="2"/>
        <v>27800</v>
      </c>
      <c r="L57" s="18">
        <v>1000</v>
      </c>
      <c r="M57" s="18">
        <v>41</v>
      </c>
      <c r="N57" s="19">
        <v>46242</v>
      </c>
      <c r="O57" s="19">
        <v>46246</v>
      </c>
      <c r="P57" s="19">
        <v>46254</v>
      </c>
      <c r="Q57" s="18" t="s">
        <v>499</v>
      </c>
      <c r="R57" s="18">
        <v>8523</v>
      </c>
    </row>
    <row r="58" spans="1:18" x14ac:dyDescent="0.25">
      <c r="A58" s="18">
        <v>9</v>
      </c>
      <c r="B58" s="18" t="s">
        <v>160</v>
      </c>
      <c r="C58" s="18" t="s">
        <v>57</v>
      </c>
      <c r="D58" s="18" t="s">
        <v>560</v>
      </c>
      <c r="E58" s="2" t="s">
        <v>564</v>
      </c>
      <c r="F58" s="18" t="s">
        <v>59</v>
      </c>
      <c r="G58" s="18" t="s">
        <v>455</v>
      </c>
      <c r="H58" s="18">
        <v>7500502110</v>
      </c>
      <c r="I58" s="18">
        <v>20000</v>
      </c>
      <c r="J58" s="18">
        <v>1580</v>
      </c>
      <c r="K58" s="18">
        <f t="shared" si="2"/>
        <v>18420</v>
      </c>
      <c r="L58" s="18">
        <v>810</v>
      </c>
      <c r="M58" s="18">
        <v>36</v>
      </c>
      <c r="N58" s="19">
        <v>46239</v>
      </c>
      <c r="O58" s="19">
        <v>46246</v>
      </c>
      <c r="P58" s="19">
        <v>46248</v>
      </c>
      <c r="Q58" s="18" t="s">
        <v>499</v>
      </c>
      <c r="R58" s="18">
        <v>2202</v>
      </c>
    </row>
    <row r="59" spans="1:18" x14ac:dyDescent="0.25">
      <c r="A59" s="18">
        <v>10</v>
      </c>
      <c r="B59" s="18" t="s">
        <v>160</v>
      </c>
      <c r="C59" s="18" t="s">
        <v>67</v>
      </c>
      <c r="D59" s="18" t="s">
        <v>569</v>
      </c>
      <c r="E59" s="18" t="s">
        <v>570</v>
      </c>
      <c r="F59" s="18" t="s">
        <v>414</v>
      </c>
      <c r="G59" s="18" t="s">
        <v>571</v>
      </c>
      <c r="H59" s="18">
        <v>9917783324</v>
      </c>
      <c r="I59" s="18">
        <v>30000</v>
      </c>
      <c r="J59" s="18">
        <v>2200</v>
      </c>
      <c r="K59" s="18">
        <f t="shared" si="2"/>
        <v>27800</v>
      </c>
      <c r="L59" s="18">
        <v>1000</v>
      </c>
      <c r="M59" s="18">
        <v>41</v>
      </c>
      <c r="N59" s="19">
        <v>46242</v>
      </c>
      <c r="O59" s="19">
        <v>46248</v>
      </c>
      <c r="P59" s="19">
        <v>46254</v>
      </c>
      <c r="Q59" s="18" t="s">
        <v>499</v>
      </c>
      <c r="R59" s="18">
        <v>2959</v>
      </c>
    </row>
  </sheetData>
  <mergeCells count="2">
    <mergeCell ref="A1:R1"/>
    <mergeCell ref="A48:R4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42DA-D599-40AC-A079-625B2879D6DB}">
  <dimension ref="A1:U124"/>
  <sheetViews>
    <sheetView topLeftCell="D86" workbookViewId="0">
      <selection activeCell="Q103" sqref="Q103"/>
    </sheetView>
  </sheetViews>
  <sheetFormatPr defaultRowHeight="15" x14ac:dyDescent="0.25"/>
  <cols>
    <col min="1" max="1" width="5.140625" customWidth="1"/>
    <col min="2" max="2" width="11.7109375" customWidth="1"/>
    <col min="3" max="3" width="11.42578125" customWidth="1"/>
    <col min="4" max="4" width="11" customWidth="1"/>
    <col min="5" max="5" width="12.140625" customWidth="1"/>
    <col min="6" max="6" width="14.7109375" customWidth="1"/>
    <col min="7" max="7" width="11.28515625" bestFit="1" customWidth="1"/>
    <col min="8" max="8" width="14.42578125" customWidth="1"/>
    <col min="11" max="11" width="13.28515625" customWidth="1"/>
    <col min="14" max="14" width="12.42578125" customWidth="1"/>
    <col min="21" max="21" width="27.5703125" customWidth="1"/>
  </cols>
  <sheetData>
    <row r="1" spans="1:21" ht="32.25" thickBot="1" x14ac:dyDescent="0.55000000000000004">
      <c r="A1" s="57" t="s">
        <v>501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9" t="s">
        <v>502</v>
      </c>
      <c r="M1" s="60"/>
      <c r="N1" s="60"/>
      <c r="O1" s="60"/>
      <c r="P1" s="60"/>
      <c r="Q1" s="60"/>
      <c r="R1" s="60"/>
      <c r="S1" s="60"/>
      <c r="T1" s="60"/>
      <c r="U1" s="61"/>
    </row>
    <row r="2" spans="1:21" ht="75.75" customHeight="1" thickBot="1" x14ac:dyDescent="0.3">
      <c r="A2" s="21" t="s">
        <v>503</v>
      </c>
      <c r="B2" s="21" t="s">
        <v>504</v>
      </c>
      <c r="C2" s="21" t="s">
        <v>463</v>
      </c>
      <c r="D2" s="21" t="s">
        <v>470</v>
      </c>
      <c r="E2" s="21" t="s">
        <v>21</v>
      </c>
      <c r="F2" s="22" t="s">
        <v>505</v>
      </c>
      <c r="G2" s="21" t="s">
        <v>506</v>
      </c>
      <c r="H2" s="21" t="s">
        <v>507</v>
      </c>
      <c r="I2" s="23" t="s">
        <v>508</v>
      </c>
      <c r="J2" s="21" t="s">
        <v>509</v>
      </c>
      <c r="K2" s="24" t="s">
        <v>510</v>
      </c>
      <c r="L2" s="25" t="s">
        <v>511</v>
      </c>
      <c r="M2" s="25" t="s">
        <v>512</v>
      </c>
      <c r="N2" s="26" t="s">
        <v>513</v>
      </c>
      <c r="O2" s="26" t="s">
        <v>514</v>
      </c>
      <c r="P2" s="27" t="s">
        <v>515</v>
      </c>
      <c r="Q2" s="26" t="s">
        <v>516</v>
      </c>
      <c r="R2" s="27" t="s">
        <v>517</v>
      </c>
      <c r="S2" s="27" t="s">
        <v>518</v>
      </c>
      <c r="T2" s="27" t="s">
        <v>519</v>
      </c>
      <c r="U2" s="27" t="s">
        <v>520</v>
      </c>
    </row>
    <row r="3" spans="1:21" x14ac:dyDescent="0.25">
      <c r="A3" s="28">
        <v>1</v>
      </c>
      <c r="B3" s="29" t="s">
        <v>157</v>
      </c>
      <c r="C3" s="29">
        <v>46148</v>
      </c>
      <c r="D3" s="28">
        <v>810</v>
      </c>
      <c r="E3" s="28">
        <v>0</v>
      </c>
      <c r="F3" s="30">
        <f t="shared" ref="F3:F19" si="0">D3+E3</f>
        <v>810</v>
      </c>
      <c r="G3" s="28">
        <v>0</v>
      </c>
      <c r="H3" s="28">
        <f t="shared" ref="H3:H5" si="1">F3-G3</f>
        <v>810</v>
      </c>
      <c r="I3" s="28">
        <v>0</v>
      </c>
      <c r="J3" s="28">
        <v>0</v>
      </c>
      <c r="K3" s="31">
        <f t="shared" ref="K3:K19" si="2">H3+I3+J3</f>
        <v>810</v>
      </c>
      <c r="L3" s="32">
        <v>0</v>
      </c>
      <c r="M3" s="32">
        <v>0</v>
      </c>
      <c r="N3" s="32">
        <v>810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f>K3+L3+M3-N3-O3-P3-Q3-R3-S3</f>
        <v>0</v>
      </c>
      <c r="U3" s="33"/>
    </row>
    <row r="4" spans="1:21" x14ac:dyDescent="0.25">
      <c r="A4" s="28">
        <v>2</v>
      </c>
      <c r="B4" s="29" t="s">
        <v>157</v>
      </c>
      <c r="C4" s="29">
        <v>46154</v>
      </c>
      <c r="D4" s="28">
        <v>810</v>
      </c>
      <c r="E4" s="28">
        <v>0</v>
      </c>
      <c r="F4" s="30">
        <f t="shared" si="0"/>
        <v>810</v>
      </c>
      <c r="G4" s="28">
        <v>0</v>
      </c>
      <c r="H4" s="28">
        <f t="shared" si="1"/>
        <v>810</v>
      </c>
      <c r="I4" s="28">
        <v>0</v>
      </c>
      <c r="J4" s="28">
        <v>0</v>
      </c>
      <c r="K4" s="31">
        <f t="shared" si="2"/>
        <v>810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f t="shared" ref="T4:T19" si="3">K4+L4+M4-N4-O4-P4-Q4-R4-S4</f>
        <v>810</v>
      </c>
      <c r="U4" s="33"/>
    </row>
    <row r="5" spans="1:21" x14ac:dyDescent="0.25">
      <c r="A5" s="28">
        <v>3</v>
      </c>
      <c r="B5" s="29" t="s">
        <v>157</v>
      </c>
      <c r="C5" s="29">
        <v>46155</v>
      </c>
      <c r="D5" s="28">
        <v>1330</v>
      </c>
      <c r="E5" s="28">
        <v>0</v>
      </c>
      <c r="F5" s="30">
        <f t="shared" si="0"/>
        <v>1330</v>
      </c>
      <c r="G5" s="28">
        <v>0</v>
      </c>
      <c r="H5" s="28">
        <f t="shared" si="1"/>
        <v>1330</v>
      </c>
      <c r="I5" s="28">
        <v>0</v>
      </c>
      <c r="J5" s="28">
        <v>0</v>
      </c>
      <c r="K5" s="31">
        <f t="shared" si="2"/>
        <v>1330</v>
      </c>
      <c r="L5" s="32">
        <v>810</v>
      </c>
      <c r="M5" s="32">
        <v>0</v>
      </c>
      <c r="N5" s="32">
        <v>2140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f t="shared" si="3"/>
        <v>0</v>
      </c>
      <c r="U5" s="33"/>
    </row>
    <row r="6" spans="1:21" x14ac:dyDescent="0.25">
      <c r="A6" s="28">
        <v>4</v>
      </c>
      <c r="B6" s="29" t="s">
        <v>157</v>
      </c>
      <c r="C6" s="29">
        <v>46156</v>
      </c>
      <c r="D6" s="28">
        <v>2430</v>
      </c>
      <c r="E6" s="28">
        <v>1620</v>
      </c>
      <c r="F6" s="30">
        <f t="shared" si="0"/>
        <v>4050</v>
      </c>
      <c r="G6" s="28">
        <v>0</v>
      </c>
      <c r="H6" s="30">
        <f>F6-G6</f>
        <v>4050</v>
      </c>
      <c r="I6" s="28">
        <v>0</v>
      </c>
      <c r="J6" s="28">
        <v>0</v>
      </c>
      <c r="K6" s="31">
        <f t="shared" si="2"/>
        <v>4050</v>
      </c>
      <c r="L6" s="32">
        <v>0</v>
      </c>
      <c r="M6" s="32">
        <v>0</v>
      </c>
      <c r="N6" s="32">
        <v>3240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f t="shared" si="3"/>
        <v>810</v>
      </c>
      <c r="U6" s="33"/>
    </row>
    <row r="7" spans="1:21" x14ac:dyDescent="0.25">
      <c r="A7" s="28">
        <v>5</v>
      </c>
      <c r="B7" s="29" t="s">
        <v>157</v>
      </c>
      <c r="C7" s="29">
        <v>46157</v>
      </c>
      <c r="D7" s="28">
        <v>810</v>
      </c>
      <c r="E7" s="28">
        <v>810</v>
      </c>
      <c r="F7" s="30">
        <f t="shared" si="0"/>
        <v>1620</v>
      </c>
      <c r="G7" s="28">
        <v>0</v>
      </c>
      <c r="H7" s="30">
        <f t="shared" ref="H7:H19" si="4">F7-G7</f>
        <v>1620</v>
      </c>
      <c r="I7" s="28">
        <v>0</v>
      </c>
      <c r="J7" s="28">
        <v>0</v>
      </c>
      <c r="K7" s="31">
        <f t="shared" si="2"/>
        <v>1620</v>
      </c>
      <c r="L7" s="32">
        <v>810</v>
      </c>
      <c r="M7" s="32">
        <v>0</v>
      </c>
      <c r="N7" s="32">
        <v>1620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f t="shared" si="3"/>
        <v>810</v>
      </c>
      <c r="U7" s="33"/>
    </row>
    <row r="8" spans="1:21" x14ac:dyDescent="0.25">
      <c r="A8" s="28">
        <v>6</v>
      </c>
      <c r="B8" s="29" t="s">
        <v>157</v>
      </c>
      <c r="C8" s="29">
        <v>46158</v>
      </c>
      <c r="D8" s="28">
        <v>0</v>
      </c>
      <c r="E8" s="28">
        <v>0</v>
      </c>
      <c r="F8" s="30">
        <f t="shared" si="0"/>
        <v>0</v>
      </c>
      <c r="G8" s="28">
        <v>0</v>
      </c>
      <c r="H8" s="30">
        <f t="shared" si="4"/>
        <v>0</v>
      </c>
      <c r="I8" s="28">
        <v>0</v>
      </c>
      <c r="J8" s="28">
        <v>0</v>
      </c>
      <c r="K8" s="31">
        <f t="shared" si="2"/>
        <v>0</v>
      </c>
      <c r="L8" s="32">
        <v>810</v>
      </c>
      <c r="M8" s="32">
        <v>0</v>
      </c>
      <c r="N8" s="32">
        <v>810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f t="shared" si="3"/>
        <v>0</v>
      </c>
      <c r="U8" s="33"/>
    </row>
    <row r="9" spans="1:21" x14ac:dyDescent="0.25">
      <c r="A9" s="28">
        <v>7</v>
      </c>
      <c r="B9" s="29" t="s">
        <v>157</v>
      </c>
      <c r="C9" s="29">
        <v>46161</v>
      </c>
      <c r="D9" s="28">
        <v>810</v>
      </c>
      <c r="E9" s="28">
        <v>810</v>
      </c>
      <c r="F9" s="30">
        <f t="shared" si="0"/>
        <v>1620</v>
      </c>
      <c r="G9" s="28">
        <v>0</v>
      </c>
      <c r="H9" s="30">
        <f t="shared" si="4"/>
        <v>1620</v>
      </c>
      <c r="I9" s="28">
        <v>0</v>
      </c>
      <c r="J9" s="28">
        <v>0</v>
      </c>
      <c r="K9" s="31">
        <f t="shared" si="2"/>
        <v>1620</v>
      </c>
      <c r="L9" s="32">
        <v>0</v>
      </c>
      <c r="M9" s="32">
        <v>0</v>
      </c>
      <c r="N9" s="32">
        <v>820</v>
      </c>
      <c r="O9" s="32">
        <v>0</v>
      </c>
      <c r="P9" s="32">
        <v>0</v>
      </c>
      <c r="Q9" s="32">
        <v>800</v>
      </c>
      <c r="R9" s="32">
        <v>0</v>
      </c>
      <c r="S9" s="32">
        <v>0</v>
      </c>
      <c r="T9" s="32">
        <f t="shared" si="3"/>
        <v>0</v>
      </c>
      <c r="U9" s="33" t="s">
        <v>521</v>
      </c>
    </row>
    <row r="10" spans="1:21" x14ac:dyDescent="0.25">
      <c r="A10" s="28">
        <v>8</v>
      </c>
      <c r="B10" s="29" t="s">
        <v>157</v>
      </c>
      <c r="C10" s="29">
        <v>46162</v>
      </c>
      <c r="D10" s="28">
        <v>1330</v>
      </c>
      <c r="E10" s="28">
        <v>0</v>
      </c>
      <c r="F10" s="30">
        <f t="shared" si="0"/>
        <v>1330</v>
      </c>
      <c r="G10" s="28">
        <v>0</v>
      </c>
      <c r="H10" s="30">
        <f t="shared" si="4"/>
        <v>1330</v>
      </c>
      <c r="I10" s="28">
        <v>0</v>
      </c>
      <c r="J10" s="28">
        <v>0</v>
      </c>
      <c r="K10" s="31">
        <f t="shared" si="2"/>
        <v>1330</v>
      </c>
      <c r="L10" s="32">
        <v>0</v>
      </c>
      <c r="M10" s="32">
        <v>0</v>
      </c>
      <c r="N10" s="32">
        <v>1330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f t="shared" si="3"/>
        <v>0</v>
      </c>
      <c r="U10" s="33"/>
    </row>
    <row r="11" spans="1:21" x14ac:dyDescent="0.25">
      <c r="A11" s="28">
        <v>9</v>
      </c>
      <c r="B11" s="29" t="s">
        <v>157</v>
      </c>
      <c r="C11" s="29">
        <v>46163</v>
      </c>
      <c r="D11" s="28">
        <v>6050</v>
      </c>
      <c r="E11" s="28">
        <v>5240</v>
      </c>
      <c r="F11" s="30">
        <f t="shared" si="0"/>
        <v>11290</v>
      </c>
      <c r="G11" s="28">
        <v>0</v>
      </c>
      <c r="H11" s="30">
        <f t="shared" si="4"/>
        <v>11290</v>
      </c>
      <c r="I11" s="28">
        <v>0</v>
      </c>
      <c r="J11" s="28">
        <v>0</v>
      </c>
      <c r="K11" s="31">
        <f t="shared" si="2"/>
        <v>11290</v>
      </c>
      <c r="L11" s="32">
        <v>0</v>
      </c>
      <c r="M11" s="32">
        <v>0</v>
      </c>
      <c r="N11" s="32">
        <v>6100</v>
      </c>
      <c r="O11" s="32">
        <v>0</v>
      </c>
      <c r="P11" s="32">
        <v>0</v>
      </c>
      <c r="Q11" s="32">
        <v>2500</v>
      </c>
      <c r="R11" s="32">
        <v>0</v>
      </c>
      <c r="S11" s="32">
        <v>0</v>
      </c>
      <c r="T11" s="32">
        <f t="shared" si="3"/>
        <v>2690</v>
      </c>
      <c r="U11" s="33" t="s">
        <v>522</v>
      </c>
    </row>
    <row r="12" spans="1:21" x14ac:dyDescent="0.25">
      <c r="A12" s="28">
        <v>10</v>
      </c>
      <c r="B12" s="29" t="s">
        <v>157</v>
      </c>
      <c r="C12" s="29">
        <v>46164</v>
      </c>
      <c r="D12" s="28">
        <v>1620</v>
      </c>
      <c r="E12" s="28">
        <v>1620</v>
      </c>
      <c r="F12" s="30">
        <f t="shared" si="0"/>
        <v>3240</v>
      </c>
      <c r="G12" s="28">
        <v>0</v>
      </c>
      <c r="H12" s="30">
        <f t="shared" si="4"/>
        <v>3240</v>
      </c>
      <c r="I12" s="28">
        <v>0</v>
      </c>
      <c r="J12" s="28">
        <v>0</v>
      </c>
      <c r="K12" s="31">
        <f t="shared" si="2"/>
        <v>3240</v>
      </c>
      <c r="L12" s="32">
        <v>2690</v>
      </c>
      <c r="M12" s="32">
        <v>0</v>
      </c>
      <c r="N12" s="32">
        <v>5930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f t="shared" si="3"/>
        <v>0</v>
      </c>
      <c r="U12" s="33"/>
    </row>
    <row r="13" spans="1:21" x14ac:dyDescent="0.25">
      <c r="A13" s="28">
        <v>11</v>
      </c>
      <c r="B13" s="29" t="s">
        <v>157</v>
      </c>
      <c r="C13" s="29">
        <v>46167</v>
      </c>
      <c r="D13" s="28">
        <v>0</v>
      </c>
      <c r="E13" s="28">
        <v>810</v>
      </c>
      <c r="F13" s="30">
        <f t="shared" si="0"/>
        <v>810</v>
      </c>
      <c r="G13" s="28">
        <v>0</v>
      </c>
      <c r="H13" s="30">
        <f t="shared" si="4"/>
        <v>810</v>
      </c>
      <c r="I13" s="28">
        <v>0</v>
      </c>
      <c r="J13" s="28">
        <v>0</v>
      </c>
      <c r="K13" s="31">
        <f t="shared" si="2"/>
        <v>810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f t="shared" si="3"/>
        <v>810</v>
      </c>
      <c r="U13" s="33"/>
    </row>
    <row r="14" spans="1:21" x14ac:dyDescent="0.25">
      <c r="A14" s="28">
        <v>12</v>
      </c>
      <c r="B14" s="29" t="s">
        <v>157</v>
      </c>
      <c r="C14" s="29">
        <v>46168</v>
      </c>
      <c r="D14" s="28">
        <v>9650</v>
      </c>
      <c r="E14" s="28">
        <v>12890</v>
      </c>
      <c r="F14" s="30">
        <f t="shared" si="0"/>
        <v>22540</v>
      </c>
      <c r="G14" s="28">
        <v>0</v>
      </c>
      <c r="H14" s="30">
        <f t="shared" si="4"/>
        <v>22540</v>
      </c>
      <c r="I14" s="28">
        <v>0</v>
      </c>
      <c r="J14" s="28">
        <v>0</v>
      </c>
      <c r="K14" s="31">
        <f t="shared" si="2"/>
        <v>22540</v>
      </c>
      <c r="L14" s="32">
        <v>810</v>
      </c>
      <c r="M14" s="32">
        <v>0</v>
      </c>
      <c r="N14" s="32">
        <v>17420</v>
      </c>
      <c r="O14" s="32">
        <v>5970</v>
      </c>
      <c r="P14" s="32">
        <v>0</v>
      </c>
      <c r="Q14" s="32">
        <v>0</v>
      </c>
      <c r="R14" s="32">
        <v>0</v>
      </c>
      <c r="S14" s="32">
        <v>0</v>
      </c>
      <c r="T14" s="32">
        <f t="shared" si="3"/>
        <v>-40</v>
      </c>
      <c r="U14" s="33"/>
    </row>
    <row r="15" spans="1:21" x14ac:dyDescent="0.25">
      <c r="A15" s="28">
        <v>13</v>
      </c>
      <c r="B15" s="29" t="s">
        <v>157</v>
      </c>
      <c r="C15" s="29">
        <v>46169</v>
      </c>
      <c r="D15" s="28">
        <v>1850</v>
      </c>
      <c r="E15" s="28">
        <v>3240</v>
      </c>
      <c r="F15" s="30">
        <f t="shared" si="0"/>
        <v>5090</v>
      </c>
      <c r="G15" s="28">
        <v>0</v>
      </c>
      <c r="H15" s="30">
        <f t="shared" si="4"/>
        <v>5090</v>
      </c>
      <c r="I15" s="28">
        <v>0</v>
      </c>
      <c r="J15" s="28">
        <v>0</v>
      </c>
      <c r="K15" s="31">
        <f t="shared" si="2"/>
        <v>5090</v>
      </c>
      <c r="L15" s="32">
        <v>-40</v>
      </c>
      <c r="M15" s="32">
        <v>0</v>
      </c>
      <c r="N15" s="32">
        <v>1620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f t="shared" si="3"/>
        <v>3430</v>
      </c>
      <c r="U15" s="33"/>
    </row>
    <row r="16" spans="1:21" x14ac:dyDescent="0.25">
      <c r="A16" s="28">
        <v>14</v>
      </c>
      <c r="B16" s="29" t="s">
        <v>157</v>
      </c>
      <c r="C16" s="29">
        <v>46171</v>
      </c>
      <c r="D16" s="28">
        <v>2430</v>
      </c>
      <c r="E16" s="28">
        <v>2430</v>
      </c>
      <c r="F16" s="30">
        <f t="shared" si="0"/>
        <v>4860</v>
      </c>
      <c r="G16" s="28">
        <v>0</v>
      </c>
      <c r="H16" s="30">
        <f t="shared" si="4"/>
        <v>4860</v>
      </c>
      <c r="I16" s="28">
        <v>0</v>
      </c>
      <c r="J16" s="28">
        <v>0</v>
      </c>
      <c r="K16" s="31">
        <f t="shared" si="2"/>
        <v>4860</v>
      </c>
      <c r="L16" s="32">
        <v>3430</v>
      </c>
      <c r="M16" s="32">
        <v>0</v>
      </c>
      <c r="N16" s="32">
        <v>6680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f t="shared" si="3"/>
        <v>1610</v>
      </c>
      <c r="U16" s="33"/>
    </row>
    <row r="17" spans="1:21" x14ac:dyDescent="0.25">
      <c r="A17" s="28">
        <v>15</v>
      </c>
      <c r="B17" s="29" t="s">
        <v>157</v>
      </c>
      <c r="C17" s="29">
        <v>46172</v>
      </c>
      <c r="D17" s="28">
        <v>0</v>
      </c>
      <c r="E17" s="28">
        <v>0</v>
      </c>
      <c r="F17" s="30">
        <f t="shared" si="0"/>
        <v>0</v>
      </c>
      <c r="G17" s="28">
        <v>0</v>
      </c>
      <c r="H17" s="30">
        <f t="shared" si="4"/>
        <v>0</v>
      </c>
      <c r="I17" s="28">
        <v>0</v>
      </c>
      <c r="J17" s="28">
        <v>0</v>
      </c>
      <c r="K17" s="31">
        <f t="shared" si="2"/>
        <v>0</v>
      </c>
      <c r="L17" s="32">
        <v>1610</v>
      </c>
      <c r="M17" s="32">
        <v>0</v>
      </c>
      <c r="N17" s="32">
        <v>0</v>
      </c>
      <c r="O17" s="32">
        <v>1610</v>
      </c>
      <c r="P17" s="32">
        <v>0</v>
      </c>
      <c r="Q17" s="32">
        <v>0</v>
      </c>
      <c r="R17" s="32">
        <v>0</v>
      </c>
      <c r="S17" s="32">
        <v>0</v>
      </c>
      <c r="T17" s="32">
        <f t="shared" si="3"/>
        <v>0</v>
      </c>
      <c r="U17" s="33"/>
    </row>
    <row r="18" spans="1:21" x14ac:dyDescent="0.25">
      <c r="A18" s="28"/>
      <c r="B18" s="29"/>
      <c r="C18" s="29"/>
      <c r="D18" s="28">
        <v>0</v>
      </c>
      <c r="E18" s="28">
        <v>0</v>
      </c>
      <c r="F18" s="30">
        <f t="shared" si="0"/>
        <v>0</v>
      </c>
      <c r="G18" s="28">
        <v>0</v>
      </c>
      <c r="H18" s="30">
        <f t="shared" si="4"/>
        <v>0</v>
      </c>
      <c r="I18" s="28">
        <v>0</v>
      </c>
      <c r="J18" s="28">
        <v>0</v>
      </c>
      <c r="K18" s="31">
        <f t="shared" si="2"/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f t="shared" si="3"/>
        <v>0</v>
      </c>
      <c r="U18" s="33"/>
    </row>
    <row r="19" spans="1:21" x14ac:dyDescent="0.25">
      <c r="A19" s="28"/>
      <c r="B19" s="29"/>
      <c r="C19" s="29"/>
      <c r="D19" s="28">
        <v>0</v>
      </c>
      <c r="E19" s="28">
        <v>0</v>
      </c>
      <c r="F19" s="30">
        <f t="shared" si="0"/>
        <v>0</v>
      </c>
      <c r="G19" s="28">
        <v>0</v>
      </c>
      <c r="H19" s="30">
        <f t="shared" si="4"/>
        <v>0</v>
      </c>
      <c r="I19" s="28">
        <v>0</v>
      </c>
      <c r="J19" s="28">
        <v>0</v>
      </c>
      <c r="K19" s="31">
        <f t="shared" si="2"/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f t="shared" si="3"/>
        <v>0</v>
      </c>
      <c r="U19" s="33"/>
    </row>
    <row r="20" spans="1:21" ht="15.75" thickBo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1" ht="19.5" thickBot="1" x14ac:dyDescent="0.35">
      <c r="A21" s="35"/>
      <c r="B21" s="35"/>
      <c r="C21" s="35"/>
      <c r="D21" s="36">
        <f t="shared" ref="D21:S21" si="5">SUM(D3:D20)</f>
        <v>29930</v>
      </c>
      <c r="E21" s="36">
        <f t="shared" si="5"/>
        <v>29470</v>
      </c>
      <c r="F21" s="36">
        <f t="shared" si="5"/>
        <v>59400</v>
      </c>
      <c r="G21" s="36">
        <f t="shared" si="5"/>
        <v>0</v>
      </c>
      <c r="H21" s="36">
        <f t="shared" si="5"/>
        <v>59400</v>
      </c>
      <c r="I21" s="36">
        <f t="shared" si="5"/>
        <v>0</v>
      </c>
      <c r="J21" s="36">
        <f t="shared" si="5"/>
        <v>0</v>
      </c>
      <c r="K21" s="37">
        <f t="shared" si="5"/>
        <v>59400</v>
      </c>
      <c r="L21" s="38">
        <f t="shared" si="5"/>
        <v>10930</v>
      </c>
      <c r="M21" s="39">
        <f t="shared" si="5"/>
        <v>0</v>
      </c>
      <c r="N21" s="39">
        <f t="shared" si="5"/>
        <v>48520</v>
      </c>
      <c r="O21" s="39">
        <f t="shared" si="5"/>
        <v>7580</v>
      </c>
      <c r="P21" s="39">
        <f t="shared" si="5"/>
        <v>0</v>
      </c>
      <c r="Q21" s="39">
        <f t="shared" si="5"/>
        <v>3300</v>
      </c>
      <c r="R21" s="39">
        <f t="shared" si="5"/>
        <v>0</v>
      </c>
      <c r="S21" s="39">
        <f t="shared" si="5"/>
        <v>0</v>
      </c>
      <c r="T21" s="40"/>
      <c r="U21" s="41"/>
    </row>
    <row r="23" spans="1:21" ht="15.75" thickBot="1" x14ac:dyDescent="0.3"/>
    <row r="24" spans="1:21" ht="32.25" thickBot="1" x14ac:dyDescent="0.55000000000000004">
      <c r="A24" s="57" t="s">
        <v>523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 t="s">
        <v>502</v>
      </c>
      <c r="M24" s="60"/>
      <c r="N24" s="60"/>
      <c r="O24" s="60"/>
      <c r="P24" s="60"/>
      <c r="Q24" s="60"/>
      <c r="R24" s="60"/>
      <c r="S24" s="60"/>
      <c r="T24" s="60"/>
      <c r="U24" s="61"/>
    </row>
    <row r="25" spans="1:21" ht="111" thickBot="1" x14ac:dyDescent="0.3">
      <c r="A25" s="21" t="s">
        <v>503</v>
      </c>
      <c r="B25" s="21" t="s">
        <v>504</v>
      </c>
      <c r="C25" s="21" t="s">
        <v>463</v>
      </c>
      <c r="D25" s="21" t="s">
        <v>470</v>
      </c>
      <c r="E25" s="21" t="s">
        <v>21</v>
      </c>
      <c r="F25" s="22" t="s">
        <v>505</v>
      </c>
      <c r="G25" s="21" t="s">
        <v>506</v>
      </c>
      <c r="H25" s="21" t="s">
        <v>507</v>
      </c>
      <c r="I25" s="23" t="s">
        <v>508</v>
      </c>
      <c r="J25" s="21" t="s">
        <v>509</v>
      </c>
      <c r="K25" s="24" t="s">
        <v>510</v>
      </c>
      <c r="L25" s="25" t="s">
        <v>511</v>
      </c>
      <c r="M25" s="25" t="s">
        <v>512</v>
      </c>
      <c r="N25" s="26" t="s">
        <v>513</v>
      </c>
      <c r="O25" s="26" t="s">
        <v>514</v>
      </c>
      <c r="P25" s="27" t="s">
        <v>515</v>
      </c>
      <c r="Q25" s="26" t="s">
        <v>516</v>
      </c>
      <c r="R25" s="27" t="s">
        <v>517</v>
      </c>
      <c r="S25" s="27" t="s">
        <v>518</v>
      </c>
      <c r="T25" s="27" t="s">
        <v>519</v>
      </c>
      <c r="U25" s="27" t="s">
        <v>520</v>
      </c>
    </row>
    <row r="26" spans="1:21" x14ac:dyDescent="0.25">
      <c r="A26" s="28">
        <v>1</v>
      </c>
      <c r="B26" s="29" t="s">
        <v>157</v>
      </c>
      <c r="C26" s="29">
        <v>46175</v>
      </c>
      <c r="D26" s="28">
        <v>8240</v>
      </c>
      <c r="E26" s="28">
        <v>8240</v>
      </c>
      <c r="F26" s="30">
        <f t="shared" ref="F26:F47" si="6">D26+E26</f>
        <v>16480</v>
      </c>
      <c r="G26" s="28">
        <v>0</v>
      </c>
      <c r="H26" s="30">
        <f t="shared" ref="H26:H47" si="7">F26-G26</f>
        <v>16480</v>
      </c>
      <c r="I26" s="28">
        <v>0</v>
      </c>
      <c r="J26" s="28">
        <v>0</v>
      </c>
      <c r="K26" s="31">
        <f t="shared" ref="K26:K47" si="8">H26+I26+J26</f>
        <v>16480</v>
      </c>
      <c r="L26" s="32">
        <v>0</v>
      </c>
      <c r="M26" s="32">
        <v>0</v>
      </c>
      <c r="N26" s="32">
        <v>1660</v>
      </c>
      <c r="O26" s="32">
        <v>13200</v>
      </c>
      <c r="P26" s="32">
        <v>0</v>
      </c>
      <c r="Q26" s="32">
        <v>0</v>
      </c>
      <c r="R26" s="32">
        <v>0</v>
      </c>
      <c r="S26" s="32">
        <v>0</v>
      </c>
      <c r="T26" s="32">
        <f t="shared" ref="T26:T47" si="9">K26+L26+M26-N26-O26-P26-Q26-R26-S26</f>
        <v>1620</v>
      </c>
      <c r="U26" s="33"/>
    </row>
    <row r="27" spans="1:21" x14ac:dyDescent="0.25">
      <c r="A27" s="28">
        <v>2</v>
      </c>
      <c r="B27" s="29" t="s">
        <v>157</v>
      </c>
      <c r="C27" s="29">
        <v>46176</v>
      </c>
      <c r="D27" s="28">
        <v>3180</v>
      </c>
      <c r="E27" s="28">
        <v>520</v>
      </c>
      <c r="F27" s="30">
        <f t="shared" si="6"/>
        <v>3700</v>
      </c>
      <c r="G27" s="28">
        <v>0</v>
      </c>
      <c r="H27" s="30">
        <f t="shared" si="7"/>
        <v>3700</v>
      </c>
      <c r="I27" s="28">
        <v>0</v>
      </c>
      <c r="J27" s="28">
        <v>0</v>
      </c>
      <c r="K27" s="31">
        <f t="shared" si="8"/>
        <v>3700</v>
      </c>
      <c r="L27" s="32">
        <v>1620</v>
      </c>
      <c r="M27" s="32">
        <v>0</v>
      </c>
      <c r="N27" s="32">
        <v>0</v>
      </c>
      <c r="O27" s="32">
        <v>0</v>
      </c>
      <c r="P27" s="32">
        <v>0</v>
      </c>
      <c r="Q27" s="32">
        <v>5320</v>
      </c>
      <c r="R27" s="32">
        <v>0</v>
      </c>
      <c r="S27" s="32">
        <v>0</v>
      </c>
      <c r="T27" s="32">
        <f t="shared" si="9"/>
        <v>0</v>
      </c>
      <c r="U27" s="33" t="s">
        <v>524</v>
      </c>
    </row>
    <row r="28" spans="1:21" x14ac:dyDescent="0.25">
      <c r="A28" s="28">
        <v>3</v>
      </c>
      <c r="B28" s="29" t="s">
        <v>157</v>
      </c>
      <c r="C28" s="29">
        <v>46177</v>
      </c>
      <c r="D28" s="28">
        <v>6860</v>
      </c>
      <c r="E28" s="28">
        <v>5240</v>
      </c>
      <c r="F28" s="30">
        <f t="shared" si="6"/>
        <v>12100</v>
      </c>
      <c r="G28" s="28">
        <v>0</v>
      </c>
      <c r="H28" s="30">
        <f t="shared" si="7"/>
        <v>12100</v>
      </c>
      <c r="I28" s="28">
        <v>0</v>
      </c>
      <c r="J28" s="28">
        <v>0</v>
      </c>
      <c r="K28" s="31">
        <f t="shared" si="8"/>
        <v>12100</v>
      </c>
      <c r="L28" s="32">
        <v>0</v>
      </c>
      <c r="M28" s="32">
        <v>0</v>
      </c>
      <c r="N28" s="32">
        <v>4320</v>
      </c>
      <c r="O28" s="32">
        <v>0</v>
      </c>
      <c r="P28" s="32">
        <v>0</v>
      </c>
      <c r="Q28" s="32">
        <v>7780</v>
      </c>
      <c r="R28" s="32">
        <v>0</v>
      </c>
      <c r="S28" s="32">
        <v>0</v>
      </c>
      <c r="T28" s="32">
        <f t="shared" si="9"/>
        <v>0</v>
      </c>
      <c r="U28" s="33" t="s">
        <v>524</v>
      </c>
    </row>
    <row r="29" spans="1:21" x14ac:dyDescent="0.25">
      <c r="A29" s="28">
        <v>4</v>
      </c>
      <c r="B29" s="29" t="s">
        <v>157</v>
      </c>
      <c r="C29" s="29">
        <v>46178</v>
      </c>
      <c r="D29" s="28">
        <v>1620</v>
      </c>
      <c r="E29" s="28">
        <v>1620</v>
      </c>
      <c r="F29" s="30">
        <f t="shared" si="6"/>
        <v>3240</v>
      </c>
      <c r="G29" s="28">
        <v>0</v>
      </c>
      <c r="H29" s="30">
        <f t="shared" si="7"/>
        <v>3240</v>
      </c>
      <c r="I29" s="28">
        <v>0</v>
      </c>
      <c r="J29" s="28">
        <v>0</v>
      </c>
      <c r="K29" s="31">
        <f t="shared" si="8"/>
        <v>3240</v>
      </c>
      <c r="L29" s="32">
        <v>0</v>
      </c>
      <c r="M29" s="32">
        <v>0</v>
      </c>
      <c r="N29" s="32">
        <v>2340</v>
      </c>
      <c r="O29" s="32">
        <v>0</v>
      </c>
      <c r="P29" s="32">
        <v>0</v>
      </c>
      <c r="Q29" s="32">
        <v>900</v>
      </c>
      <c r="R29" s="32">
        <v>0</v>
      </c>
      <c r="S29" s="32">
        <v>0</v>
      </c>
      <c r="T29" s="32">
        <f t="shared" si="9"/>
        <v>0</v>
      </c>
      <c r="U29" s="33" t="s">
        <v>524</v>
      </c>
    </row>
    <row r="30" spans="1:21" x14ac:dyDescent="0.25">
      <c r="A30" s="28">
        <v>5</v>
      </c>
      <c r="B30" s="29" t="s">
        <v>157</v>
      </c>
      <c r="C30" s="29">
        <v>46181</v>
      </c>
      <c r="D30" s="28">
        <v>4560</v>
      </c>
      <c r="E30" s="28">
        <v>0</v>
      </c>
      <c r="F30" s="30">
        <f t="shared" si="6"/>
        <v>4560</v>
      </c>
      <c r="G30" s="28">
        <v>0</v>
      </c>
      <c r="H30" s="30">
        <f t="shared" si="7"/>
        <v>4560</v>
      </c>
      <c r="I30" s="28">
        <v>0</v>
      </c>
      <c r="J30" s="28">
        <v>0</v>
      </c>
      <c r="K30" s="31">
        <f t="shared" si="8"/>
        <v>4560</v>
      </c>
      <c r="L30" s="32">
        <v>0</v>
      </c>
      <c r="M30" s="32">
        <v>0</v>
      </c>
      <c r="N30" s="32">
        <v>3700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f t="shared" si="9"/>
        <v>860</v>
      </c>
      <c r="U30" s="33"/>
    </row>
    <row r="31" spans="1:21" x14ac:dyDescent="0.25">
      <c r="A31" s="28">
        <v>6</v>
      </c>
      <c r="B31" s="29" t="s">
        <v>157</v>
      </c>
      <c r="C31" s="29">
        <v>46182</v>
      </c>
      <c r="D31" s="28">
        <v>10690</v>
      </c>
      <c r="E31" s="28">
        <v>10690</v>
      </c>
      <c r="F31" s="30">
        <f t="shared" si="6"/>
        <v>21380</v>
      </c>
      <c r="G31" s="28">
        <v>0</v>
      </c>
      <c r="H31" s="30">
        <f t="shared" si="7"/>
        <v>21380</v>
      </c>
      <c r="I31" s="28">
        <v>0</v>
      </c>
      <c r="J31" s="28">
        <v>0</v>
      </c>
      <c r="K31" s="31">
        <f t="shared" si="8"/>
        <v>21380</v>
      </c>
      <c r="L31" s="32">
        <v>860</v>
      </c>
      <c r="M31" s="32">
        <v>0</v>
      </c>
      <c r="N31" s="32">
        <v>22240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f t="shared" si="9"/>
        <v>0</v>
      </c>
      <c r="U31" s="33"/>
    </row>
    <row r="32" spans="1:21" x14ac:dyDescent="0.25">
      <c r="A32" s="28">
        <v>7</v>
      </c>
      <c r="B32" s="29" t="s">
        <v>157</v>
      </c>
      <c r="C32" s="29">
        <v>46183</v>
      </c>
      <c r="D32" s="28">
        <v>3990</v>
      </c>
      <c r="E32" s="28">
        <v>2140</v>
      </c>
      <c r="F32" s="30">
        <f t="shared" si="6"/>
        <v>6130</v>
      </c>
      <c r="G32" s="28">
        <v>0</v>
      </c>
      <c r="H32" s="30">
        <f t="shared" si="7"/>
        <v>6130</v>
      </c>
      <c r="I32" s="28">
        <v>0</v>
      </c>
      <c r="J32" s="28">
        <v>0</v>
      </c>
      <c r="K32" s="31">
        <f t="shared" si="8"/>
        <v>6130</v>
      </c>
      <c r="L32" s="32">
        <v>0</v>
      </c>
      <c r="M32" s="32">
        <v>0</v>
      </c>
      <c r="N32" s="32">
        <v>5850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f t="shared" si="9"/>
        <v>280</v>
      </c>
      <c r="U32" s="33"/>
    </row>
    <row r="33" spans="1:21" x14ac:dyDescent="0.25">
      <c r="A33" s="28">
        <v>8</v>
      </c>
      <c r="B33" s="29" t="s">
        <v>157</v>
      </c>
      <c r="C33" s="29">
        <v>46184</v>
      </c>
      <c r="D33" s="28">
        <v>4050</v>
      </c>
      <c r="E33" s="28">
        <v>1620</v>
      </c>
      <c r="F33" s="30">
        <f t="shared" si="6"/>
        <v>5670</v>
      </c>
      <c r="G33" s="28">
        <v>0</v>
      </c>
      <c r="H33" s="30">
        <f t="shared" si="7"/>
        <v>5670</v>
      </c>
      <c r="I33" s="28">
        <v>0</v>
      </c>
      <c r="J33" s="28">
        <v>0</v>
      </c>
      <c r="K33" s="31">
        <f t="shared" si="8"/>
        <v>5670</v>
      </c>
      <c r="L33" s="32">
        <v>280</v>
      </c>
      <c r="M33" s="32">
        <v>0</v>
      </c>
      <c r="N33" s="32">
        <v>3100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f t="shared" si="9"/>
        <v>2850</v>
      </c>
      <c r="U33" s="33"/>
    </row>
    <row r="34" spans="1:21" x14ac:dyDescent="0.25">
      <c r="A34" s="28">
        <v>9</v>
      </c>
      <c r="B34" s="29" t="s">
        <v>157</v>
      </c>
      <c r="C34" s="29">
        <v>46185</v>
      </c>
      <c r="D34" s="28">
        <v>6050</v>
      </c>
      <c r="E34" s="28">
        <v>4430</v>
      </c>
      <c r="F34" s="30">
        <f t="shared" si="6"/>
        <v>10480</v>
      </c>
      <c r="G34" s="28">
        <v>0</v>
      </c>
      <c r="H34" s="30">
        <f t="shared" si="7"/>
        <v>10480</v>
      </c>
      <c r="I34" s="28">
        <v>0</v>
      </c>
      <c r="J34" s="28">
        <v>0</v>
      </c>
      <c r="K34" s="31">
        <f t="shared" si="8"/>
        <v>10480</v>
      </c>
      <c r="L34" s="32">
        <v>2850</v>
      </c>
      <c r="M34" s="32">
        <v>0</v>
      </c>
      <c r="N34" s="32">
        <v>9820</v>
      </c>
      <c r="O34" s="32">
        <v>0</v>
      </c>
      <c r="P34" s="32">
        <v>0</v>
      </c>
      <c r="Q34" s="32">
        <v>3510</v>
      </c>
      <c r="R34" s="32">
        <v>0</v>
      </c>
      <c r="S34" s="32">
        <v>0</v>
      </c>
      <c r="T34" s="32">
        <f t="shared" si="9"/>
        <v>0</v>
      </c>
      <c r="U34" s="33" t="s">
        <v>525</v>
      </c>
    </row>
    <row r="35" spans="1:21" x14ac:dyDescent="0.25">
      <c r="A35" s="28">
        <v>10</v>
      </c>
      <c r="B35" s="29" t="s">
        <v>157</v>
      </c>
      <c r="C35" s="29">
        <v>46188</v>
      </c>
      <c r="D35" s="28">
        <v>3220</v>
      </c>
      <c r="E35" s="28">
        <v>3280</v>
      </c>
      <c r="F35" s="30">
        <f t="shared" si="6"/>
        <v>6500</v>
      </c>
      <c r="G35" s="28">
        <v>0</v>
      </c>
      <c r="H35" s="30">
        <f t="shared" si="7"/>
        <v>6500</v>
      </c>
      <c r="I35" s="28">
        <v>0</v>
      </c>
      <c r="J35" s="28">
        <v>0</v>
      </c>
      <c r="K35" s="31">
        <f t="shared" si="8"/>
        <v>6500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f t="shared" si="9"/>
        <v>6500</v>
      </c>
      <c r="U35" s="33"/>
    </row>
    <row r="36" spans="1:21" x14ac:dyDescent="0.25">
      <c r="A36" s="28">
        <v>11</v>
      </c>
      <c r="B36" s="29" t="s">
        <v>157</v>
      </c>
      <c r="C36" s="29">
        <v>46189</v>
      </c>
      <c r="D36" s="28">
        <v>8240</v>
      </c>
      <c r="E36" s="28">
        <v>7430</v>
      </c>
      <c r="F36" s="30">
        <f t="shared" si="6"/>
        <v>15670</v>
      </c>
      <c r="G36" s="28">
        <v>0</v>
      </c>
      <c r="H36" s="30">
        <f t="shared" si="7"/>
        <v>15670</v>
      </c>
      <c r="I36" s="28">
        <v>0</v>
      </c>
      <c r="J36" s="28">
        <v>0</v>
      </c>
      <c r="K36" s="31">
        <f t="shared" si="8"/>
        <v>15670</v>
      </c>
      <c r="L36" s="32">
        <v>6500</v>
      </c>
      <c r="M36" s="32">
        <v>0</v>
      </c>
      <c r="N36" s="32">
        <v>7270</v>
      </c>
      <c r="O36" s="32">
        <v>4900</v>
      </c>
      <c r="P36" s="32">
        <v>0</v>
      </c>
      <c r="Q36" s="32">
        <v>6450</v>
      </c>
      <c r="R36" s="32">
        <v>0</v>
      </c>
      <c r="S36" s="32">
        <v>0</v>
      </c>
      <c r="T36" s="32">
        <f t="shared" si="9"/>
        <v>3550</v>
      </c>
      <c r="U36" s="33" t="s">
        <v>526</v>
      </c>
    </row>
    <row r="37" spans="1:21" x14ac:dyDescent="0.25">
      <c r="A37" s="28">
        <v>12</v>
      </c>
      <c r="B37" s="29" t="s">
        <v>157</v>
      </c>
      <c r="C37" s="29">
        <v>46190</v>
      </c>
      <c r="D37" s="28">
        <v>2370</v>
      </c>
      <c r="E37" s="28">
        <v>520</v>
      </c>
      <c r="F37" s="30">
        <f t="shared" si="6"/>
        <v>2890</v>
      </c>
      <c r="G37" s="28">
        <v>0</v>
      </c>
      <c r="H37" s="30">
        <f t="shared" si="7"/>
        <v>2890</v>
      </c>
      <c r="I37" s="28">
        <v>0</v>
      </c>
      <c r="J37" s="28">
        <v>0</v>
      </c>
      <c r="K37" s="31">
        <f t="shared" si="8"/>
        <v>2890</v>
      </c>
      <c r="L37" s="32">
        <v>3550</v>
      </c>
      <c r="M37" s="32">
        <v>0</v>
      </c>
      <c r="N37" s="32">
        <v>390</v>
      </c>
      <c r="O37" s="32">
        <v>3550</v>
      </c>
      <c r="P37" s="32">
        <v>0</v>
      </c>
      <c r="Q37" s="32">
        <v>2500</v>
      </c>
      <c r="R37" s="32">
        <v>0</v>
      </c>
      <c r="S37" s="32">
        <v>0</v>
      </c>
      <c r="T37" s="32">
        <f t="shared" si="9"/>
        <v>0</v>
      </c>
      <c r="U37" s="33" t="s">
        <v>527</v>
      </c>
    </row>
    <row r="38" spans="1:21" x14ac:dyDescent="0.25">
      <c r="A38" s="28">
        <v>13</v>
      </c>
      <c r="B38" s="29" t="s">
        <v>157</v>
      </c>
      <c r="C38" s="29">
        <v>46191</v>
      </c>
      <c r="D38" s="28">
        <v>10020</v>
      </c>
      <c r="E38" s="28">
        <v>7590</v>
      </c>
      <c r="F38" s="30">
        <f t="shared" si="6"/>
        <v>17610</v>
      </c>
      <c r="G38" s="28">
        <v>0</v>
      </c>
      <c r="H38" s="30">
        <f t="shared" si="7"/>
        <v>17610</v>
      </c>
      <c r="I38" s="28">
        <v>0</v>
      </c>
      <c r="J38" s="28">
        <v>0</v>
      </c>
      <c r="K38" s="31">
        <f t="shared" si="8"/>
        <v>17610</v>
      </c>
      <c r="L38" s="32">
        <v>0</v>
      </c>
      <c r="M38" s="32">
        <v>0</v>
      </c>
      <c r="N38" s="32">
        <v>14760</v>
      </c>
      <c r="O38" s="32">
        <v>2850</v>
      </c>
      <c r="P38" s="32">
        <v>0</v>
      </c>
      <c r="Q38" s="32">
        <v>0</v>
      </c>
      <c r="R38" s="32">
        <v>0</v>
      </c>
      <c r="S38" s="32">
        <v>0</v>
      </c>
      <c r="T38" s="32">
        <f t="shared" si="9"/>
        <v>0</v>
      </c>
      <c r="U38" s="33"/>
    </row>
    <row r="39" spans="1:21" x14ac:dyDescent="0.25">
      <c r="A39" s="28">
        <v>14</v>
      </c>
      <c r="B39" s="29" t="s">
        <v>157</v>
      </c>
      <c r="C39" s="29">
        <v>46192</v>
      </c>
      <c r="D39" s="28">
        <v>1620</v>
      </c>
      <c r="E39" s="28">
        <v>1620</v>
      </c>
      <c r="F39" s="30">
        <f t="shared" si="6"/>
        <v>3240</v>
      </c>
      <c r="G39" s="28">
        <v>0</v>
      </c>
      <c r="H39" s="30">
        <f t="shared" si="7"/>
        <v>3240</v>
      </c>
      <c r="I39" s="28">
        <v>0</v>
      </c>
      <c r="J39" s="28">
        <v>0</v>
      </c>
      <c r="K39" s="31">
        <f t="shared" si="8"/>
        <v>3240</v>
      </c>
      <c r="L39" s="32">
        <v>0</v>
      </c>
      <c r="M39" s="32">
        <v>0</v>
      </c>
      <c r="N39" s="32">
        <v>1620</v>
      </c>
      <c r="O39" s="32">
        <v>0</v>
      </c>
      <c r="P39" s="32">
        <v>0</v>
      </c>
      <c r="Q39" s="32">
        <v>1620</v>
      </c>
      <c r="R39" s="32">
        <v>0</v>
      </c>
      <c r="S39" s="32">
        <v>0</v>
      </c>
      <c r="T39" s="32">
        <f t="shared" si="9"/>
        <v>0</v>
      </c>
      <c r="U39" s="33" t="s">
        <v>528</v>
      </c>
    </row>
    <row r="40" spans="1:21" x14ac:dyDescent="0.25">
      <c r="A40" s="28">
        <v>15</v>
      </c>
      <c r="B40" s="29" t="s">
        <v>157</v>
      </c>
      <c r="C40" s="29">
        <v>46195</v>
      </c>
      <c r="D40" s="28">
        <v>5530</v>
      </c>
      <c r="E40" s="28">
        <v>5530</v>
      </c>
      <c r="F40" s="30">
        <f t="shared" si="6"/>
        <v>11060</v>
      </c>
      <c r="G40" s="28">
        <v>0</v>
      </c>
      <c r="H40" s="30">
        <f t="shared" si="7"/>
        <v>11060</v>
      </c>
      <c r="I40" s="28">
        <v>0</v>
      </c>
      <c r="J40" s="28">
        <v>0</v>
      </c>
      <c r="K40" s="31">
        <f t="shared" si="8"/>
        <v>11060</v>
      </c>
      <c r="L40" s="32">
        <v>0</v>
      </c>
      <c r="M40" s="32">
        <v>0</v>
      </c>
      <c r="N40" s="32">
        <v>3750</v>
      </c>
      <c r="O40" s="32">
        <v>7310</v>
      </c>
      <c r="P40" s="32">
        <v>0</v>
      </c>
      <c r="Q40" s="32">
        <v>0</v>
      </c>
      <c r="R40" s="32">
        <v>0</v>
      </c>
      <c r="S40" s="32">
        <v>0</v>
      </c>
      <c r="T40" s="32">
        <f t="shared" si="9"/>
        <v>0</v>
      </c>
      <c r="U40" s="33"/>
    </row>
    <row r="41" spans="1:21" x14ac:dyDescent="0.25">
      <c r="A41" s="28">
        <v>16</v>
      </c>
      <c r="B41" s="29" t="s">
        <v>157</v>
      </c>
      <c r="C41" s="29">
        <v>46196</v>
      </c>
      <c r="D41" s="28">
        <v>12330</v>
      </c>
      <c r="E41" s="28">
        <v>11520</v>
      </c>
      <c r="F41" s="30">
        <f t="shared" si="6"/>
        <v>23850</v>
      </c>
      <c r="G41" s="28">
        <v>0</v>
      </c>
      <c r="H41" s="30">
        <f t="shared" si="7"/>
        <v>23850</v>
      </c>
      <c r="I41" s="28">
        <v>0</v>
      </c>
      <c r="J41" s="28">
        <v>0</v>
      </c>
      <c r="K41" s="31">
        <f t="shared" si="8"/>
        <v>23850</v>
      </c>
      <c r="L41" s="32">
        <v>0</v>
      </c>
      <c r="M41" s="32">
        <v>0</v>
      </c>
      <c r="N41" s="32">
        <v>17150</v>
      </c>
      <c r="O41" s="32">
        <v>6700</v>
      </c>
      <c r="P41" s="32">
        <v>0</v>
      </c>
      <c r="Q41" s="32">
        <v>0</v>
      </c>
      <c r="R41" s="32">
        <v>0</v>
      </c>
      <c r="S41" s="32">
        <v>0</v>
      </c>
      <c r="T41" s="32">
        <f t="shared" si="9"/>
        <v>0</v>
      </c>
      <c r="U41" s="33"/>
    </row>
    <row r="42" spans="1:21" x14ac:dyDescent="0.25">
      <c r="A42" s="28">
        <v>17</v>
      </c>
      <c r="B42" s="29" t="s">
        <v>157</v>
      </c>
      <c r="C42" s="29">
        <v>46197</v>
      </c>
      <c r="D42" s="28">
        <v>4990</v>
      </c>
      <c r="E42" s="28">
        <v>3140</v>
      </c>
      <c r="F42" s="30">
        <f t="shared" si="6"/>
        <v>8130</v>
      </c>
      <c r="G42" s="28">
        <v>0</v>
      </c>
      <c r="H42" s="30">
        <f t="shared" si="7"/>
        <v>8130</v>
      </c>
      <c r="I42" s="28">
        <v>0</v>
      </c>
      <c r="J42" s="28">
        <v>0</v>
      </c>
      <c r="K42" s="31">
        <f t="shared" si="8"/>
        <v>8130</v>
      </c>
      <c r="L42" s="32">
        <v>0</v>
      </c>
      <c r="M42" s="32">
        <v>0</v>
      </c>
      <c r="N42" s="32">
        <v>4450</v>
      </c>
      <c r="O42" s="32">
        <v>3680</v>
      </c>
      <c r="P42" s="32">
        <v>0</v>
      </c>
      <c r="Q42" s="32">
        <v>0</v>
      </c>
      <c r="R42" s="32">
        <v>0</v>
      </c>
      <c r="S42" s="32">
        <v>0</v>
      </c>
      <c r="T42" s="32">
        <f t="shared" si="9"/>
        <v>0</v>
      </c>
      <c r="U42" s="33"/>
    </row>
    <row r="43" spans="1:21" x14ac:dyDescent="0.25">
      <c r="A43" s="28">
        <v>18</v>
      </c>
      <c r="B43" s="29" t="s">
        <v>157</v>
      </c>
      <c r="C43" s="29">
        <v>46198</v>
      </c>
      <c r="D43" s="28">
        <v>4050</v>
      </c>
      <c r="E43" s="28">
        <v>1620</v>
      </c>
      <c r="F43" s="30">
        <f t="shared" si="6"/>
        <v>5670</v>
      </c>
      <c r="G43" s="28">
        <v>0</v>
      </c>
      <c r="H43" s="30">
        <f t="shared" si="7"/>
        <v>5670</v>
      </c>
      <c r="I43" s="28">
        <v>0</v>
      </c>
      <c r="J43" s="28">
        <v>0</v>
      </c>
      <c r="K43" s="31">
        <f t="shared" si="8"/>
        <v>5670</v>
      </c>
      <c r="L43" s="32">
        <v>0</v>
      </c>
      <c r="M43" s="32">
        <v>0</v>
      </c>
      <c r="N43" s="32">
        <v>4070</v>
      </c>
      <c r="O43" s="32">
        <v>1600</v>
      </c>
      <c r="P43" s="32">
        <v>0</v>
      </c>
      <c r="Q43" s="32">
        <v>0</v>
      </c>
      <c r="R43" s="32">
        <v>0</v>
      </c>
      <c r="S43" s="32">
        <v>0</v>
      </c>
      <c r="T43" s="32">
        <f t="shared" si="9"/>
        <v>0</v>
      </c>
      <c r="U43" s="33"/>
    </row>
    <row r="44" spans="1:21" x14ac:dyDescent="0.25">
      <c r="A44" s="28">
        <v>19</v>
      </c>
      <c r="B44" s="29" t="s">
        <v>157</v>
      </c>
      <c r="C44" s="29">
        <v>46199</v>
      </c>
      <c r="D44" s="28">
        <v>7590</v>
      </c>
      <c r="E44" s="28">
        <v>7590</v>
      </c>
      <c r="F44" s="30">
        <f t="shared" si="6"/>
        <v>15180</v>
      </c>
      <c r="G44" s="28">
        <v>0</v>
      </c>
      <c r="H44" s="30">
        <f t="shared" si="7"/>
        <v>15180</v>
      </c>
      <c r="I44" s="28">
        <v>0</v>
      </c>
      <c r="J44" s="28">
        <v>0</v>
      </c>
      <c r="K44" s="31">
        <f t="shared" si="8"/>
        <v>15180</v>
      </c>
      <c r="L44" s="32">
        <v>0</v>
      </c>
      <c r="M44" s="32">
        <v>0</v>
      </c>
      <c r="N44" s="32">
        <v>6160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f t="shared" si="9"/>
        <v>9020</v>
      </c>
      <c r="U44" s="33"/>
    </row>
    <row r="45" spans="1:21" ht="30" x14ac:dyDescent="0.25">
      <c r="A45" s="28">
        <v>20</v>
      </c>
      <c r="B45" s="29" t="s">
        <v>157</v>
      </c>
      <c r="C45" s="29">
        <v>46202</v>
      </c>
      <c r="D45" s="28">
        <v>1660</v>
      </c>
      <c r="E45" s="28">
        <v>1660</v>
      </c>
      <c r="F45" s="30">
        <f t="shared" si="6"/>
        <v>3320</v>
      </c>
      <c r="G45" s="28">
        <v>0</v>
      </c>
      <c r="H45" s="30">
        <f t="shared" si="7"/>
        <v>3320</v>
      </c>
      <c r="I45" s="28">
        <v>0</v>
      </c>
      <c r="J45" s="28">
        <v>0</v>
      </c>
      <c r="K45" s="31">
        <f t="shared" si="8"/>
        <v>3320</v>
      </c>
      <c r="L45" s="32">
        <v>9020</v>
      </c>
      <c r="M45" s="32">
        <v>0</v>
      </c>
      <c r="N45" s="32">
        <v>1737</v>
      </c>
      <c r="O45" s="32">
        <v>8350</v>
      </c>
      <c r="P45" s="32">
        <v>0</v>
      </c>
      <c r="Q45" s="32">
        <v>2253</v>
      </c>
      <c r="R45" s="32">
        <v>0</v>
      </c>
      <c r="S45" s="32">
        <v>0</v>
      </c>
      <c r="T45" s="32">
        <f t="shared" si="9"/>
        <v>0</v>
      </c>
      <c r="U45" s="42" t="s">
        <v>529</v>
      </c>
    </row>
    <row r="46" spans="1:21" x14ac:dyDescent="0.25">
      <c r="A46" s="28">
        <v>21</v>
      </c>
      <c r="B46" s="29" t="s">
        <v>157</v>
      </c>
      <c r="C46" s="29">
        <v>46203</v>
      </c>
      <c r="D46" s="28">
        <v>12310</v>
      </c>
      <c r="E46" s="28">
        <v>14780</v>
      </c>
      <c r="F46" s="30">
        <f t="shared" si="6"/>
        <v>27090</v>
      </c>
      <c r="G46" s="28">
        <v>0</v>
      </c>
      <c r="H46" s="30">
        <f t="shared" si="7"/>
        <v>27090</v>
      </c>
      <c r="I46" s="28">
        <v>0</v>
      </c>
      <c r="J46" s="28">
        <v>0</v>
      </c>
      <c r="K46" s="31">
        <f t="shared" si="8"/>
        <v>27090</v>
      </c>
      <c r="L46" s="32">
        <v>0</v>
      </c>
      <c r="M46" s="32">
        <v>0</v>
      </c>
      <c r="N46" s="32">
        <v>7790</v>
      </c>
      <c r="O46" s="32">
        <v>19300</v>
      </c>
      <c r="P46" s="32">
        <v>0</v>
      </c>
      <c r="Q46" s="32">
        <v>0</v>
      </c>
      <c r="R46" s="32">
        <v>0</v>
      </c>
      <c r="S46" s="32">
        <v>0</v>
      </c>
      <c r="T46" s="32">
        <f t="shared" si="9"/>
        <v>0</v>
      </c>
      <c r="U46" s="33"/>
    </row>
    <row r="47" spans="1:21" x14ac:dyDescent="0.25">
      <c r="A47" s="28"/>
      <c r="B47" s="29"/>
      <c r="C47" s="29"/>
      <c r="D47" s="28">
        <v>0</v>
      </c>
      <c r="E47" s="28">
        <v>0</v>
      </c>
      <c r="F47" s="30">
        <f t="shared" si="6"/>
        <v>0</v>
      </c>
      <c r="G47" s="28">
        <v>0</v>
      </c>
      <c r="H47" s="30">
        <f t="shared" si="7"/>
        <v>0</v>
      </c>
      <c r="I47" s="28">
        <v>0</v>
      </c>
      <c r="J47" s="28">
        <v>0</v>
      </c>
      <c r="K47" s="31">
        <f t="shared" si="8"/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f t="shared" si="9"/>
        <v>0</v>
      </c>
      <c r="U47" s="33"/>
    </row>
    <row r="48" spans="1:21" ht="15.75" thickBot="1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spans="1:21" ht="19.5" thickBot="1" x14ac:dyDescent="0.35">
      <c r="A49" s="35"/>
      <c r="B49" s="35"/>
      <c r="C49" s="35"/>
      <c r="D49" s="36">
        <f t="shared" ref="D49:S49" si="10">SUM(D26:D48)</f>
        <v>123170</v>
      </c>
      <c r="E49" s="36">
        <f t="shared" si="10"/>
        <v>100780</v>
      </c>
      <c r="F49" s="36">
        <f t="shared" si="10"/>
        <v>223950</v>
      </c>
      <c r="G49" s="36">
        <f t="shared" si="10"/>
        <v>0</v>
      </c>
      <c r="H49" s="36">
        <f t="shared" si="10"/>
        <v>223950</v>
      </c>
      <c r="I49" s="36">
        <f t="shared" si="10"/>
        <v>0</v>
      </c>
      <c r="J49" s="36">
        <f t="shared" si="10"/>
        <v>0</v>
      </c>
      <c r="K49" s="37">
        <f t="shared" si="10"/>
        <v>223950</v>
      </c>
      <c r="L49" s="38">
        <f t="shared" si="10"/>
        <v>24680</v>
      </c>
      <c r="M49" s="39">
        <f t="shared" si="10"/>
        <v>0</v>
      </c>
      <c r="N49" s="39">
        <f t="shared" si="10"/>
        <v>122177</v>
      </c>
      <c r="O49" s="39">
        <f t="shared" si="10"/>
        <v>71440</v>
      </c>
      <c r="P49" s="39">
        <f t="shared" si="10"/>
        <v>0</v>
      </c>
      <c r="Q49" s="39">
        <f t="shared" si="10"/>
        <v>30333</v>
      </c>
      <c r="R49" s="39">
        <f t="shared" si="10"/>
        <v>0</v>
      </c>
      <c r="S49" s="39">
        <f t="shared" si="10"/>
        <v>0</v>
      </c>
      <c r="T49" s="40"/>
      <c r="U49" s="41"/>
    </row>
    <row r="50" spans="1:21" ht="18.75" x14ac:dyDescent="0.3">
      <c r="A50" s="35"/>
      <c r="B50" s="35"/>
      <c r="C50" s="35"/>
      <c r="D50" s="43"/>
      <c r="E50" s="43"/>
      <c r="F50" s="43"/>
      <c r="G50" s="43"/>
      <c r="H50" s="43"/>
      <c r="I50" s="43"/>
      <c r="J50" s="43"/>
      <c r="K50" s="43"/>
      <c r="L50" s="44"/>
      <c r="M50" s="44"/>
      <c r="N50" s="44"/>
      <c r="O50" s="44"/>
      <c r="P50" s="44"/>
      <c r="Q50" s="44"/>
      <c r="R50" s="44"/>
      <c r="S50" s="44"/>
      <c r="T50" s="44"/>
      <c r="U50" s="41"/>
    </row>
    <row r="51" spans="1:21" ht="18.75" x14ac:dyDescent="0.3">
      <c r="A51" s="35"/>
      <c r="B51" s="35"/>
      <c r="C51" s="35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4"/>
      <c r="R51" s="44"/>
      <c r="S51" s="44"/>
      <c r="T51" s="44"/>
      <c r="U51" s="41"/>
    </row>
    <row r="52" spans="1:21" ht="19.5" thickBot="1" x14ac:dyDescent="0.35">
      <c r="A52" s="35"/>
      <c r="B52" s="35"/>
      <c r="C52" s="35"/>
      <c r="D52" s="43"/>
      <c r="E52" s="43"/>
      <c r="F52" s="43"/>
      <c r="G52" s="43"/>
      <c r="H52" s="43"/>
      <c r="I52" s="43"/>
      <c r="J52" s="43"/>
      <c r="K52" s="43"/>
      <c r="L52" s="44"/>
      <c r="M52" s="44"/>
      <c r="N52" s="44"/>
      <c r="O52" s="44"/>
      <c r="P52" s="44"/>
      <c r="Q52" s="44"/>
      <c r="R52" s="44"/>
      <c r="S52" s="44"/>
      <c r="T52" s="44"/>
      <c r="U52" s="41"/>
    </row>
    <row r="53" spans="1:21" s="45" customFormat="1" ht="32.25" thickBot="1" x14ac:dyDescent="0.55000000000000004">
      <c r="A53" s="52" t="s">
        <v>530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4" t="s">
        <v>502</v>
      </c>
      <c r="M53" s="55"/>
      <c r="N53" s="55"/>
      <c r="O53" s="55"/>
      <c r="P53" s="55"/>
      <c r="Q53" s="55"/>
      <c r="R53" s="55"/>
      <c r="S53" s="55"/>
      <c r="T53" s="55"/>
      <c r="U53" s="56"/>
    </row>
    <row r="54" spans="1:21" ht="111" thickBot="1" x14ac:dyDescent="0.3">
      <c r="A54" s="21" t="s">
        <v>503</v>
      </c>
      <c r="B54" s="21" t="s">
        <v>504</v>
      </c>
      <c r="C54" s="21" t="s">
        <v>463</v>
      </c>
      <c r="D54" s="21" t="s">
        <v>470</v>
      </c>
      <c r="E54" s="21" t="s">
        <v>21</v>
      </c>
      <c r="F54" s="22" t="s">
        <v>505</v>
      </c>
      <c r="G54" s="21" t="s">
        <v>506</v>
      </c>
      <c r="H54" s="21" t="s">
        <v>507</v>
      </c>
      <c r="I54" s="23" t="s">
        <v>508</v>
      </c>
      <c r="J54" s="21" t="s">
        <v>509</v>
      </c>
      <c r="K54" s="24" t="s">
        <v>510</v>
      </c>
      <c r="L54" s="25" t="s">
        <v>511</v>
      </c>
      <c r="M54" s="25" t="s">
        <v>512</v>
      </c>
      <c r="N54" s="26" t="s">
        <v>513</v>
      </c>
      <c r="O54" s="26" t="s">
        <v>514</v>
      </c>
      <c r="P54" s="27" t="s">
        <v>515</v>
      </c>
      <c r="Q54" s="26" t="s">
        <v>516</v>
      </c>
      <c r="R54" s="27" t="s">
        <v>517</v>
      </c>
      <c r="S54" s="27" t="s">
        <v>518</v>
      </c>
      <c r="T54" s="27" t="s">
        <v>519</v>
      </c>
      <c r="U54" s="27" t="s">
        <v>520</v>
      </c>
    </row>
    <row r="55" spans="1:21" x14ac:dyDescent="0.25">
      <c r="A55" s="28">
        <v>1</v>
      </c>
      <c r="B55" s="29" t="s">
        <v>157</v>
      </c>
      <c r="C55" s="29">
        <v>46204</v>
      </c>
      <c r="D55" s="28">
        <v>3180</v>
      </c>
      <c r="E55" s="28">
        <v>1330</v>
      </c>
      <c r="F55" s="30">
        <f t="shared" ref="F55:F77" si="11">D55+E55</f>
        <v>4510</v>
      </c>
      <c r="G55" s="28">
        <v>0</v>
      </c>
      <c r="H55" s="28">
        <f t="shared" ref="H55:H77" si="12">F55-G55</f>
        <v>4510</v>
      </c>
      <c r="I55" s="28">
        <v>0</v>
      </c>
      <c r="J55" s="28">
        <v>0</v>
      </c>
      <c r="K55" s="31">
        <f t="shared" ref="K55:K77" si="13">H55+I55+J55</f>
        <v>4510</v>
      </c>
      <c r="L55" s="32">
        <v>0</v>
      </c>
      <c r="M55" s="32">
        <v>0</v>
      </c>
      <c r="N55" s="32">
        <v>3410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f>K55+L55+M55-N55-O55-P55-Q55-R55-S55</f>
        <v>1100</v>
      </c>
      <c r="U55" s="33"/>
    </row>
    <row r="56" spans="1:21" x14ac:dyDescent="0.25">
      <c r="A56" s="28">
        <v>2</v>
      </c>
      <c r="B56" s="29" t="s">
        <v>157</v>
      </c>
      <c r="C56" s="29">
        <v>46205</v>
      </c>
      <c r="D56" s="28">
        <v>15880</v>
      </c>
      <c r="E56" s="28">
        <v>12930</v>
      </c>
      <c r="F56" s="30">
        <f t="shared" si="11"/>
        <v>28810</v>
      </c>
      <c r="G56" s="28">
        <v>0</v>
      </c>
      <c r="H56" s="28">
        <f t="shared" si="12"/>
        <v>28810</v>
      </c>
      <c r="I56" s="28">
        <v>0</v>
      </c>
      <c r="J56" s="28">
        <v>0</v>
      </c>
      <c r="K56" s="31">
        <f t="shared" si="13"/>
        <v>28810</v>
      </c>
      <c r="L56" s="32">
        <v>1100</v>
      </c>
      <c r="M56" s="32">
        <v>0</v>
      </c>
      <c r="N56" s="32">
        <v>29910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f t="shared" ref="T56:T77" si="14">K56+L56+M56-N56-O56-P56-Q56-R56-S56</f>
        <v>0</v>
      </c>
      <c r="U56" s="33"/>
    </row>
    <row r="57" spans="1:21" x14ac:dyDescent="0.25">
      <c r="A57" s="28">
        <v>3</v>
      </c>
      <c r="B57" s="29" t="s">
        <v>157</v>
      </c>
      <c r="C57" s="29">
        <v>46206</v>
      </c>
      <c r="D57" s="28">
        <v>1620</v>
      </c>
      <c r="E57" s="28">
        <v>1620</v>
      </c>
      <c r="F57" s="30">
        <f t="shared" si="11"/>
        <v>3240</v>
      </c>
      <c r="G57" s="28">
        <v>0</v>
      </c>
      <c r="H57" s="28">
        <f t="shared" si="12"/>
        <v>3240</v>
      </c>
      <c r="I57" s="28">
        <v>0</v>
      </c>
      <c r="J57" s="28">
        <v>0</v>
      </c>
      <c r="K57" s="31">
        <f t="shared" si="13"/>
        <v>3240</v>
      </c>
      <c r="L57" s="32">
        <v>0</v>
      </c>
      <c r="M57" s="32">
        <v>0</v>
      </c>
      <c r="N57" s="32">
        <v>3240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f t="shared" si="14"/>
        <v>0</v>
      </c>
      <c r="U57" s="33"/>
    </row>
    <row r="58" spans="1:21" x14ac:dyDescent="0.25">
      <c r="A58" s="28">
        <v>4</v>
      </c>
      <c r="B58" s="29" t="s">
        <v>157</v>
      </c>
      <c r="C58" s="29">
        <v>46209</v>
      </c>
      <c r="D58" s="28">
        <v>5530</v>
      </c>
      <c r="E58" s="28">
        <v>7190</v>
      </c>
      <c r="F58" s="30">
        <f t="shared" si="11"/>
        <v>12720</v>
      </c>
      <c r="G58" s="28">
        <v>0</v>
      </c>
      <c r="H58" s="28">
        <f t="shared" si="12"/>
        <v>12720</v>
      </c>
      <c r="I58" s="28">
        <v>0</v>
      </c>
      <c r="J58" s="28">
        <v>0</v>
      </c>
      <c r="K58" s="31">
        <f t="shared" si="13"/>
        <v>12720</v>
      </c>
      <c r="L58" s="32">
        <v>0</v>
      </c>
      <c r="M58" s="32">
        <v>0</v>
      </c>
      <c r="N58" s="32">
        <v>4280</v>
      </c>
      <c r="O58" s="32">
        <v>4850</v>
      </c>
      <c r="P58" s="32">
        <v>0</v>
      </c>
      <c r="Q58" s="32">
        <v>0</v>
      </c>
      <c r="R58" s="32">
        <v>0</v>
      </c>
      <c r="S58" s="32">
        <v>0</v>
      </c>
      <c r="T58" s="32">
        <f t="shared" si="14"/>
        <v>3590</v>
      </c>
      <c r="U58" s="33"/>
    </row>
    <row r="59" spans="1:21" x14ac:dyDescent="0.25">
      <c r="A59" s="28">
        <v>5</v>
      </c>
      <c r="B59" s="29" t="s">
        <v>157</v>
      </c>
      <c r="C59" s="29">
        <v>46210</v>
      </c>
      <c r="D59" s="28">
        <v>11500</v>
      </c>
      <c r="E59" s="28">
        <v>9650</v>
      </c>
      <c r="F59" s="30">
        <f t="shared" si="11"/>
        <v>21150</v>
      </c>
      <c r="G59" s="28">
        <v>0</v>
      </c>
      <c r="H59" s="28">
        <f t="shared" si="12"/>
        <v>21150</v>
      </c>
      <c r="I59" s="28">
        <v>0</v>
      </c>
      <c r="J59" s="28">
        <v>0</v>
      </c>
      <c r="K59" s="31">
        <f t="shared" si="13"/>
        <v>21150</v>
      </c>
      <c r="L59" s="32">
        <v>3590</v>
      </c>
      <c r="M59" s="32">
        <v>0</v>
      </c>
      <c r="N59" s="32">
        <v>13030</v>
      </c>
      <c r="O59" s="32">
        <v>8470</v>
      </c>
      <c r="P59" s="32">
        <v>0</v>
      </c>
      <c r="Q59" s="32">
        <v>0</v>
      </c>
      <c r="R59" s="32">
        <v>0</v>
      </c>
      <c r="S59" s="32">
        <v>0</v>
      </c>
      <c r="T59" s="32">
        <f t="shared" si="14"/>
        <v>3240</v>
      </c>
      <c r="U59" s="33"/>
    </row>
    <row r="60" spans="1:21" x14ac:dyDescent="0.25">
      <c r="A60" s="28">
        <v>6</v>
      </c>
      <c r="B60" s="29" t="s">
        <v>157</v>
      </c>
      <c r="C60" s="29">
        <v>46211</v>
      </c>
      <c r="D60" s="28">
        <v>7990</v>
      </c>
      <c r="E60" s="28">
        <v>3140</v>
      </c>
      <c r="F60" s="30">
        <f t="shared" si="11"/>
        <v>11130</v>
      </c>
      <c r="G60" s="28">
        <v>0</v>
      </c>
      <c r="H60" s="28">
        <f t="shared" si="12"/>
        <v>11130</v>
      </c>
      <c r="I60" s="28">
        <v>0</v>
      </c>
      <c r="J60" s="28">
        <v>0</v>
      </c>
      <c r="K60" s="31">
        <f t="shared" si="13"/>
        <v>11130</v>
      </c>
      <c r="L60" s="32">
        <v>3240</v>
      </c>
      <c r="M60" s="32">
        <v>0</v>
      </c>
      <c r="N60" s="32">
        <v>9710</v>
      </c>
      <c r="O60" s="32">
        <v>4660</v>
      </c>
      <c r="P60" s="32">
        <v>0</v>
      </c>
      <c r="Q60" s="32">
        <v>0</v>
      </c>
      <c r="R60" s="32">
        <v>0</v>
      </c>
      <c r="S60" s="32">
        <v>0</v>
      </c>
      <c r="T60" s="32">
        <f t="shared" si="14"/>
        <v>0</v>
      </c>
      <c r="U60" s="33"/>
    </row>
    <row r="61" spans="1:21" x14ac:dyDescent="0.25">
      <c r="A61" s="28">
        <v>7</v>
      </c>
      <c r="B61" s="29" t="s">
        <v>157</v>
      </c>
      <c r="C61" s="29">
        <v>46212</v>
      </c>
      <c r="D61" s="28">
        <v>5380</v>
      </c>
      <c r="E61" s="28">
        <v>810</v>
      </c>
      <c r="F61" s="30">
        <f t="shared" si="11"/>
        <v>6190</v>
      </c>
      <c r="G61" s="28">
        <v>0</v>
      </c>
      <c r="H61" s="28">
        <f t="shared" si="12"/>
        <v>6190</v>
      </c>
      <c r="I61" s="28">
        <v>0</v>
      </c>
      <c r="J61" s="28">
        <v>0</v>
      </c>
      <c r="K61" s="31">
        <f t="shared" si="13"/>
        <v>6190</v>
      </c>
      <c r="L61" s="32">
        <v>0</v>
      </c>
      <c r="M61" s="32">
        <v>0</v>
      </c>
      <c r="N61" s="32">
        <v>6190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f t="shared" si="14"/>
        <v>0</v>
      </c>
      <c r="U61" s="33"/>
    </row>
    <row r="62" spans="1:21" x14ac:dyDescent="0.25">
      <c r="A62" s="28">
        <v>8</v>
      </c>
      <c r="B62" s="29" t="s">
        <v>157</v>
      </c>
      <c r="C62" s="29">
        <v>46213</v>
      </c>
      <c r="D62" s="28">
        <v>8400</v>
      </c>
      <c r="E62" s="28">
        <v>9440</v>
      </c>
      <c r="F62" s="30">
        <f t="shared" si="11"/>
        <v>17840</v>
      </c>
      <c r="G62" s="28">
        <v>0</v>
      </c>
      <c r="H62" s="28">
        <f t="shared" si="12"/>
        <v>17840</v>
      </c>
      <c r="I62" s="28">
        <v>0</v>
      </c>
      <c r="J62" s="28">
        <v>0</v>
      </c>
      <c r="K62" s="31">
        <f t="shared" si="13"/>
        <v>17840</v>
      </c>
      <c r="L62" s="32">
        <v>0</v>
      </c>
      <c r="M62" s="32">
        <v>0</v>
      </c>
      <c r="N62" s="32">
        <v>7190</v>
      </c>
      <c r="O62" s="32">
        <v>10650</v>
      </c>
      <c r="P62" s="32">
        <v>0</v>
      </c>
      <c r="Q62" s="32">
        <v>0</v>
      </c>
      <c r="R62" s="32">
        <v>0</v>
      </c>
      <c r="S62" s="32">
        <v>0</v>
      </c>
      <c r="T62" s="32">
        <f t="shared" si="14"/>
        <v>0</v>
      </c>
      <c r="U62" s="33"/>
    </row>
    <row r="63" spans="1:21" x14ac:dyDescent="0.25">
      <c r="A63" s="28">
        <v>9</v>
      </c>
      <c r="B63" s="29" t="s">
        <v>157</v>
      </c>
      <c r="C63" s="29">
        <v>46216</v>
      </c>
      <c r="D63" s="28">
        <v>1660</v>
      </c>
      <c r="E63" s="28">
        <v>1660</v>
      </c>
      <c r="F63" s="30">
        <f t="shared" si="11"/>
        <v>3320</v>
      </c>
      <c r="G63" s="28">
        <v>0</v>
      </c>
      <c r="H63" s="28">
        <f t="shared" si="12"/>
        <v>3320</v>
      </c>
      <c r="I63" s="28">
        <v>0</v>
      </c>
      <c r="J63" s="28">
        <v>0</v>
      </c>
      <c r="K63" s="31">
        <f t="shared" si="13"/>
        <v>3320</v>
      </c>
      <c r="L63" s="32">
        <v>0</v>
      </c>
      <c r="M63" s="32">
        <v>0</v>
      </c>
      <c r="N63" s="32">
        <v>3320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f t="shared" si="14"/>
        <v>0</v>
      </c>
      <c r="U63" s="33"/>
    </row>
    <row r="64" spans="1:21" x14ac:dyDescent="0.25">
      <c r="A64" s="28">
        <v>10</v>
      </c>
      <c r="B64" s="29" t="s">
        <v>157</v>
      </c>
      <c r="C64" s="29">
        <v>46217</v>
      </c>
      <c r="D64" s="28">
        <v>16030</v>
      </c>
      <c r="E64" s="28">
        <v>16860</v>
      </c>
      <c r="F64" s="30">
        <f t="shared" si="11"/>
        <v>32890</v>
      </c>
      <c r="G64" s="28">
        <v>0</v>
      </c>
      <c r="H64" s="28">
        <f t="shared" si="12"/>
        <v>32890</v>
      </c>
      <c r="I64" s="28">
        <v>0</v>
      </c>
      <c r="J64" s="28">
        <v>0</v>
      </c>
      <c r="K64" s="31">
        <f t="shared" si="13"/>
        <v>32890</v>
      </c>
      <c r="L64" s="32">
        <v>0</v>
      </c>
      <c r="M64" s="32">
        <v>0</v>
      </c>
      <c r="N64" s="32">
        <v>14880</v>
      </c>
      <c r="O64" s="32">
        <v>11600</v>
      </c>
      <c r="P64" s="32">
        <v>0</v>
      </c>
      <c r="Q64" s="32">
        <v>0</v>
      </c>
      <c r="R64" s="32">
        <v>0</v>
      </c>
      <c r="S64" s="32">
        <v>0</v>
      </c>
      <c r="T64" s="32">
        <f t="shared" si="14"/>
        <v>6410</v>
      </c>
      <c r="U64" s="33"/>
    </row>
    <row r="65" spans="1:21" x14ac:dyDescent="0.25">
      <c r="A65" s="28">
        <v>11</v>
      </c>
      <c r="B65" s="29" t="s">
        <v>157</v>
      </c>
      <c r="C65" s="29">
        <v>46218</v>
      </c>
      <c r="D65" s="28">
        <v>5800</v>
      </c>
      <c r="E65" s="28">
        <v>1330</v>
      </c>
      <c r="F65" s="30">
        <f t="shared" si="11"/>
        <v>7130</v>
      </c>
      <c r="G65" s="28">
        <v>0</v>
      </c>
      <c r="H65" s="28">
        <f t="shared" si="12"/>
        <v>7130</v>
      </c>
      <c r="I65" s="28">
        <v>0</v>
      </c>
      <c r="J65" s="28">
        <v>0</v>
      </c>
      <c r="K65" s="31">
        <f t="shared" si="13"/>
        <v>7130</v>
      </c>
      <c r="L65" s="32">
        <v>6410</v>
      </c>
      <c r="M65" s="32">
        <v>0</v>
      </c>
      <c r="N65" s="32">
        <v>5630</v>
      </c>
      <c r="O65" s="32">
        <v>7910</v>
      </c>
      <c r="P65" s="32">
        <v>0</v>
      </c>
      <c r="Q65" s="32">
        <v>0</v>
      </c>
      <c r="R65" s="32">
        <v>0</v>
      </c>
      <c r="S65" s="32">
        <v>0</v>
      </c>
      <c r="T65" s="32">
        <f t="shared" si="14"/>
        <v>0</v>
      </c>
      <c r="U65" s="33"/>
    </row>
    <row r="66" spans="1:21" x14ac:dyDescent="0.25">
      <c r="A66" s="28">
        <v>12</v>
      </c>
      <c r="B66" s="29" t="s">
        <v>157</v>
      </c>
      <c r="C66" s="29">
        <v>46219</v>
      </c>
      <c r="D66" s="28">
        <v>16690</v>
      </c>
      <c r="E66" s="28">
        <v>12640</v>
      </c>
      <c r="F66" s="30">
        <f t="shared" si="11"/>
        <v>29330</v>
      </c>
      <c r="G66" s="28">
        <v>0</v>
      </c>
      <c r="H66" s="28">
        <f t="shared" si="12"/>
        <v>29330</v>
      </c>
      <c r="I66" s="28">
        <v>0</v>
      </c>
      <c r="J66" s="28">
        <v>0</v>
      </c>
      <c r="K66" s="31">
        <f t="shared" si="13"/>
        <v>29330</v>
      </c>
      <c r="L66" s="32">
        <v>0</v>
      </c>
      <c r="M66" s="32">
        <v>0</v>
      </c>
      <c r="N66" s="32">
        <v>16800</v>
      </c>
      <c r="O66" s="32">
        <v>5910</v>
      </c>
      <c r="P66" s="32">
        <v>0</v>
      </c>
      <c r="Q66" s="32">
        <v>0</v>
      </c>
      <c r="R66" s="32">
        <v>0</v>
      </c>
      <c r="S66" s="32">
        <v>0</v>
      </c>
      <c r="T66" s="32">
        <f t="shared" si="14"/>
        <v>6620</v>
      </c>
      <c r="U66" s="33"/>
    </row>
    <row r="67" spans="1:21" x14ac:dyDescent="0.25">
      <c r="A67" s="28">
        <v>13</v>
      </c>
      <c r="B67" s="29" t="s">
        <v>157</v>
      </c>
      <c r="C67" s="29">
        <v>46220</v>
      </c>
      <c r="D67" s="28">
        <v>2430</v>
      </c>
      <c r="E67" s="28">
        <v>1620</v>
      </c>
      <c r="F67" s="30">
        <f t="shared" si="11"/>
        <v>4050</v>
      </c>
      <c r="G67" s="28">
        <v>0</v>
      </c>
      <c r="H67" s="28">
        <f t="shared" si="12"/>
        <v>4050</v>
      </c>
      <c r="I67" s="28">
        <v>0</v>
      </c>
      <c r="J67" s="28">
        <v>0</v>
      </c>
      <c r="K67" s="31">
        <f t="shared" si="13"/>
        <v>4050</v>
      </c>
      <c r="L67" s="32">
        <v>6620</v>
      </c>
      <c r="M67" s="32">
        <v>0</v>
      </c>
      <c r="N67" s="32">
        <v>4050</v>
      </c>
      <c r="O67" s="32">
        <v>5270</v>
      </c>
      <c r="P67" s="32">
        <v>0</v>
      </c>
      <c r="Q67" s="32">
        <v>1350</v>
      </c>
      <c r="R67" s="32">
        <v>0</v>
      </c>
      <c r="S67" s="32">
        <v>0</v>
      </c>
      <c r="T67" s="32">
        <f t="shared" si="14"/>
        <v>0</v>
      </c>
      <c r="U67" s="33" t="s">
        <v>531</v>
      </c>
    </row>
    <row r="68" spans="1:21" x14ac:dyDescent="0.25">
      <c r="A68" s="28">
        <v>14</v>
      </c>
      <c r="B68" s="29" t="s">
        <v>157</v>
      </c>
      <c r="C68" s="29">
        <v>46223</v>
      </c>
      <c r="D68" s="28">
        <v>5530</v>
      </c>
      <c r="E68" s="28">
        <v>7150</v>
      </c>
      <c r="F68" s="30">
        <f t="shared" si="11"/>
        <v>12680</v>
      </c>
      <c r="G68" s="28">
        <v>0</v>
      </c>
      <c r="H68" s="28">
        <f t="shared" si="12"/>
        <v>12680</v>
      </c>
      <c r="I68" s="28">
        <v>0</v>
      </c>
      <c r="J68" s="28">
        <v>0</v>
      </c>
      <c r="K68" s="31">
        <f t="shared" si="13"/>
        <v>12680</v>
      </c>
      <c r="L68" s="32">
        <v>0</v>
      </c>
      <c r="M68" s="32">
        <v>0</v>
      </c>
      <c r="N68" s="32">
        <v>4130</v>
      </c>
      <c r="O68" s="32">
        <v>6550</v>
      </c>
      <c r="P68" s="32">
        <v>0</v>
      </c>
      <c r="Q68" s="32">
        <v>2000</v>
      </c>
      <c r="R68" s="32">
        <v>0</v>
      </c>
      <c r="S68" s="32">
        <v>0</v>
      </c>
      <c r="T68" s="32">
        <f t="shared" si="14"/>
        <v>0</v>
      </c>
      <c r="U68" s="33" t="s">
        <v>532</v>
      </c>
    </row>
    <row r="69" spans="1:21" x14ac:dyDescent="0.25">
      <c r="A69" s="28">
        <v>15</v>
      </c>
      <c r="B69" s="29" t="s">
        <v>157</v>
      </c>
      <c r="C69" s="29">
        <v>46224</v>
      </c>
      <c r="D69" s="28">
        <v>13970</v>
      </c>
      <c r="E69" s="28">
        <v>12330</v>
      </c>
      <c r="F69" s="30">
        <f t="shared" si="11"/>
        <v>26300</v>
      </c>
      <c r="G69" s="28">
        <v>0</v>
      </c>
      <c r="H69" s="28">
        <f t="shared" si="12"/>
        <v>26300</v>
      </c>
      <c r="I69" s="28">
        <v>0</v>
      </c>
      <c r="J69" s="28">
        <v>0</v>
      </c>
      <c r="K69" s="31">
        <f t="shared" si="13"/>
        <v>26300</v>
      </c>
      <c r="L69" s="32">
        <v>0</v>
      </c>
      <c r="M69" s="32">
        <v>0</v>
      </c>
      <c r="N69" s="32">
        <v>16450</v>
      </c>
      <c r="O69" s="32">
        <v>7350</v>
      </c>
      <c r="P69" s="32">
        <v>0</v>
      </c>
      <c r="Q69" s="32">
        <v>2500</v>
      </c>
      <c r="R69" s="32">
        <v>0</v>
      </c>
      <c r="S69" s="32">
        <v>0</v>
      </c>
      <c r="T69" s="32">
        <f t="shared" si="14"/>
        <v>0</v>
      </c>
      <c r="U69" s="33" t="s">
        <v>522</v>
      </c>
    </row>
    <row r="70" spans="1:21" x14ac:dyDescent="0.25">
      <c r="A70" s="28">
        <v>16</v>
      </c>
      <c r="B70" s="29" t="s">
        <v>157</v>
      </c>
      <c r="C70" s="29">
        <v>46225</v>
      </c>
      <c r="D70" s="28">
        <v>7610</v>
      </c>
      <c r="E70" s="28">
        <v>3140</v>
      </c>
      <c r="F70" s="30">
        <f t="shared" si="11"/>
        <v>10750</v>
      </c>
      <c r="G70" s="28">
        <v>0</v>
      </c>
      <c r="H70" s="28">
        <f t="shared" si="12"/>
        <v>10750</v>
      </c>
      <c r="I70" s="28">
        <v>0</v>
      </c>
      <c r="J70" s="28">
        <v>0</v>
      </c>
      <c r="K70" s="31">
        <f t="shared" si="13"/>
        <v>10750</v>
      </c>
      <c r="L70" s="32">
        <v>0</v>
      </c>
      <c r="M70" s="32">
        <v>0</v>
      </c>
      <c r="N70" s="32">
        <v>7680</v>
      </c>
      <c r="O70" s="32">
        <v>3070</v>
      </c>
      <c r="P70" s="32">
        <v>0</v>
      </c>
      <c r="Q70" s="32">
        <v>0</v>
      </c>
      <c r="R70" s="32">
        <v>0</v>
      </c>
      <c r="S70" s="32">
        <v>0</v>
      </c>
      <c r="T70" s="32">
        <f t="shared" si="14"/>
        <v>0</v>
      </c>
      <c r="U70" s="33"/>
    </row>
    <row r="71" spans="1:21" x14ac:dyDescent="0.25">
      <c r="A71" s="28">
        <v>17</v>
      </c>
      <c r="B71" s="29" t="s">
        <v>157</v>
      </c>
      <c r="C71" s="29">
        <v>46226</v>
      </c>
      <c r="D71" s="28">
        <v>5670</v>
      </c>
      <c r="E71" s="28">
        <v>1620</v>
      </c>
      <c r="F71" s="30">
        <f t="shared" si="11"/>
        <v>7290</v>
      </c>
      <c r="G71" s="28">
        <v>0</v>
      </c>
      <c r="H71" s="28">
        <f t="shared" si="12"/>
        <v>7290</v>
      </c>
      <c r="I71" s="28">
        <v>0</v>
      </c>
      <c r="J71" s="28">
        <v>0</v>
      </c>
      <c r="K71" s="31">
        <f t="shared" si="13"/>
        <v>7290</v>
      </c>
      <c r="L71" s="32">
        <v>0</v>
      </c>
      <c r="M71" s="32">
        <v>0</v>
      </c>
      <c r="N71" s="32">
        <v>5670</v>
      </c>
      <c r="O71" s="32">
        <v>1620</v>
      </c>
      <c r="P71" s="32">
        <v>0</v>
      </c>
      <c r="Q71" s="32">
        <v>0</v>
      </c>
      <c r="R71" s="32">
        <v>0</v>
      </c>
      <c r="S71" s="32">
        <v>0</v>
      </c>
      <c r="T71" s="32">
        <f t="shared" si="14"/>
        <v>0</v>
      </c>
      <c r="U71" s="33"/>
    </row>
    <row r="72" spans="1:21" x14ac:dyDescent="0.25">
      <c r="A72" s="28">
        <v>18</v>
      </c>
      <c r="B72" s="29" t="s">
        <v>157</v>
      </c>
      <c r="C72" s="29">
        <v>46227</v>
      </c>
      <c r="D72" s="28">
        <v>10020</v>
      </c>
      <c r="E72" s="28">
        <v>9400</v>
      </c>
      <c r="F72" s="30">
        <f t="shared" si="11"/>
        <v>19420</v>
      </c>
      <c r="G72" s="28">
        <v>0</v>
      </c>
      <c r="H72" s="28">
        <f t="shared" si="12"/>
        <v>19420</v>
      </c>
      <c r="I72" s="28">
        <v>0</v>
      </c>
      <c r="J72" s="28">
        <v>0</v>
      </c>
      <c r="K72" s="31">
        <f t="shared" si="13"/>
        <v>19420</v>
      </c>
      <c r="L72" s="32">
        <v>0</v>
      </c>
      <c r="M72" s="32">
        <v>0</v>
      </c>
      <c r="N72" s="32">
        <v>4560</v>
      </c>
      <c r="O72" s="32">
        <v>11350</v>
      </c>
      <c r="P72" s="32">
        <v>0</v>
      </c>
      <c r="Q72" s="32">
        <v>3510</v>
      </c>
      <c r="R72" s="32">
        <v>0</v>
      </c>
      <c r="S72" s="32">
        <v>0</v>
      </c>
      <c r="T72" s="32">
        <f t="shared" si="14"/>
        <v>0</v>
      </c>
      <c r="U72" s="33" t="s">
        <v>533</v>
      </c>
    </row>
    <row r="73" spans="1:21" x14ac:dyDescent="0.25">
      <c r="A73" s="28">
        <v>19</v>
      </c>
      <c r="B73" s="29" t="s">
        <v>157</v>
      </c>
      <c r="C73" s="29">
        <v>46230</v>
      </c>
      <c r="D73" s="28">
        <v>5360</v>
      </c>
      <c r="E73" s="28">
        <v>4530</v>
      </c>
      <c r="F73" s="30">
        <f t="shared" si="11"/>
        <v>9890</v>
      </c>
      <c r="G73" s="28">
        <v>0</v>
      </c>
      <c r="H73" s="28">
        <f t="shared" si="12"/>
        <v>9890</v>
      </c>
      <c r="I73" s="28">
        <v>0</v>
      </c>
      <c r="J73" s="28">
        <v>0</v>
      </c>
      <c r="K73" s="31">
        <f t="shared" si="13"/>
        <v>9890</v>
      </c>
      <c r="L73" s="32">
        <v>0</v>
      </c>
      <c r="M73" s="32">
        <v>0</v>
      </c>
      <c r="N73" s="32">
        <v>1290</v>
      </c>
      <c r="O73" s="32">
        <v>8600</v>
      </c>
      <c r="P73" s="32">
        <v>0</v>
      </c>
      <c r="Q73" s="32">
        <v>0</v>
      </c>
      <c r="R73" s="32">
        <v>0</v>
      </c>
      <c r="S73" s="32">
        <v>0</v>
      </c>
      <c r="T73" s="32">
        <f t="shared" si="14"/>
        <v>0</v>
      </c>
      <c r="U73" s="33"/>
    </row>
    <row r="74" spans="1:21" x14ac:dyDescent="0.25">
      <c r="A74" s="28">
        <v>20</v>
      </c>
      <c r="B74" s="29" t="s">
        <v>157</v>
      </c>
      <c r="C74" s="29">
        <v>46231</v>
      </c>
      <c r="D74" s="28">
        <v>16840</v>
      </c>
      <c r="E74" s="28">
        <v>16880</v>
      </c>
      <c r="F74" s="30">
        <f t="shared" si="11"/>
        <v>33720</v>
      </c>
      <c r="G74" s="28">
        <v>0</v>
      </c>
      <c r="H74" s="28">
        <f t="shared" si="12"/>
        <v>33720</v>
      </c>
      <c r="I74" s="28">
        <v>0</v>
      </c>
      <c r="J74" s="28">
        <v>0</v>
      </c>
      <c r="K74" s="31">
        <f t="shared" si="13"/>
        <v>33720</v>
      </c>
      <c r="L74" s="32">
        <v>0</v>
      </c>
      <c r="M74" s="32">
        <v>0</v>
      </c>
      <c r="N74" s="32">
        <v>21900</v>
      </c>
      <c r="O74" s="32">
        <v>11820</v>
      </c>
      <c r="P74" s="32">
        <v>0</v>
      </c>
      <c r="Q74" s="32">
        <v>0</v>
      </c>
      <c r="R74" s="32">
        <v>0</v>
      </c>
      <c r="S74" s="32">
        <v>0</v>
      </c>
      <c r="T74" s="32">
        <f t="shared" si="14"/>
        <v>0</v>
      </c>
      <c r="U74" s="33"/>
    </row>
    <row r="75" spans="1:21" x14ac:dyDescent="0.25">
      <c r="A75" s="28">
        <v>21</v>
      </c>
      <c r="B75" s="29" t="s">
        <v>157</v>
      </c>
      <c r="C75" s="29">
        <v>46232</v>
      </c>
      <c r="D75" s="28">
        <v>7050</v>
      </c>
      <c r="E75" s="28">
        <v>4200</v>
      </c>
      <c r="F75" s="30">
        <f t="shared" si="11"/>
        <v>11250</v>
      </c>
      <c r="G75" s="28">
        <v>0</v>
      </c>
      <c r="H75" s="28">
        <f t="shared" si="12"/>
        <v>11250</v>
      </c>
      <c r="I75" s="28">
        <v>0</v>
      </c>
      <c r="J75" s="28">
        <v>0</v>
      </c>
      <c r="K75" s="31">
        <f t="shared" si="13"/>
        <v>11250</v>
      </c>
      <c r="L75" s="32">
        <v>0</v>
      </c>
      <c r="M75" s="32">
        <v>0</v>
      </c>
      <c r="N75" s="32">
        <v>8190</v>
      </c>
      <c r="O75" s="32">
        <v>3060</v>
      </c>
      <c r="P75" s="32">
        <v>0</v>
      </c>
      <c r="Q75" s="32">
        <v>0</v>
      </c>
      <c r="R75" s="32">
        <v>0</v>
      </c>
      <c r="S75" s="32">
        <v>0</v>
      </c>
      <c r="T75" s="32">
        <f t="shared" si="14"/>
        <v>0</v>
      </c>
      <c r="U75" s="33"/>
    </row>
    <row r="76" spans="1:21" x14ac:dyDescent="0.25">
      <c r="A76" s="28">
        <v>22</v>
      </c>
      <c r="B76" s="29" t="s">
        <v>157</v>
      </c>
      <c r="C76" s="29">
        <v>46233</v>
      </c>
      <c r="D76" s="28">
        <v>16690</v>
      </c>
      <c r="E76" s="28">
        <v>15070</v>
      </c>
      <c r="F76" s="30">
        <f t="shared" si="11"/>
        <v>31760</v>
      </c>
      <c r="G76" s="28">
        <v>0</v>
      </c>
      <c r="H76" s="28">
        <f t="shared" si="12"/>
        <v>31760</v>
      </c>
      <c r="I76" s="28">
        <v>0</v>
      </c>
      <c r="J76" s="28">
        <v>0</v>
      </c>
      <c r="K76" s="31">
        <f t="shared" si="13"/>
        <v>31760</v>
      </c>
      <c r="L76" s="32">
        <v>0</v>
      </c>
      <c r="M76" s="32">
        <v>0</v>
      </c>
      <c r="N76" s="32">
        <v>18390</v>
      </c>
      <c r="O76" s="32">
        <v>10500</v>
      </c>
      <c r="P76" s="32">
        <v>0</v>
      </c>
      <c r="Q76" s="32">
        <v>2870</v>
      </c>
      <c r="R76" s="32">
        <v>0</v>
      </c>
      <c r="S76" s="32">
        <v>0</v>
      </c>
      <c r="T76" s="32">
        <f t="shared" si="14"/>
        <v>0</v>
      </c>
      <c r="U76" s="33" t="s">
        <v>534</v>
      </c>
    </row>
    <row r="77" spans="1:21" x14ac:dyDescent="0.25">
      <c r="A77" s="28">
        <v>23</v>
      </c>
      <c r="B77" s="29" t="s">
        <v>157</v>
      </c>
      <c r="C77" s="29">
        <v>46234</v>
      </c>
      <c r="D77" s="28">
        <v>5090</v>
      </c>
      <c r="E77" s="28">
        <v>4470</v>
      </c>
      <c r="F77" s="30">
        <f t="shared" si="11"/>
        <v>9560</v>
      </c>
      <c r="G77" s="28">
        <v>0</v>
      </c>
      <c r="H77" s="28">
        <f t="shared" si="12"/>
        <v>9560</v>
      </c>
      <c r="I77" s="28">
        <v>0</v>
      </c>
      <c r="J77" s="28">
        <v>0</v>
      </c>
      <c r="K77" s="31">
        <f t="shared" si="13"/>
        <v>9560</v>
      </c>
      <c r="L77" s="32">
        <v>0</v>
      </c>
      <c r="M77" s="32">
        <v>0</v>
      </c>
      <c r="N77" s="32">
        <v>9560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f t="shared" si="14"/>
        <v>0</v>
      </c>
      <c r="U77" s="33"/>
    </row>
    <row r="78" spans="1:21" x14ac:dyDescent="0.25">
      <c r="A78" s="28"/>
      <c r="B78" s="29"/>
      <c r="C78" s="29"/>
      <c r="D78" s="28"/>
      <c r="E78" s="28"/>
      <c r="F78" s="30"/>
      <c r="G78" s="28"/>
      <c r="H78" s="28"/>
      <c r="I78" s="28"/>
      <c r="J78" s="28"/>
      <c r="K78" s="31"/>
      <c r="L78" s="32"/>
      <c r="M78" s="32"/>
      <c r="N78" s="32"/>
      <c r="O78" s="32"/>
      <c r="P78" s="32"/>
      <c r="Q78" s="32"/>
      <c r="R78" s="32"/>
      <c r="S78" s="32"/>
      <c r="T78" s="32"/>
      <c r="U78" s="33"/>
    </row>
    <row r="79" spans="1:21" ht="15.75" thickBot="1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1:21" ht="19.5" thickBot="1" x14ac:dyDescent="0.35">
      <c r="A80" s="35"/>
      <c r="B80" s="35"/>
      <c r="C80" s="35"/>
      <c r="D80" s="36">
        <f t="shared" ref="D80:S80" si="15">SUM(D55:D79)</f>
        <v>195920</v>
      </c>
      <c r="E80" s="36">
        <f t="shared" si="15"/>
        <v>159010</v>
      </c>
      <c r="F80" s="36">
        <f t="shared" si="15"/>
        <v>354930</v>
      </c>
      <c r="G80" s="36">
        <f t="shared" si="15"/>
        <v>0</v>
      </c>
      <c r="H80" s="36">
        <f t="shared" si="15"/>
        <v>354930</v>
      </c>
      <c r="I80" s="36">
        <f t="shared" si="15"/>
        <v>0</v>
      </c>
      <c r="J80" s="36">
        <f t="shared" si="15"/>
        <v>0</v>
      </c>
      <c r="K80" s="37">
        <f t="shared" si="15"/>
        <v>354930</v>
      </c>
      <c r="L80" s="38">
        <f t="shared" si="15"/>
        <v>20960</v>
      </c>
      <c r="M80" s="39">
        <f t="shared" si="15"/>
        <v>0</v>
      </c>
      <c r="N80" s="39">
        <f t="shared" si="15"/>
        <v>219460</v>
      </c>
      <c r="O80" s="39">
        <f t="shared" si="15"/>
        <v>123240</v>
      </c>
      <c r="P80" s="39">
        <f t="shared" si="15"/>
        <v>0</v>
      </c>
      <c r="Q80" s="39">
        <f t="shared" si="15"/>
        <v>12230</v>
      </c>
      <c r="R80" s="39">
        <f t="shared" si="15"/>
        <v>0</v>
      </c>
      <c r="S80" s="39">
        <f t="shared" si="15"/>
        <v>0</v>
      </c>
      <c r="T80" s="40"/>
      <c r="U80" s="41"/>
    </row>
    <row r="81" spans="1:21" ht="18.75" x14ac:dyDescent="0.3">
      <c r="A81" s="35"/>
      <c r="B81" s="35"/>
      <c r="C81" s="35"/>
      <c r="D81" s="43"/>
      <c r="E81" s="43"/>
      <c r="F81" s="43"/>
      <c r="G81" s="43"/>
      <c r="H81" s="43"/>
      <c r="I81" s="43"/>
      <c r="J81" s="43"/>
      <c r="K81" s="43"/>
      <c r="L81" s="44"/>
      <c r="M81" s="44"/>
      <c r="N81" s="44"/>
      <c r="O81" s="44"/>
      <c r="P81" s="44"/>
      <c r="Q81" s="44"/>
      <c r="R81" s="44"/>
      <c r="S81" s="44"/>
      <c r="T81" s="44"/>
      <c r="U81" s="41"/>
    </row>
    <row r="82" spans="1:21" ht="18.75" x14ac:dyDescent="0.3">
      <c r="A82" s="35"/>
      <c r="B82" s="35"/>
      <c r="C82" s="35"/>
      <c r="D82" s="43"/>
      <c r="E82" s="43"/>
      <c r="F82" s="43"/>
      <c r="G82" s="43"/>
      <c r="H82" s="43"/>
      <c r="I82" s="43"/>
      <c r="J82" s="43"/>
      <c r="K82" s="43"/>
      <c r="L82" s="44"/>
      <c r="M82" s="44"/>
      <c r="N82" s="44"/>
      <c r="O82" s="44"/>
      <c r="P82" s="44"/>
      <c r="Q82" s="44"/>
      <c r="R82" s="44"/>
      <c r="S82" s="44"/>
      <c r="T82" s="44"/>
      <c r="U82" s="41"/>
    </row>
    <row r="83" spans="1:21" ht="18.75" x14ac:dyDescent="0.3">
      <c r="A83" s="35"/>
      <c r="B83" s="35"/>
      <c r="C83" s="35"/>
      <c r="D83" s="43"/>
      <c r="E83" s="43"/>
      <c r="F83" s="43"/>
      <c r="G83" s="43"/>
      <c r="H83" s="43"/>
      <c r="I83" s="43"/>
      <c r="J83" s="43"/>
      <c r="K83" s="43"/>
      <c r="L83" s="44"/>
      <c r="M83" s="44"/>
      <c r="N83" s="44"/>
      <c r="O83" s="44"/>
      <c r="P83" s="44"/>
      <c r="Q83" s="44"/>
      <c r="R83" s="44"/>
      <c r="S83" s="44"/>
      <c r="T83" s="44"/>
      <c r="U83" s="41"/>
    </row>
    <row r="84" spans="1:21" ht="19.5" thickBot="1" x14ac:dyDescent="0.35">
      <c r="A84" s="35"/>
      <c r="B84" s="35"/>
      <c r="C84" s="35"/>
      <c r="D84" s="43"/>
      <c r="E84" s="43"/>
      <c r="F84" s="43"/>
      <c r="G84" s="43"/>
      <c r="H84" s="43"/>
      <c r="I84" s="43"/>
      <c r="J84" s="43"/>
      <c r="K84" s="43"/>
      <c r="L84" s="44"/>
      <c r="M84" s="44"/>
      <c r="N84" s="44"/>
      <c r="O84" s="44"/>
      <c r="P84" s="44"/>
      <c r="Q84" s="44"/>
      <c r="R84" s="44"/>
      <c r="S84" s="44"/>
      <c r="T84" s="44"/>
      <c r="U84" s="41"/>
    </row>
    <row r="85" spans="1:21" ht="32.25" thickBot="1" x14ac:dyDescent="0.55000000000000004">
      <c r="A85" s="52" t="s">
        <v>530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4" t="s">
        <v>502</v>
      </c>
      <c r="M85" s="55"/>
      <c r="N85" s="55"/>
      <c r="O85" s="55"/>
      <c r="P85" s="55"/>
      <c r="Q85" s="55"/>
      <c r="R85" s="55"/>
      <c r="S85" s="55"/>
      <c r="T85" s="55"/>
      <c r="U85" s="56"/>
    </row>
    <row r="86" spans="1:21" ht="111" thickBot="1" x14ac:dyDescent="0.3">
      <c r="A86" s="21" t="s">
        <v>503</v>
      </c>
      <c r="B86" s="21" t="s">
        <v>504</v>
      </c>
      <c r="C86" s="21" t="s">
        <v>463</v>
      </c>
      <c r="D86" s="21" t="s">
        <v>470</v>
      </c>
      <c r="E86" s="21" t="s">
        <v>21</v>
      </c>
      <c r="F86" s="22" t="s">
        <v>505</v>
      </c>
      <c r="G86" s="21" t="s">
        <v>506</v>
      </c>
      <c r="H86" s="21" t="s">
        <v>507</v>
      </c>
      <c r="I86" s="23" t="s">
        <v>508</v>
      </c>
      <c r="J86" s="21" t="s">
        <v>509</v>
      </c>
      <c r="K86" s="24" t="s">
        <v>510</v>
      </c>
      <c r="L86" s="25" t="s">
        <v>511</v>
      </c>
      <c r="M86" s="25" t="s">
        <v>512</v>
      </c>
      <c r="N86" s="26" t="s">
        <v>513</v>
      </c>
      <c r="O86" s="26" t="s">
        <v>514</v>
      </c>
      <c r="P86" s="27" t="s">
        <v>515</v>
      </c>
      <c r="Q86" s="26" t="s">
        <v>516</v>
      </c>
      <c r="R86" s="27" t="s">
        <v>517</v>
      </c>
      <c r="S86" s="27" t="s">
        <v>518</v>
      </c>
      <c r="T86" s="27" t="s">
        <v>519</v>
      </c>
      <c r="U86" s="27" t="s">
        <v>520</v>
      </c>
    </row>
    <row r="87" spans="1:21" x14ac:dyDescent="0.25">
      <c r="A87" s="28">
        <v>1</v>
      </c>
      <c r="B87" s="29" t="s">
        <v>157</v>
      </c>
      <c r="C87" s="29">
        <v>46237</v>
      </c>
      <c r="D87" s="28">
        <v>6360</v>
      </c>
      <c r="E87" s="28">
        <v>6420</v>
      </c>
      <c r="F87" s="30">
        <f t="shared" ref="F87:F109" si="16">D87+E87</f>
        <v>12780</v>
      </c>
      <c r="G87" s="28">
        <v>0</v>
      </c>
      <c r="H87" s="28">
        <f t="shared" ref="H87:H109" si="17">F87-G87</f>
        <v>12780</v>
      </c>
      <c r="I87" s="28">
        <v>0</v>
      </c>
      <c r="J87" s="28">
        <v>0</v>
      </c>
      <c r="K87" s="31">
        <f t="shared" ref="K87:K109" si="18">H87+I87+J87</f>
        <v>12780</v>
      </c>
      <c r="L87" s="32">
        <v>0</v>
      </c>
      <c r="M87" s="32">
        <v>0</v>
      </c>
      <c r="N87" s="32">
        <v>3700</v>
      </c>
      <c r="O87" s="32">
        <v>9080</v>
      </c>
      <c r="P87" s="32">
        <v>0</v>
      </c>
      <c r="Q87" s="32">
        <v>0</v>
      </c>
      <c r="R87" s="32">
        <v>0</v>
      </c>
      <c r="S87" s="32">
        <v>0</v>
      </c>
      <c r="T87" s="32">
        <f>K87+L87+M87-N87-O87-P87-Q87-R87-S87</f>
        <v>0</v>
      </c>
      <c r="U87" s="33"/>
    </row>
    <row r="88" spans="1:21" x14ac:dyDescent="0.25">
      <c r="A88" s="28">
        <v>2</v>
      </c>
      <c r="B88" s="29" t="s">
        <v>157</v>
      </c>
      <c r="C88" s="29">
        <v>46238</v>
      </c>
      <c r="D88" s="28">
        <v>14760</v>
      </c>
      <c r="E88" s="28">
        <v>8400</v>
      </c>
      <c r="F88" s="30">
        <f t="shared" si="16"/>
        <v>23160</v>
      </c>
      <c r="G88" s="28">
        <v>0</v>
      </c>
      <c r="H88" s="28">
        <f t="shared" si="17"/>
        <v>23160</v>
      </c>
      <c r="I88" s="28">
        <v>0</v>
      </c>
      <c r="J88" s="28">
        <v>0</v>
      </c>
      <c r="K88" s="31">
        <f t="shared" si="18"/>
        <v>23160</v>
      </c>
      <c r="L88" s="32">
        <v>0</v>
      </c>
      <c r="M88" s="32">
        <v>0</v>
      </c>
      <c r="N88" s="32">
        <v>23160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f t="shared" ref="T88:T109" si="19">K88+L88+M88-N88-O88-P88-Q88-R88-S88</f>
        <v>0</v>
      </c>
      <c r="U88" s="33"/>
    </row>
    <row r="89" spans="1:21" x14ac:dyDescent="0.25">
      <c r="A89" s="28">
        <v>3</v>
      </c>
      <c r="B89" s="29" t="s">
        <v>157</v>
      </c>
      <c r="C89" s="29">
        <v>46239</v>
      </c>
      <c r="D89" s="28">
        <v>10040</v>
      </c>
      <c r="E89" s="28">
        <v>7110</v>
      </c>
      <c r="F89" s="30">
        <f t="shared" si="16"/>
        <v>17150</v>
      </c>
      <c r="G89" s="28">
        <v>0</v>
      </c>
      <c r="H89" s="28">
        <f t="shared" si="17"/>
        <v>17150</v>
      </c>
      <c r="I89" s="28">
        <v>0</v>
      </c>
      <c r="J89" s="28">
        <v>0</v>
      </c>
      <c r="K89" s="31">
        <f t="shared" si="18"/>
        <v>17150</v>
      </c>
      <c r="L89" s="32">
        <v>0</v>
      </c>
      <c r="M89" s="32">
        <v>0</v>
      </c>
      <c r="N89" s="32">
        <v>8650</v>
      </c>
      <c r="O89" s="32">
        <v>8500</v>
      </c>
      <c r="P89" s="32">
        <v>0</v>
      </c>
      <c r="Q89" s="32">
        <v>0</v>
      </c>
      <c r="R89" s="32">
        <v>0</v>
      </c>
      <c r="S89" s="32">
        <v>0</v>
      </c>
      <c r="T89" s="32">
        <f t="shared" si="19"/>
        <v>0</v>
      </c>
      <c r="U89" s="33"/>
    </row>
    <row r="90" spans="1:21" x14ac:dyDescent="0.25">
      <c r="A90" s="28">
        <v>4</v>
      </c>
      <c r="B90" s="29" t="s">
        <v>157</v>
      </c>
      <c r="C90" s="29">
        <v>46240</v>
      </c>
      <c r="D90" s="28">
        <v>4860</v>
      </c>
      <c r="E90" s="28">
        <v>1620</v>
      </c>
      <c r="F90" s="30">
        <f t="shared" si="16"/>
        <v>6480</v>
      </c>
      <c r="G90" s="28">
        <v>0</v>
      </c>
      <c r="H90" s="28">
        <f t="shared" si="17"/>
        <v>6480</v>
      </c>
      <c r="I90" s="28">
        <v>0</v>
      </c>
      <c r="J90" s="28">
        <v>0</v>
      </c>
      <c r="K90" s="31">
        <f t="shared" si="18"/>
        <v>6480</v>
      </c>
      <c r="L90" s="32">
        <v>0</v>
      </c>
      <c r="M90" s="32">
        <v>0</v>
      </c>
      <c r="N90" s="32">
        <v>2380</v>
      </c>
      <c r="O90" s="32">
        <v>4100</v>
      </c>
      <c r="P90" s="32">
        <v>0</v>
      </c>
      <c r="Q90" s="32">
        <v>0</v>
      </c>
      <c r="R90" s="32">
        <v>0</v>
      </c>
      <c r="S90" s="32">
        <v>0</v>
      </c>
      <c r="T90" s="32">
        <f t="shared" si="19"/>
        <v>0</v>
      </c>
      <c r="U90" s="33"/>
    </row>
    <row r="91" spans="1:21" x14ac:dyDescent="0.25">
      <c r="A91" s="28">
        <v>5</v>
      </c>
      <c r="B91" s="29" t="s">
        <v>157</v>
      </c>
      <c r="C91" s="29">
        <v>46241</v>
      </c>
      <c r="D91" s="28">
        <v>13260</v>
      </c>
      <c r="E91" s="28">
        <v>10020</v>
      </c>
      <c r="F91" s="30">
        <f t="shared" si="16"/>
        <v>23280</v>
      </c>
      <c r="G91" s="28">
        <v>0</v>
      </c>
      <c r="H91" s="28">
        <f t="shared" si="17"/>
        <v>23280</v>
      </c>
      <c r="I91" s="28">
        <v>0</v>
      </c>
      <c r="J91" s="28">
        <v>0</v>
      </c>
      <c r="K91" s="31">
        <f t="shared" si="18"/>
        <v>23280</v>
      </c>
      <c r="L91" s="32">
        <v>0</v>
      </c>
      <c r="M91" s="32">
        <v>0</v>
      </c>
      <c r="N91" s="32">
        <v>15680</v>
      </c>
      <c r="O91" s="32">
        <v>7600</v>
      </c>
      <c r="P91" s="32">
        <v>0</v>
      </c>
      <c r="Q91" s="32">
        <v>0</v>
      </c>
      <c r="R91" s="32">
        <v>0</v>
      </c>
      <c r="S91" s="32">
        <v>0</v>
      </c>
      <c r="T91" s="32">
        <f t="shared" si="19"/>
        <v>0</v>
      </c>
      <c r="U91" s="33"/>
    </row>
    <row r="92" spans="1:21" x14ac:dyDescent="0.25">
      <c r="A92" s="28">
        <v>6</v>
      </c>
      <c r="B92" s="29" t="s">
        <v>157</v>
      </c>
      <c r="C92" s="29">
        <v>46242</v>
      </c>
      <c r="D92" s="28">
        <v>3000</v>
      </c>
      <c r="E92" s="28">
        <v>1620</v>
      </c>
      <c r="F92" s="30">
        <f t="shared" si="16"/>
        <v>4620</v>
      </c>
      <c r="G92" s="28">
        <v>0</v>
      </c>
      <c r="H92" s="28">
        <f t="shared" si="17"/>
        <v>4620</v>
      </c>
      <c r="I92" s="28">
        <v>0</v>
      </c>
      <c r="J92" s="28">
        <v>0</v>
      </c>
      <c r="K92" s="31">
        <f t="shared" si="18"/>
        <v>4620</v>
      </c>
      <c r="L92" s="32">
        <v>0</v>
      </c>
      <c r="M92" s="32">
        <v>0</v>
      </c>
      <c r="N92" s="32">
        <v>1620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f t="shared" si="19"/>
        <v>3000</v>
      </c>
      <c r="U92" s="33"/>
    </row>
    <row r="93" spans="1:21" x14ac:dyDescent="0.25">
      <c r="A93" s="28">
        <v>7</v>
      </c>
      <c r="B93" s="29" t="s">
        <v>157</v>
      </c>
      <c r="C93" s="29">
        <v>46243</v>
      </c>
      <c r="D93" s="28">
        <v>0</v>
      </c>
      <c r="E93" s="28">
        <v>0</v>
      </c>
      <c r="F93" s="30">
        <f t="shared" si="16"/>
        <v>0</v>
      </c>
      <c r="G93" s="28">
        <v>0</v>
      </c>
      <c r="H93" s="28">
        <f t="shared" si="17"/>
        <v>0</v>
      </c>
      <c r="I93" s="28">
        <v>0</v>
      </c>
      <c r="J93" s="28">
        <v>0</v>
      </c>
      <c r="K93" s="31">
        <f t="shared" si="18"/>
        <v>0</v>
      </c>
      <c r="L93" s="32">
        <v>3000</v>
      </c>
      <c r="M93" s="32">
        <v>0</v>
      </c>
      <c r="N93" s="32">
        <v>3000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f t="shared" si="19"/>
        <v>0</v>
      </c>
      <c r="U93" s="33"/>
    </row>
    <row r="94" spans="1:21" x14ac:dyDescent="0.25">
      <c r="A94" s="28">
        <v>8</v>
      </c>
      <c r="B94" s="29" t="s">
        <v>157</v>
      </c>
      <c r="C94" s="29">
        <v>46244</v>
      </c>
      <c r="D94" s="28">
        <v>7610</v>
      </c>
      <c r="E94" s="28">
        <v>5050</v>
      </c>
      <c r="F94" s="30">
        <f t="shared" si="16"/>
        <v>12660</v>
      </c>
      <c r="G94" s="28">
        <v>0</v>
      </c>
      <c r="H94" s="28">
        <f t="shared" si="17"/>
        <v>12660</v>
      </c>
      <c r="I94" s="28">
        <v>0</v>
      </c>
      <c r="J94" s="28">
        <v>0</v>
      </c>
      <c r="K94" s="31">
        <f t="shared" si="18"/>
        <v>12660</v>
      </c>
      <c r="L94" s="32">
        <v>0</v>
      </c>
      <c r="M94" s="32">
        <v>0</v>
      </c>
      <c r="N94" s="32">
        <v>5860</v>
      </c>
      <c r="O94" s="32">
        <v>6800</v>
      </c>
      <c r="P94" s="32">
        <v>0</v>
      </c>
      <c r="Q94" s="32">
        <v>0</v>
      </c>
      <c r="R94" s="32">
        <v>0</v>
      </c>
      <c r="S94" s="32">
        <v>0</v>
      </c>
      <c r="T94" s="32">
        <f t="shared" si="19"/>
        <v>0</v>
      </c>
      <c r="U94" s="33"/>
    </row>
    <row r="95" spans="1:21" x14ac:dyDescent="0.25">
      <c r="A95" s="28">
        <v>9</v>
      </c>
      <c r="B95" s="29" t="s">
        <v>157</v>
      </c>
      <c r="C95" s="29">
        <v>46245</v>
      </c>
      <c r="D95" s="28">
        <v>20040</v>
      </c>
      <c r="E95" s="28">
        <v>12790</v>
      </c>
      <c r="F95" s="30">
        <f t="shared" si="16"/>
        <v>32830</v>
      </c>
      <c r="G95" s="28">
        <v>0</v>
      </c>
      <c r="H95" s="28">
        <f t="shared" si="17"/>
        <v>32830</v>
      </c>
      <c r="I95" s="28">
        <v>0</v>
      </c>
      <c r="J95" s="28">
        <v>0</v>
      </c>
      <c r="K95" s="31">
        <f t="shared" si="18"/>
        <v>32830</v>
      </c>
      <c r="L95" s="32">
        <v>0</v>
      </c>
      <c r="M95" s="32">
        <v>0</v>
      </c>
      <c r="N95" s="32">
        <v>20350</v>
      </c>
      <c r="O95" s="32">
        <v>12480</v>
      </c>
      <c r="P95" s="32">
        <v>0</v>
      </c>
      <c r="Q95" s="32">
        <v>0</v>
      </c>
      <c r="R95" s="32">
        <v>0</v>
      </c>
      <c r="S95" s="32">
        <v>0</v>
      </c>
      <c r="T95" s="32">
        <f t="shared" si="19"/>
        <v>0</v>
      </c>
      <c r="U95" s="33"/>
    </row>
    <row r="96" spans="1:21" x14ac:dyDescent="0.25">
      <c r="A96" s="28">
        <v>10</v>
      </c>
      <c r="B96" s="29" t="s">
        <v>157</v>
      </c>
      <c r="C96" s="29">
        <v>46246</v>
      </c>
      <c r="D96" s="28">
        <v>9920</v>
      </c>
      <c r="E96" s="28">
        <v>5450</v>
      </c>
      <c r="F96" s="30">
        <f t="shared" si="16"/>
        <v>15370</v>
      </c>
      <c r="G96" s="28">
        <v>0</v>
      </c>
      <c r="H96" s="28">
        <f t="shared" si="17"/>
        <v>15370</v>
      </c>
      <c r="I96" s="28">
        <v>0</v>
      </c>
      <c r="J96" s="28">
        <v>0</v>
      </c>
      <c r="K96" s="31">
        <f t="shared" si="18"/>
        <v>15370</v>
      </c>
      <c r="L96" s="32">
        <v>0</v>
      </c>
      <c r="M96" s="32">
        <v>0</v>
      </c>
      <c r="N96" s="32">
        <v>8520</v>
      </c>
      <c r="O96" s="32">
        <v>6850</v>
      </c>
      <c r="P96" s="32">
        <v>0</v>
      </c>
      <c r="Q96" s="32">
        <v>0</v>
      </c>
      <c r="R96" s="32">
        <v>0</v>
      </c>
      <c r="S96" s="32">
        <v>0</v>
      </c>
      <c r="T96" s="32">
        <f t="shared" si="19"/>
        <v>0</v>
      </c>
      <c r="U96" s="33"/>
    </row>
    <row r="97" spans="1:21" x14ac:dyDescent="0.25">
      <c r="A97" s="28">
        <v>11</v>
      </c>
      <c r="B97" s="29" t="s">
        <v>157</v>
      </c>
      <c r="C97" s="29">
        <v>46247</v>
      </c>
      <c r="D97" s="28">
        <v>18330</v>
      </c>
      <c r="E97" s="28">
        <v>11830</v>
      </c>
      <c r="F97" s="30">
        <f t="shared" si="16"/>
        <v>30160</v>
      </c>
      <c r="G97" s="28">
        <v>0</v>
      </c>
      <c r="H97" s="28">
        <f t="shared" si="17"/>
        <v>30160</v>
      </c>
      <c r="I97" s="28">
        <v>0</v>
      </c>
      <c r="J97" s="28">
        <v>0</v>
      </c>
      <c r="K97" s="31">
        <f t="shared" si="18"/>
        <v>30160</v>
      </c>
      <c r="L97" s="32">
        <v>0</v>
      </c>
      <c r="M97" s="32">
        <v>0</v>
      </c>
      <c r="N97" s="32">
        <v>20870</v>
      </c>
      <c r="O97" s="32">
        <v>9290</v>
      </c>
      <c r="P97" s="32">
        <v>0</v>
      </c>
      <c r="Q97" s="32">
        <v>0</v>
      </c>
      <c r="R97" s="32">
        <v>0</v>
      </c>
      <c r="S97" s="32">
        <v>0</v>
      </c>
      <c r="T97" s="32">
        <f t="shared" si="19"/>
        <v>0</v>
      </c>
      <c r="U97" s="33"/>
    </row>
    <row r="98" spans="1:21" x14ac:dyDescent="0.25">
      <c r="A98" s="28">
        <v>12</v>
      </c>
      <c r="B98" s="29" t="s">
        <v>157</v>
      </c>
      <c r="C98" s="29">
        <v>46248</v>
      </c>
      <c r="D98" s="28">
        <v>8330</v>
      </c>
      <c r="E98" s="28">
        <v>5900</v>
      </c>
      <c r="F98" s="30">
        <f t="shared" si="16"/>
        <v>14230</v>
      </c>
      <c r="G98" s="28">
        <v>0</v>
      </c>
      <c r="H98" s="28">
        <f t="shared" si="17"/>
        <v>14230</v>
      </c>
      <c r="I98" s="28">
        <v>0</v>
      </c>
      <c r="J98" s="28">
        <v>0</v>
      </c>
      <c r="K98" s="31">
        <f t="shared" si="18"/>
        <v>14230</v>
      </c>
      <c r="L98" s="32">
        <v>0</v>
      </c>
      <c r="M98" s="32">
        <v>0</v>
      </c>
      <c r="N98" s="32">
        <v>7510</v>
      </c>
      <c r="O98" s="32">
        <v>5870</v>
      </c>
      <c r="P98" s="32">
        <v>0</v>
      </c>
      <c r="Q98" s="32">
        <v>850</v>
      </c>
      <c r="R98" s="32">
        <v>0</v>
      </c>
      <c r="S98" s="32">
        <v>0</v>
      </c>
      <c r="T98" s="32">
        <f t="shared" si="19"/>
        <v>0</v>
      </c>
      <c r="U98" s="33"/>
    </row>
    <row r="99" spans="1:21" x14ac:dyDescent="0.25">
      <c r="A99" s="28">
        <v>13</v>
      </c>
      <c r="B99" s="29" t="s">
        <v>157</v>
      </c>
      <c r="C99" s="29"/>
      <c r="D99" s="28"/>
      <c r="E99" s="28"/>
      <c r="F99" s="30">
        <f t="shared" si="16"/>
        <v>0</v>
      </c>
      <c r="G99" s="28"/>
      <c r="H99" s="28">
        <f t="shared" si="17"/>
        <v>0</v>
      </c>
      <c r="I99" s="28"/>
      <c r="J99" s="28"/>
      <c r="K99" s="31">
        <f t="shared" si="18"/>
        <v>0</v>
      </c>
      <c r="L99" s="32"/>
      <c r="M99" s="32"/>
      <c r="N99" s="32"/>
      <c r="O99" s="32"/>
      <c r="P99" s="32"/>
      <c r="Q99" s="32"/>
      <c r="R99" s="32"/>
      <c r="S99" s="32"/>
      <c r="T99" s="32">
        <f t="shared" si="19"/>
        <v>0</v>
      </c>
      <c r="U99" s="33"/>
    </row>
    <row r="100" spans="1:21" x14ac:dyDescent="0.25">
      <c r="A100" s="28">
        <v>14</v>
      </c>
      <c r="B100" s="29" t="s">
        <v>157</v>
      </c>
      <c r="C100" s="29"/>
      <c r="D100" s="28"/>
      <c r="E100" s="28"/>
      <c r="F100" s="30">
        <f t="shared" si="16"/>
        <v>0</v>
      </c>
      <c r="G100" s="28"/>
      <c r="H100" s="28">
        <f t="shared" si="17"/>
        <v>0</v>
      </c>
      <c r="I100" s="28"/>
      <c r="J100" s="28"/>
      <c r="K100" s="31">
        <f t="shared" si="18"/>
        <v>0</v>
      </c>
      <c r="L100" s="32"/>
      <c r="M100" s="32"/>
      <c r="N100" s="32"/>
      <c r="O100" s="32"/>
      <c r="P100" s="32"/>
      <c r="Q100" s="32"/>
      <c r="R100" s="32"/>
      <c r="S100" s="32"/>
      <c r="T100" s="32">
        <f t="shared" si="19"/>
        <v>0</v>
      </c>
      <c r="U100" s="33"/>
    </row>
    <row r="101" spans="1:21" x14ac:dyDescent="0.25">
      <c r="A101" s="28">
        <v>15</v>
      </c>
      <c r="B101" s="29" t="s">
        <v>157</v>
      </c>
      <c r="C101" s="29"/>
      <c r="D101" s="28"/>
      <c r="E101" s="28"/>
      <c r="F101" s="30">
        <f t="shared" si="16"/>
        <v>0</v>
      </c>
      <c r="G101" s="28"/>
      <c r="H101" s="28">
        <f t="shared" si="17"/>
        <v>0</v>
      </c>
      <c r="I101" s="28"/>
      <c r="J101" s="28"/>
      <c r="K101" s="31">
        <f t="shared" si="18"/>
        <v>0</v>
      </c>
      <c r="L101" s="32"/>
      <c r="M101" s="32"/>
      <c r="N101" s="32"/>
      <c r="O101" s="32"/>
      <c r="P101" s="32"/>
      <c r="Q101" s="32"/>
      <c r="R101" s="32"/>
      <c r="S101" s="32"/>
      <c r="T101" s="32">
        <f t="shared" si="19"/>
        <v>0</v>
      </c>
      <c r="U101" s="33"/>
    </row>
    <row r="102" spans="1:21" x14ac:dyDescent="0.25">
      <c r="A102" s="28">
        <v>16</v>
      </c>
      <c r="B102" s="29" t="s">
        <v>157</v>
      </c>
      <c r="C102" s="29"/>
      <c r="D102" s="28"/>
      <c r="E102" s="28"/>
      <c r="F102" s="30">
        <f t="shared" si="16"/>
        <v>0</v>
      </c>
      <c r="G102" s="28"/>
      <c r="H102" s="28">
        <f t="shared" si="17"/>
        <v>0</v>
      </c>
      <c r="I102" s="28"/>
      <c r="J102" s="28"/>
      <c r="K102" s="31">
        <f t="shared" si="18"/>
        <v>0</v>
      </c>
      <c r="L102" s="32"/>
      <c r="M102" s="32"/>
      <c r="N102" s="32"/>
      <c r="O102" s="32"/>
      <c r="P102" s="32"/>
      <c r="Q102" s="32"/>
      <c r="R102" s="32"/>
      <c r="S102" s="32"/>
      <c r="T102" s="32">
        <f t="shared" si="19"/>
        <v>0</v>
      </c>
      <c r="U102" s="33"/>
    </row>
    <row r="103" spans="1:21" x14ac:dyDescent="0.25">
      <c r="A103" s="28">
        <v>17</v>
      </c>
      <c r="B103" s="29" t="s">
        <v>157</v>
      </c>
      <c r="C103" s="29"/>
      <c r="D103" s="28"/>
      <c r="E103" s="28"/>
      <c r="F103" s="30">
        <f t="shared" si="16"/>
        <v>0</v>
      </c>
      <c r="G103" s="28"/>
      <c r="H103" s="28">
        <f t="shared" si="17"/>
        <v>0</v>
      </c>
      <c r="I103" s="28"/>
      <c r="J103" s="28"/>
      <c r="K103" s="31">
        <f t="shared" si="18"/>
        <v>0</v>
      </c>
      <c r="L103" s="32"/>
      <c r="M103" s="32"/>
      <c r="N103" s="32"/>
      <c r="O103" s="32"/>
      <c r="P103" s="32"/>
      <c r="Q103" s="32"/>
      <c r="R103" s="32"/>
      <c r="S103" s="32"/>
      <c r="T103" s="32">
        <f t="shared" si="19"/>
        <v>0</v>
      </c>
      <c r="U103" s="33"/>
    </row>
    <row r="104" spans="1:21" x14ac:dyDescent="0.25">
      <c r="A104" s="28">
        <v>18</v>
      </c>
      <c r="B104" s="29" t="s">
        <v>157</v>
      </c>
      <c r="C104" s="29"/>
      <c r="D104" s="28"/>
      <c r="E104" s="28"/>
      <c r="F104" s="30">
        <f t="shared" si="16"/>
        <v>0</v>
      </c>
      <c r="G104" s="28"/>
      <c r="H104" s="28">
        <f t="shared" si="17"/>
        <v>0</v>
      </c>
      <c r="I104" s="28"/>
      <c r="J104" s="28"/>
      <c r="K104" s="31">
        <f t="shared" si="18"/>
        <v>0</v>
      </c>
      <c r="L104" s="32"/>
      <c r="M104" s="32"/>
      <c r="N104" s="32"/>
      <c r="O104" s="32"/>
      <c r="P104" s="32"/>
      <c r="Q104" s="32"/>
      <c r="R104" s="32"/>
      <c r="S104" s="32"/>
      <c r="T104" s="32">
        <f t="shared" si="19"/>
        <v>0</v>
      </c>
      <c r="U104" s="33"/>
    </row>
    <row r="105" spans="1:21" x14ac:dyDescent="0.25">
      <c r="A105" s="28">
        <v>19</v>
      </c>
      <c r="B105" s="29" t="s">
        <v>157</v>
      </c>
      <c r="C105" s="29"/>
      <c r="D105" s="28"/>
      <c r="E105" s="28"/>
      <c r="F105" s="30">
        <f t="shared" si="16"/>
        <v>0</v>
      </c>
      <c r="G105" s="28"/>
      <c r="H105" s="28">
        <f t="shared" si="17"/>
        <v>0</v>
      </c>
      <c r="I105" s="28"/>
      <c r="J105" s="28"/>
      <c r="K105" s="31">
        <f t="shared" si="18"/>
        <v>0</v>
      </c>
      <c r="L105" s="32"/>
      <c r="M105" s="32"/>
      <c r="N105" s="32"/>
      <c r="O105" s="32"/>
      <c r="P105" s="32"/>
      <c r="Q105" s="32"/>
      <c r="R105" s="32"/>
      <c r="S105" s="32"/>
      <c r="T105" s="32">
        <f t="shared" si="19"/>
        <v>0</v>
      </c>
      <c r="U105" s="33"/>
    </row>
    <row r="106" spans="1:21" x14ac:dyDescent="0.25">
      <c r="A106" s="28">
        <v>20</v>
      </c>
      <c r="B106" s="29" t="s">
        <v>157</v>
      </c>
      <c r="C106" s="29"/>
      <c r="D106" s="28"/>
      <c r="E106" s="28"/>
      <c r="F106" s="30">
        <f t="shared" si="16"/>
        <v>0</v>
      </c>
      <c r="G106" s="28"/>
      <c r="H106" s="28">
        <f t="shared" si="17"/>
        <v>0</v>
      </c>
      <c r="I106" s="28"/>
      <c r="J106" s="28"/>
      <c r="K106" s="31">
        <f t="shared" si="18"/>
        <v>0</v>
      </c>
      <c r="L106" s="32"/>
      <c r="M106" s="32"/>
      <c r="N106" s="32"/>
      <c r="O106" s="32"/>
      <c r="P106" s="32"/>
      <c r="Q106" s="32"/>
      <c r="R106" s="32"/>
      <c r="S106" s="32"/>
      <c r="T106" s="32">
        <f t="shared" si="19"/>
        <v>0</v>
      </c>
      <c r="U106" s="33"/>
    </row>
    <row r="107" spans="1:21" x14ac:dyDescent="0.25">
      <c r="A107" s="28">
        <v>21</v>
      </c>
      <c r="B107" s="29" t="s">
        <v>157</v>
      </c>
      <c r="C107" s="29"/>
      <c r="D107" s="28"/>
      <c r="E107" s="28"/>
      <c r="F107" s="30">
        <f t="shared" si="16"/>
        <v>0</v>
      </c>
      <c r="G107" s="28"/>
      <c r="H107" s="28">
        <f t="shared" si="17"/>
        <v>0</v>
      </c>
      <c r="I107" s="28"/>
      <c r="J107" s="28"/>
      <c r="K107" s="31">
        <f t="shared" si="18"/>
        <v>0</v>
      </c>
      <c r="L107" s="32"/>
      <c r="M107" s="32"/>
      <c r="N107" s="32"/>
      <c r="O107" s="32"/>
      <c r="P107" s="32"/>
      <c r="Q107" s="32"/>
      <c r="R107" s="32"/>
      <c r="S107" s="32"/>
      <c r="T107" s="32">
        <f t="shared" si="19"/>
        <v>0</v>
      </c>
      <c r="U107" s="33"/>
    </row>
    <row r="108" spans="1:21" x14ac:dyDescent="0.25">
      <c r="A108" s="28">
        <v>22</v>
      </c>
      <c r="B108" s="29" t="s">
        <v>157</v>
      </c>
      <c r="C108" s="29"/>
      <c r="D108" s="28"/>
      <c r="E108" s="28"/>
      <c r="F108" s="30">
        <f t="shared" si="16"/>
        <v>0</v>
      </c>
      <c r="G108" s="28"/>
      <c r="H108" s="28">
        <f t="shared" si="17"/>
        <v>0</v>
      </c>
      <c r="I108" s="28"/>
      <c r="J108" s="28"/>
      <c r="K108" s="31">
        <f t="shared" si="18"/>
        <v>0</v>
      </c>
      <c r="L108" s="32"/>
      <c r="M108" s="32"/>
      <c r="N108" s="32"/>
      <c r="O108" s="32"/>
      <c r="P108" s="32"/>
      <c r="Q108" s="32"/>
      <c r="R108" s="32"/>
      <c r="S108" s="32"/>
      <c r="T108" s="32">
        <f t="shared" si="19"/>
        <v>0</v>
      </c>
      <c r="U108" s="33"/>
    </row>
    <row r="109" spans="1:21" x14ac:dyDescent="0.25">
      <c r="A109" s="28">
        <v>23</v>
      </c>
      <c r="B109" s="29" t="s">
        <v>157</v>
      </c>
      <c r="C109" s="29"/>
      <c r="D109" s="28"/>
      <c r="E109" s="28"/>
      <c r="F109" s="30">
        <f t="shared" si="16"/>
        <v>0</v>
      </c>
      <c r="G109" s="28"/>
      <c r="H109" s="28">
        <f t="shared" si="17"/>
        <v>0</v>
      </c>
      <c r="I109" s="28"/>
      <c r="J109" s="28"/>
      <c r="K109" s="31">
        <f t="shared" si="18"/>
        <v>0</v>
      </c>
      <c r="L109" s="32"/>
      <c r="M109" s="32"/>
      <c r="N109" s="32"/>
      <c r="O109" s="32"/>
      <c r="P109" s="32"/>
      <c r="Q109" s="32"/>
      <c r="R109" s="32"/>
      <c r="S109" s="32"/>
      <c r="T109" s="32">
        <f t="shared" si="19"/>
        <v>0</v>
      </c>
      <c r="U109" s="33"/>
    </row>
    <row r="110" spans="1:21" x14ac:dyDescent="0.25">
      <c r="A110" s="28"/>
      <c r="B110" s="29"/>
      <c r="C110" s="29"/>
      <c r="D110" s="28"/>
      <c r="E110" s="28"/>
      <c r="F110" s="30"/>
      <c r="G110" s="28"/>
      <c r="H110" s="28"/>
      <c r="I110" s="28"/>
      <c r="J110" s="28"/>
      <c r="K110" s="31"/>
      <c r="L110" s="32"/>
      <c r="M110" s="32"/>
      <c r="N110" s="32"/>
      <c r="O110" s="32"/>
      <c r="P110" s="32"/>
      <c r="Q110" s="32"/>
      <c r="R110" s="32"/>
      <c r="S110" s="32"/>
      <c r="T110" s="32"/>
      <c r="U110" s="33"/>
    </row>
    <row r="111" spans="1:21" ht="15.75" thickBot="1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 spans="1:21" ht="19.5" thickBot="1" x14ac:dyDescent="0.35">
      <c r="A112" s="35"/>
      <c r="B112" s="35"/>
      <c r="C112" s="35"/>
      <c r="D112" s="36">
        <f t="shared" ref="D112" si="20">SUM(D87:D111)</f>
        <v>116510</v>
      </c>
      <c r="E112" s="36">
        <f t="shared" ref="E112" si="21">SUM(E87:E111)</f>
        <v>76210</v>
      </c>
      <c r="F112" s="36">
        <f t="shared" ref="F112" si="22">SUM(F87:F111)</f>
        <v>192720</v>
      </c>
      <c r="G112" s="36">
        <f t="shared" ref="G112" si="23">SUM(G87:G111)</f>
        <v>0</v>
      </c>
      <c r="H112" s="36">
        <f t="shared" ref="H112" si="24">SUM(H87:H111)</f>
        <v>192720</v>
      </c>
      <c r="I112" s="36">
        <f t="shared" ref="I112" si="25">SUM(I87:I111)</f>
        <v>0</v>
      </c>
      <c r="J112" s="36">
        <f t="shared" ref="J112" si="26">SUM(J87:J111)</f>
        <v>0</v>
      </c>
      <c r="K112" s="37">
        <f t="shared" ref="K112" si="27">SUM(K87:K111)</f>
        <v>192720</v>
      </c>
      <c r="L112" s="38">
        <f t="shared" ref="L112" si="28">SUM(L87:L111)</f>
        <v>3000</v>
      </c>
      <c r="M112" s="39">
        <f t="shared" ref="M112" si="29">SUM(M87:M111)</f>
        <v>0</v>
      </c>
      <c r="N112" s="39">
        <f t="shared" ref="N112" si="30">SUM(N87:N111)</f>
        <v>121300</v>
      </c>
      <c r="O112" s="39">
        <f t="shared" ref="O112" si="31">SUM(O87:O111)</f>
        <v>70570</v>
      </c>
      <c r="P112" s="39">
        <f t="shared" ref="P112" si="32">SUM(P87:P111)</f>
        <v>0</v>
      </c>
      <c r="Q112" s="39">
        <f t="shared" ref="Q112" si="33">SUM(Q87:Q111)</f>
        <v>850</v>
      </c>
      <c r="R112" s="39">
        <f t="shared" ref="R112" si="34">SUM(R87:R111)</f>
        <v>0</v>
      </c>
      <c r="S112" s="39">
        <f t="shared" ref="S112" si="35">SUM(S87:S111)</f>
        <v>0</v>
      </c>
      <c r="T112" s="40"/>
      <c r="U112" s="41"/>
    </row>
    <row r="113" spans="1:21" ht="18.75" x14ac:dyDescent="0.3">
      <c r="A113" s="35"/>
      <c r="B113" s="35"/>
      <c r="C113" s="35"/>
      <c r="D113" s="43"/>
      <c r="E113" s="43"/>
      <c r="F113" s="43"/>
      <c r="G113" s="43"/>
      <c r="H113" s="43"/>
      <c r="I113" s="43"/>
      <c r="J113" s="43"/>
      <c r="K113" s="43"/>
      <c r="L113" s="44"/>
      <c r="M113" s="44"/>
      <c r="N113" s="44"/>
      <c r="O113" s="44"/>
      <c r="P113" s="44"/>
      <c r="Q113" s="44"/>
      <c r="R113" s="44"/>
      <c r="S113" s="44"/>
      <c r="T113" s="44"/>
      <c r="U113" s="41"/>
    </row>
    <row r="116" spans="1:21" ht="23.25" x14ac:dyDescent="0.25">
      <c r="B116" s="50" t="s">
        <v>535</v>
      </c>
      <c r="C116" s="51"/>
      <c r="D116" s="51"/>
      <c r="E116" s="51"/>
      <c r="F116" s="51"/>
      <c r="G116" s="51"/>
      <c r="H116" s="46"/>
    </row>
    <row r="117" spans="1:21" ht="47.25" x14ac:dyDescent="0.25">
      <c r="B117" s="27" t="s">
        <v>536</v>
      </c>
      <c r="C117" s="27" t="s">
        <v>7</v>
      </c>
      <c r="D117" s="27" t="s">
        <v>537</v>
      </c>
      <c r="E117" s="27" t="s">
        <v>0</v>
      </c>
      <c r="F117" s="27" t="s">
        <v>1</v>
      </c>
      <c r="G117" s="27" t="s">
        <v>538</v>
      </c>
      <c r="H117" s="27" t="s">
        <v>507</v>
      </c>
    </row>
    <row r="118" spans="1:21" ht="15.75" x14ac:dyDescent="0.25">
      <c r="B118" s="47">
        <v>1</v>
      </c>
      <c r="C118" s="26" t="s">
        <v>159</v>
      </c>
      <c r="D118" s="48">
        <v>1</v>
      </c>
      <c r="E118" s="48">
        <v>20000</v>
      </c>
      <c r="F118" s="48">
        <v>1580</v>
      </c>
      <c r="G118" s="48">
        <f t="shared" ref="G118:G121" si="36">E118-F118</f>
        <v>18420</v>
      </c>
      <c r="H118" s="48">
        <v>0</v>
      </c>
    </row>
    <row r="119" spans="1:21" ht="15.75" x14ac:dyDescent="0.25">
      <c r="B119" s="47">
        <v>2</v>
      </c>
      <c r="C119" s="26" t="s">
        <v>47</v>
      </c>
      <c r="D119" s="48">
        <v>45</v>
      </c>
      <c r="E119" s="48">
        <v>825000</v>
      </c>
      <c r="F119" s="48">
        <v>64900</v>
      </c>
      <c r="G119" s="48">
        <f t="shared" si="36"/>
        <v>760100</v>
      </c>
      <c r="H119" s="48">
        <v>59400</v>
      </c>
    </row>
    <row r="120" spans="1:21" ht="15.75" x14ac:dyDescent="0.25">
      <c r="B120" s="47">
        <v>3</v>
      </c>
      <c r="C120" s="26" t="s">
        <v>73</v>
      </c>
      <c r="D120" s="48">
        <v>41</v>
      </c>
      <c r="E120" s="48">
        <v>800000</v>
      </c>
      <c r="F120" s="48">
        <v>62420</v>
      </c>
      <c r="G120" s="48">
        <f t="shared" si="36"/>
        <v>737580</v>
      </c>
      <c r="H120" s="48">
        <v>223950</v>
      </c>
    </row>
    <row r="121" spans="1:21" ht="15.75" x14ac:dyDescent="0.25">
      <c r="B121" s="47">
        <v>4</v>
      </c>
      <c r="C121" s="26" t="s">
        <v>115</v>
      </c>
      <c r="D121" s="48">
        <v>37</v>
      </c>
      <c r="E121" s="48">
        <v>690000</v>
      </c>
      <c r="F121" s="48">
        <v>54260</v>
      </c>
      <c r="G121" s="48">
        <f t="shared" si="36"/>
        <v>635740</v>
      </c>
      <c r="H121" s="48">
        <v>354930</v>
      </c>
    </row>
    <row r="122" spans="1:21" ht="15.75" x14ac:dyDescent="0.25">
      <c r="B122" s="47">
        <v>5</v>
      </c>
      <c r="C122" s="26" t="s">
        <v>542</v>
      </c>
      <c r="D122" s="48"/>
      <c r="E122" s="48"/>
      <c r="F122" s="48"/>
      <c r="G122" s="48"/>
      <c r="H122" s="48"/>
    </row>
    <row r="123" spans="1:21" x14ac:dyDescent="0.25">
      <c r="B123" s="47"/>
      <c r="C123" s="47"/>
      <c r="D123" s="47"/>
      <c r="E123" s="47"/>
      <c r="F123" s="47"/>
      <c r="G123" s="47"/>
      <c r="H123" s="32"/>
    </row>
    <row r="124" spans="1:21" ht="18.75" x14ac:dyDescent="0.25">
      <c r="B124" s="32"/>
      <c r="C124" s="32"/>
      <c r="D124" s="49">
        <f>SUM(D118:D123)</f>
        <v>124</v>
      </c>
      <c r="E124" s="49">
        <f>SUM(E118:E123)</f>
        <v>2335000</v>
      </c>
      <c r="F124" s="49">
        <f>SUM(F118:F123)</f>
        <v>183160</v>
      </c>
      <c r="G124" s="49">
        <f>SUM(G118:G123)</f>
        <v>2151840</v>
      </c>
      <c r="H124" s="49">
        <f>SUM(H118:H123)</f>
        <v>638280</v>
      </c>
    </row>
  </sheetData>
  <mergeCells count="9">
    <mergeCell ref="B116:G116"/>
    <mergeCell ref="A85:K85"/>
    <mergeCell ref="L85:U85"/>
    <mergeCell ref="A1:K1"/>
    <mergeCell ref="L1:U1"/>
    <mergeCell ref="A24:K24"/>
    <mergeCell ref="L24:U24"/>
    <mergeCell ref="A53:K53"/>
    <mergeCell ref="L53:U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3F0F-6FA6-404B-8B73-77A46FBC53D4}">
  <dimension ref="A1:Q295"/>
  <sheetViews>
    <sheetView tabSelected="1" topLeftCell="A238" workbookViewId="0">
      <selection activeCell="A248" sqref="A248:Q295"/>
    </sheetView>
  </sheetViews>
  <sheetFormatPr defaultRowHeight="15" x14ac:dyDescent="0.25"/>
  <cols>
    <col min="1" max="1" width="6.28515625" style="14" bestFit="1" customWidth="1"/>
    <col min="2" max="2" width="10.42578125" style="14" bestFit="1" customWidth="1"/>
    <col min="3" max="3" width="10" style="14" bestFit="1" customWidth="1"/>
    <col min="4" max="4" width="20" style="14" bestFit="1" customWidth="1"/>
    <col min="5" max="5" width="7.42578125" style="14" bestFit="1" customWidth="1"/>
    <col min="6" max="6" width="17.5703125" style="14" bestFit="1" customWidth="1"/>
    <col min="7" max="7" width="14.5703125" style="14" bestFit="1" customWidth="1"/>
    <col min="8" max="8" width="11" style="14" bestFit="1" customWidth="1"/>
    <col min="9" max="9" width="8.140625" style="14" bestFit="1" customWidth="1"/>
    <col min="10" max="10" width="5.85546875" style="14" bestFit="1" customWidth="1"/>
    <col min="11" max="11" width="8.28515625" style="14" bestFit="1" customWidth="1"/>
    <col min="12" max="12" width="8.7109375" style="14" bestFit="1" customWidth="1"/>
    <col min="13" max="13" width="8.140625" style="14" bestFit="1" customWidth="1"/>
    <col min="14" max="14" width="9.140625" style="14"/>
    <col min="15" max="15" width="8.140625" style="14" bestFit="1" customWidth="1"/>
    <col min="16" max="16" width="9" style="14" bestFit="1" customWidth="1"/>
    <col min="17" max="17" width="8.28515625" style="14" bestFit="1" customWidth="1"/>
    <col min="18" max="16384" width="9.140625" style="14"/>
  </cols>
  <sheetData>
    <row r="1" spans="1:17" ht="23.25" customHeight="1" x14ac:dyDescent="0.25">
      <c r="A1" s="64" t="s">
        <v>478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ht="60" x14ac:dyDescent="0.25">
      <c r="A2" s="12" t="s">
        <v>462</v>
      </c>
      <c r="B2" s="12" t="s">
        <v>463</v>
      </c>
      <c r="C2" s="12" t="s">
        <v>464</v>
      </c>
      <c r="D2" s="12" t="s">
        <v>466</v>
      </c>
      <c r="E2" s="12" t="s">
        <v>465</v>
      </c>
      <c r="F2" s="12" t="s">
        <v>467</v>
      </c>
      <c r="G2" s="12" t="s">
        <v>468</v>
      </c>
      <c r="H2" s="12" t="s">
        <v>469</v>
      </c>
      <c r="I2" s="12" t="s">
        <v>470</v>
      </c>
      <c r="J2" s="12" t="s">
        <v>471</v>
      </c>
      <c r="K2" s="12" t="s">
        <v>472</v>
      </c>
      <c r="L2" s="12" t="s">
        <v>473</v>
      </c>
      <c r="M2" s="12" t="s">
        <v>474</v>
      </c>
      <c r="N2" s="12"/>
      <c r="O2" s="12" t="s">
        <v>475</v>
      </c>
      <c r="P2" s="13" t="s">
        <v>476</v>
      </c>
      <c r="Q2" s="13" t="s">
        <v>477</v>
      </c>
    </row>
    <row r="3" spans="1:17" x14ac:dyDescent="0.25">
      <c r="A3" s="15">
        <v>1</v>
      </c>
      <c r="B3" s="16">
        <v>46206</v>
      </c>
      <c r="C3" s="15" t="s">
        <v>160</v>
      </c>
      <c r="D3" s="2" t="s">
        <v>265</v>
      </c>
      <c r="E3" s="2" t="s">
        <v>120</v>
      </c>
      <c r="F3" s="2" t="s">
        <v>266</v>
      </c>
      <c r="G3" s="2" t="s">
        <v>267</v>
      </c>
      <c r="H3" s="2">
        <v>7078208921</v>
      </c>
      <c r="I3" s="2">
        <v>730</v>
      </c>
      <c r="J3" s="15"/>
      <c r="K3" s="15"/>
      <c r="L3" s="15"/>
      <c r="M3" s="15"/>
      <c r="N3" s="15"/>
      <c r="O3" s="15"/>
      <c r="P3" s="2">
        <v>16060</v>
      </c>
      <c r="Q3" s="15"/>
    </row>
    <row r="4" spans="1:17" x14ac:dyDescent="0.25">
      <c r="A4" s="15">
        <v>2</v>
      </c>
      <c r="B4" s="16">
        <v>46206</v>
      </c>
      <c r="C4" s="15" t="s">
        <v>160</v>
      </c>
      <c r="D4" s="2" t="s">
        <v>265</v>
      </c>
      <c r="E4" s="2" t="s">
        <v>123</v>
      </c>
      <c r="F4" s="2" t="s">
        <v>272</v>
      </c>
      <c r="G4" s="2" t="s">
        <v>273</v>
      </c>
      <c r="H4" s="2">
        <v>6397677126</v>
      </c>
      <c r="I4" s="2">
        <v>830</v>
      </c>
      <c r="J4" s="15"/>
      <c r="K4" s="15"/>
      <c r="L4" s="15"/>
      <c r="M4" s="15"/>
      <c r="N4" s="15"/>
      <c r="O4" s="15"/>
      <c r="P4" s="2">
        <v>29880</v>
      </c>
      <c r="Q4" s="15"/>
    </row>
    <row r="5" spans="1:17" x14ac:dyDescent="0.25">
      <c r="A5" s="15">
        <v>3</v>
      </c>
      <c r="B5" s="16">
        <v>46206</v>
      </c>
      <c r="C5" s="15" t="s">
        <v>160</v>
      </c>
      <c r="D5" s="2" t="s">
        <v>293</v>
      </c>
      <c r="E5" s="2" t="s">
        <v>135</v>
      </c>
      <c r="F5" s="2" t="s">
        <v>294</v>
      </c>
      <c r="G5" s="2" t="s">
        <v>295</v>
      </c>
      <c r="H5" s="2">
        <v>9997852046</v>
      </c>
      <c r="I5" s="2">
        <v>830</v>
      </c>
      <c r="J5" s="15"/>
      <c r="K5" s="15"/>
      <c r="L5" s="15"/>
      <c r="M5" s="15"/>
      <c r="N5" s="15"/>
      <c r="O5" s="15"/>
      <c r="P5" s="2">
        <v>30710</v>
      </c>
      <c r="Q5" s="15"/>
    </row>
    <row r="6" spans="1:17" x14ac:dyDescent="0.25">
      <c r="A6" s="15">
        <v>4</v>
      </c>
      <c r="B6" s="16">
        <v>46206</v>
      </c>
      <c r="C6" s="15" t="s">
        <v>160</v>
      </c>
      <c r="D6" s="2" t="s">
        <v>288</v>
      </c>
      <c r="E6" s="2" t="s">
        <v>141</v>
      </c>
      <c r="F6" s="2" t="s">
        <v>304</v>
      </c>
      <c r="G6" s="2" t="s">
        <v>305</v>
      </c>
      <c r="H6" s="2">
        <v>8171396687</v>
      </c>
      <c r="I6" s="2">
        <v>730</v>
      </c>
      <c r="J6" s="15"/>
      <c r="K6" s="15"/>
      <c r="L6" s="15"/>
      <c r="M6" s="15"/>
      <c r="N6" s="15"/>
      <c r="O6" s="15"/>
      <c r="P6" s="2">
        <v>17520</v>
      </c>
      <c r="Q6" s="15"/>
    </row>
    <row r="7" spans="1:17" x14ac:dyDescent="0.25">
      <c r="A7" s="15">
        <v>5</v>
      </c>
      <c r="B7" s="16">
        <v>46206</v>
      </c>
      <c r="C7" s="15" t="s">
        <v>160</v>
      </c>
      <c r="D7" s="2" t="s">
        <v>306</v>
      </c>
      <c r="E7" s="2" t="s">
        <v>142</v>
      </c>
      <c r="F7" s="2" t="s">
        <v>307</v>
      </c>
      <c r="G7" s="2" t="s">
        <v>308</v>
      </c>
      <c r="H7" s="2">
        <v>9760670186</v>
      </c>
      <c r="I7" s="2">
        <v>810</v>
      </c>
      <c r="J7" s="15"/>
      <c r="K7" s="15"/>
      <c r="L7" s="15"/>
      <c r="M7" s="15"/>
      <c r="N7" s="15"/>
      <c r="O7" s="15"/>
      <c r="P7" s="2">
        <v>24300</v>
      </c>
      <c r="Q7" s="15"/>
    </row>
    <row r="8" spans="1:17" x14ac:dyDescent="0.25">
      <c r="A8" s="15">
        <v>6</v>
      </c>
      <c r="B8" s="16">
        <v>46206</v>
      </c>
      <c r="C8" s="15" t="s">
        <v>160</v>
      </c>
      <c r="D8" s="2" t="s">
        <v>306</v>
      </c>
      <c r="E8" s="2" t="s">
        <v>144</v>
      </c>
      <c r="F8" s="2" t="s">
        <v>309</v>
      </c>
      <c r="G8" s="2" t="s">
        <v>310</v>
      </c>
      <c r="H8" s="2">
        <v>7300647344</v>
      </c>
      <c r="I8" s="2">
        <v>810</v>
      </c>
      <c r="J8" s="15"/>
      <c r="K8" s="15"/>
      <c r="L8" s="15"/>
      <c r="M8" s="15"/>
      <c r="N8" s="15"/>
      <c r="O8" s="15"/>
      <c r="P8" s="2">
        <v>24300</v>
      </c>
      <c r="Q8" s="15"/>
    </row>
    <row r="9" spans="1:17" x14ac:dyDescent="0.25">
      <c r="A9" s="15">
        <v>7</v>
      </c>
      <c r="B9" s="16">
        <v>46206</v>
      </c>
      <c r="C9" s="15" t="s">
        <v>160</v>
      </c>
      <c r="D9" s="2" t="s">
        <v>306</v>
      </c>
      <c r="E9" s="2" t="s">
        <v>145</v>
      </c>
      <c r="F9" s="2" t="s">
        <v>311</v>
      </c>
      <c r="G9" s="2" t="s">
        <v>312</v>
      </c>
      <c r="H9" s="2">
        <v>7895448341</v>
      </c>
      <c r="I9" s="2">
        <v>810</v>
      </c>
      <c r="J9" s="15"/>
      <c r="K9" s="15"/>
      <c r="L9" s="15"/>
      <c r="M9" s="15"/>
      <c r="N9" s="15"/>
      <c r="O9" s="15"/>
      <c r="P9" s="2">
        <v>24300</v>
      </c>
      <c r="Q9" s="15"/>
    </row>
    <row r="10" spans="1:17" x14ac:dyDescent="0.25">
      <c r="A10" s="15">
        <v>8</v>
      </c>
      <c r="B10" s="16">
        <v>46206</v>
      </c>
      <c r="C10" s="15" t="s">
        <v>160</v>
      </c>
      <c r="D10" s="2" t="s">
        <v>306</v>
      </c>
      <c r="E10" s="2" t="s">
        <v>146</v>
      </c>
      <c r="F10" s="2" t="s">
        <v>76</v>
      </c>
      <c r="G10" s="2" t="s">
        <v>313</v>
      </c>
      <c r="H10" s="2">
        <v>9027441872</v>
      </c>
      <c r="I10" s="2">
        <v>810</v>
      </c>
      <c r="J10" s="15"/>
      <c r="K10" s="15"/>
      <c r="L10" s="15"/>
      <c r="M10" s="15"/>
      <c r="N10" s="15"/>
      <c r="O10" s="15"/>
      <c r="P10" s="2">
        <v>24300</v>
      </c>
      <c r="Q10" s="15"/>
    </row>
    <row r="11" spans="1:1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x14ac:dyDescent="0.25">
      <c r="A12" s="15"/>
      <c r="B12" s="15"/>
      <c r="C12" s="15"/>
      <c r="D12" s="15"/>
      <c r="E12" s="15"/>
      <c r="F12" s="15"/>
      <c r="G12" s="15"/>
      <c r="H12" s="15"/>
      <c r="I12" s="15">
        <f>SUM(I3:I11)</f>
        <v>6360</v>
      </c>
      <c r="J12" s="15"/>
      <c r="K12" s="15"/>
      <c r="L12" s="15"/>
      <c r="M12" s="15"/>
      <c r="N12" s="15"/>
      <c r="O12" s="15"/>
      <c r="P12" s="15">
        <f>SUM(P3:P11)</f>
        <v>191370</v>
      </c>
      <c r="Q12" s="15"/>
    </row>
    <row r="16" spans="1:17" ht="23.25" x14ac:dyDescent="0.25">
      <c r="A16" s="64" t="s">
        <v>539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</row>
    <row r="17" spans="1:17" ht="60" x14ac:dyDescent="0.25">
      <c r="A17" s="12" t="s">
        <v>462</v>
      </c>
      <c r="B17" s="12" t="s">
        <v>463</v>
      </c>
      <c r="C17" s="12" t="s">
        <v>464</v>
      </c>
      <c r="D17" s="12" t="s">
        <v>466</v>
      </c>
      <c r="E17" s="12" t="s">
        <v>465</v>
      </c>
      <c r="F17" s="12" t="s">
        <v>467</v>
      </c>
      <c r="G17" s="12" t="s">
        <v>468</v>
      </c>
      <c r="H17" s="12" t="s">
        <v>469</v>
      </c>
      <c r="I17" s="12" t="s">
        <v>470</v>
      </c>
      <c r="J17" s="12" t="s">
        <v>471</v>
      </c>
      <c r="K17" s="12" t="s">
        <v>472</v>
      </c>
      <c r="L17" s="12" t="s">
        <v>473</v>
      </c>
      <c r="M17" s="12" t="s">
        <v>474</v>
      </c>
      <c r="N17" s="12"/>
      <c r="O17" s="12" t="s">
        <v>475</v>
      </c>
      <c r="P17" s="13" t="s">
        <v>476</v>
      </c>
      <c r="Q17" s="13" t="s">
        <v>477</v>
      </c>
    </row>
    <row r="18" spans="1:17" x14ac:dyDescent="0.25">
      <c r="A18" s="15">
        <v>1</v>
      </c>
      <c r="B18" s="16">
        <v>46238</v>
      </c>
      <c r="C18" s="15" t="s">
        <v>160</v>
      </c>
      <c r="D18" s="2" t="s">
        <v>156</v>
      </c>
      <c r="E18" s="2" t="s">
        <v>60</v>
      </c>
      <c r="F18" s="2" t="s">
        <v>174</v>
      </c>
      <c r="G18" s="2" t="s">
        <v>175</v>
      </c>
      <c r="H18" s="2">
        <v>7417106202</v>
      </c>
      <c r="I18" s="2">
        <v>810</v>
      </c>
      <c r="J18" s="15"/>
      <c r="K18" s="15"/>
      <c r="L18" s="15"/>
      <c r="M18" s="15"/>
      <c r="N18" s="15"/>
      <c r="O18" s="15"/>
      <c r="P18" s="2">
        <v>19440</v>
      </c>
      <c r="Q18" s="15"/>
    </row>
    <row r="19" spans="1:17" x14ac:dyDescent="0.25">
      <c r="A19" s="15">
        <v>2</v>
      </c>
      <c r="B19" s="16">
        <v>46238</v>
      </c>
      <c r="C19" s="15" t="s">
        <v>160</v>
      </c>
      <c r="D19" s="2" t="s">
        <v>201</v>
      </c>
      <c r="E19" s="2" t="s">
        <v>77</v>
      </c>
      <c r="F19" s="2" t="s">
        <v>202</v>
      </c>
      <c r="G19" s="2" t="s">
        <v>163</v>
      </c>
      <c r="H19" s="2">
        <v>8958993258</v>
      </c>
      <c r="I19" s="2">
        <v>730</v>
      </c>
      <c r="J19" s="15"/>
      <c r="K19" s="15"/>
      <c r="L19" s="15"/>
      <c r="M19" s="15"/>
      <c r="N19" s="15"/>
      <c r="O19" s="15"/>
      <c r="P19" s="2">
        <v>14600</v>
      </c>
      <c r="Q19" s="15"/>
    </row>
    <row r="20" spans="1:17" x14ac:dyDescent="0.25">
      <c r="A20" s="15">
        <v>3</v>
      </c>
      <c r="B20" s="16">
        <v>46238</v>
      </c>
      <c r="C20" s="15" t="s">
        <v>160</v>
      </c>
      <c r="D20" s="2" t="s">
        <v>203</v>
      </c>
      <c r="E20" s="2" t="s">
        <v>79</v>
      </c>
      <c r="F20" s="2" t="s">
        <v>204</v>
      </c>
      <c r="G20" s="2" t="s">
        <v>205</v>
      </c>
      <c r="H20" s="2">
        <v>7248019636</v>
      </c>
      <c r="I20" s="2">
        <v>520</v>
      </c>
      <c r="J20" s="15"/>
      <c r="K20" s="15"/>
      <c r="L20" s="15"/>
      <c r="M20" s="15"/>
      <c r="N20" s="15"/>
      <c r="O20" s="15"/>
      <c r="P20" s="2">
        <v>9360</v>
      </c>
      <c r="Q20" s="15"/>
    </row>
    <row r="21" spans="1:17" x14ac:dyDescent="0.25">
      <c r="A21" s="15">
        <v>4</v>
      </c>
      <c r="B21" s="16">
        <v>46238</v>
      </c>
      <c r="C21" s="15" t="s">
        <v>160</v>
      </c>
      <c r="D21" s="2" t="s">
        <v>203</v>
      </c>
      <c r="E21" s="2" t="s">
        <v>81</v>
      </c>
      <c r="F21" s="2" t="s">
        <v>206</v>
      </c>
      <c r="G21" s="2" t="s">
        <v>207</v>
      </c>
      <c r="H21" s="2">
        <v>7060261720</v>
      </c>
      <c r="I21" s="2">
        <v>810</v>
      </c>
      <c r="J21" s="15"/>
      <c r="K21" s="15"/>
      <c r="L21" s="15"/>
      <c r="M21" s="15"/>
      <c r="N21" s="15"/>
      <c r="O21" s="15"/>
      <c r="P21" s="2">
        <v>21060</v>
      </c>
      <c r="Q21" s="15"/>
    </row>
    <row r="22" spans="1:17" x14ac:dyDescent="0.25">
      <c r="A22" s="15">
        <v>5</v>
      </c>
      <c r="B22" s="16">
        <v>46238</v>
      </c>
      <c r="C22" s="15" t="s">
        <v>160</v>
      </c>
      <c r="D22" s="2" t="s">
        <v>208</v>
      </c>
      <c r="E22" s="2" t="s">
        <v>82</v>
      </c>
      <c r="F22" s="2" t="s">
        <v>209</v>
      </c>
      <c r="G22" s="2" t="s">
        <v>210</v>
      </c>
      <c r="H22" s="2">
        <v>6396468391</v>
      </c>
      <c r="I22" s="2">
        <v>810</v>
      </c>
      <c r="J22" s="15"/>
      <c r="K22" s="15"/>
      <c r="L22" s="15"/>
      <c r="M22" s="15"/>
      <c r="N22" s="15"/>
      <c r="O22" s="15"/>
      <c r="P22" s="2">
        <v>21060</v>
      </c>
      <c r="Q22" s="15"/>
    </row>
    <row r="23" spans="1:17" x14ac:dyDescent="0.25">
      <c r="A23" s="15">
        <v>6</v>
      </c>
      <c r="B23" s="16">
        <v>46238</v>
      </c>
      <c r="C23" s="15" t="s">
        <v>160</v>
      </c>
      <c r="D23" s="2" t="s">
        <v>208</v>
      </c>
      <c r="E23" s="2" t="s">
        <v>84</v>
      </c>
      <c r="F23" s="2" t="s">
        <v>55</v>
      </c>
      <c r="G23" s="2" t="s">
        <v>211</v>
      </c>
      <c r="H23" s="2">
        <v>6396207660</v>
      </c>
      <c r="I23" s="2">
        <v>520</v>
      </c>
      <c r="J23" s="15"/>
      <c r="K23" s="15"/>
      <c r="L23" s="15"/>
      <c r="M23" s="15"/>
      <c r="N23" s="15"/>
      <c r="O23" s="15"/>
      <c r="P23" s="2">
        <v>9360</v>
      </c>
      <c r="Q23" s="15"/>
    </row>
    <row r="24" spans="1:17" x14ac:dyDescent="0.25">
      <c r="A24" s="15">
        <v>7</v>
      </c>
      <c r="B24" s="16">
        <v>46238</v>
      </c>
      <c r="C24" s="15" t="s">
        <v>160</v>
      </c>
      <c r="D24" s="2" t="s">
        <v>208</v>
      </c>
      <c r="E24" s="2" t="s">
        <v>85</v>
      </c>
      <c r="F24" s="2" t="s">
        <v>212</v>
      </c>
      <c r="G24" s="2" t="s">
        <v>76</v>
      </c>
      <c r="H24" s="2">
        <v>8445992449</v>
      </c>
      <c r="I24" s="2">
        <v>810</v>
      </c>
      <c r="J24" s="15"/>
      <c r="K24" s="15"/>
      <c r="L24" s="15"/>
      <c r="M24" s="15"/>
      <c r="N24" s="15"/>
      <c r="O24" s="15"/>
      <c r="P24" s="2">
        <v>21060</v>
      </c>
      <c r="Q24" s="15"/>
    </row>
    <row r="25" spans="1:17" x14ac:dyDescent="0.25">
      <c r="A25" s="15">
        <v>8</v>
      </c>
      <c r="B25" s="16">
        <v>46238</v>
      </c>
      <c r="C25" s="15" t="s">
        <v>160</v>
      </c>
      <c r="D25" s="2" t="s">
        <v>208</v>
      </c>
      <c r="E25" s="2" t="s">
        <v>87</v>
      </c>
      <c r="F25" s="2" t="s">
        <v>213</v>
      </c>
      <c r="G25" s="2" t="s">
        <v>214</v>
      </c>
      <c r="H25" s="2">
        <v>9411611874</v>
      </c>
      <c r="I25" s="2">
        <v>520</v>
      </c>
      <c r="J25" s="15"/>
      <c r="K25" s="15"/>
      <c r="L25" s="15"/>
      <c r="M25" s="15"/>
      <c r="N25" s="15"/>
      <c r="O25" s="15"/>
      <c r="P25" s="2">
        <v>9360</v>
      </c>
      <c r="Q25" s="15"/>
    </row>
    <row r="26" spans="1:17" x14ac:dyDescent="0.25">
      <c r="A26" s="15">
        <v>9</v>
      </c>
      <c r="B26" s="16">
        <v>46238</v>
      </c>
      <c r="C26" s="15" t="s">
        <v>160</v>
      </c>
      <c r="D26" s="2" t="s">
        <v>215</v>
      </c>
      <c r="E26" s="2" t="s">
        <v>88</v>
      </c>
      <c r="F26" s="2" t="s">
        <v>216</v>
      </c>
      <c r="G26" s="2" t="s">
        <v>217</v>
      </c>
      <c r="H26" s="2">
        <v>9557832745</v>
      </c>
      <c r="I26" s="2">
        <v>810</v>
      </c>
      <c r="J26" s="15"/>
      <c r="K26" s="15"/>
      <c r="L26" s="15"/>
      <c r="M26" s="15"/>
      <c r="N26" s="15"/>
      <c r="O26" s="15"/>
      <c r="P26" s="2">
        <v>21060</v>
      </c>
      <c r="Q26" s="15"/>
    </row>
    <row r="27" spans="1:17" x14ac:dyDescent="0.25">
      <c r="A27" s="15">
        <v>10</v>
      </c>
      <c r="B27" s="16">
        <v>46238</v>
      </c>
      <c r="C27" s="15" t="s">
        <v>160</v>
      </c>
      <c r="D27" s="2" t="s">
        <v>218</v>
      </c>
      <c r="E27" s="2" t="s">
        <v>89</v>
      </c>
      <c r="F27" s="2" t="s">
        <v>219</v>
      </c>
      <c r="G27" s="2" t="s">
        <v>220</v>
      </c>
      <c r="H27" s="2">
        <v>8534887576</v>
      </c>
      <c r="I27" s="2">
        <v>810</v>
      </c>
      <c r="J27" s="15"/>
      <c r="K27" s="15"/>
      <c r="L27" s="15"/>
      <c r="M27" s="15"/>
      <c r="N27" s="15"/>
      <c r="O27" s="15"/>
      <c r="P27" s="2">
        <v>21060</v>
      </c>
      <c r="Q27" s="15"/>
    </row>
    <row r="28" spans="1:17" x14ac:dyDescent="0.25">
      <c r="A28" s="15">
        <v>11</v>
      </c>
      <c r="B28" s="16">
        <v>46238</v>
      </c>
      <c r="C28" s="15" t="s">
        <v>160</v>
      </c>
      <c r="D28" s="2" t="s">
        <v>230</v>
      </c>
      <c r="E28" s="2" t="s">
        <v>95</v>
      </c>
      <c r="F28" s="2" t="s">
        <v>231</v>
      </c>
      <c r="G28" s="2" t="s">
        <v>232</v>
      </c>
      <c r="H28" s="2">
        <v>7273121150</v>
      </c>
      <c r="I28" s="2">
        <v>810</v>
      </c>
      <c r="J28" s="15"/>
      <c r="K28" s="15"/>
      <c r="L28" s="15"/>
      <c r="M28" s="15"/>
      <c r="N28" s="15"/>
      <c r="O28" s="15"/>
      <c r="P28" s="2">
        <v>21060</v>
      </c>
      <c r="Q28" s="15"/>
    </row>
    <row r="29" spans="1:17" x14ac:dyDescent="0.25">
      <c r="A29" s="15">
        <v>12</v>
      </c>
      <c r="B29" s="16">
        <v>46238</v>
      </c>
      <c r="C29" s="15" t="s">
        <v>160</v>
      </c>
      <c r="D29" s="2" t="s">
        <v>203</v>
      </c>
      <c r="E29" s="2" t="s">
        <v>97</v>
      </c>
      <c r="F29" s="2" t="s">
        <v>236</v>
      </c>
      <c r="G29" s="2" t="s">
        <v>237</v>
      </c>
      <c r="H29" s="2">
        <v>9837327265</v>
      </c>
      <c r="I29" s="2">
        <v>520</v>
      </c>
      <c r="J29" s="15"/>
      <c r="K29" s="15"/>
      <c r="L29" s="15"/>
      <c r="M29" s="15"/>
      <c r="N29" s="15"/>
      <c r="O29" s="15"/>
      <c r="P29" s="2">
        <v>9360</v>
      </c>
      <c r="Q29" s="15"/>
    </row>
    <row r="30" spans="1:17" x14ac:dyDescent="0.25">
      <c r="A30" s="15">
        <v>13</v>
      </c>
      <c r="B30" s="16">
        <v>46238</v>
      </c>
      <c r="C30" s="15" t="s">
        <v>160</v>
      </c>
      <c r="D30" s="2" t="s">
        <v>238</v>
      </c>
      <c r="E30" s="2" t="s">
        <v>98</v>
      </c>
      <c r="F30" s="2" t="s">
        <v>143</v>
      </c>
      <c r="G30" s="2" t="s">
        <v>239</v>
      </c>
      <c r="H30" s="2">
        <v>6397755011</v>
      </c>
      <c r="I30" s="2">
        <v>520</v>
      </c>
      <c r="J30" s="15"/>
      <c r="K30" s="15"/>
      <c r="L30" s="15"/>
      <c r="M30" s="15"/>
      <c r="N30" s="15"/>
      <c r="O30" s="15"/>
      <c r="P30" s="2">
        <v>9360</v>
      </c>
      <c r="Q30" s="15"/>
    </row>
    <row r="31" spans="1:17" x14ac:dyDescent="0.25">
      <c r="A31" s="15">
        <v>14</v>
      </c>
      <c r="B31" s="16">
        <v>46238</v>
      </c>
      <c r="C31" s="15" t="s">
        <v>160</v>
      </c>
      <c r="D31" s="2" t="s">
        <v>203</v>
      </c>
      <c r="E31" s="2" t="s">
        <v>100</v>
      </c>
      <c r="F31" s="2" t="s">
        <v>240</v>
      </c>
      <c r="G31" s="2" t="s">
        <v>241</v>
      </c>
      <c r="H31" s="2">
        <v>8755827893</v>
      </c>
      <c r="I31" s="2">
        <v>730</v>
      </c>
      <c r="J31" s="15"/>
      <c r="K31" s="15"/>
      <c r="L31" s="15"/>
      <c r="M31" s="15"/>
      <c r="N31" s="15"/>
      <c r="O31" s="15"/>
      <c r="P31" s="2">
        <v>14600</v>
      </c>
      <c r="Q31" s="15"/>
    </row>
    <row r="32" spans="1:17" x14ac:dyDescent="0.25">
      <c r="A32" s="15">
        <v>15</v>
      </c>
      <c r="B32" s="16">
        <v>46238</v>
      </c>
      <c r="C32" s="15" t="s">
        <v>160</v>
      </c>
      <c r="D32" s="2" t="s">
        <v>203</v>
      </c>
      <c r="E32" s="2" t="s">
        <v>102</v>
      </c>
      <c r="F32" s="2" t="s">
        <v>242</v>
      </c>
      <c r="G32" s="2" t="s">
        <v>243</v>
      </c>
      <c r="H32" s="2">
        <v>9927527375</v>
      </c>
      <c r="I32" s="2">
        <v>730</v>
      </c>
      <c r="J32" s="15"/>
      <c r="K32" s="15"/>
      <c r="L32" s="15"/>
      <c r="M32" s="15"/>
      <c r="N32" s="15"/>
      <c r="O32" s="15"/>
      <c r="P32" s="2">
        <v>14600</v>
      </c>
      <c r="Q32" s="15"/>
    </row>
    <row r="33" spans="1:17" x14ac:dyDescent="0.25">
      <c r="A33" s="15">
        <v>16</v>
      </c>
      <c r="B33" s="16">
        <v>46238</v>
      </c>
      <c r="C33" s="15" t="s">
        <v>160</v>
      </c>
      <c r="D33" s="2" t="s">
        <v>252</v>
      </c>
      <c r="E33" s="2" t="s">
        <v>108</v>
      </c>
      <c r="F33" s="2" t="s">
        <v>253</v>
      </c>
      <c r="G33" s="2" t="s">
        <v>254</v>
      </c>
      <c r="H33" s="2">
        <v>6398570844</v>
      </c>
      <c r="I33" s="2">
        <v>810</v>
      </c>
      <c r="J33" s="15"/>
      <c r="K33" s="15"/>
      <c r="L33" s="15"/>
      <c r="M33" s="15"/>
      <c r="N33" s="15"/>
      <c r="O33" s="15"/>
      <c r="P33" s="2">
        <v>21870</v>
      </c>
      <c r="Q33" s="15"/>
    </row>
    <row r="34" spans="1:17" x14ac:dyDescent="0.25">
      <c r="A34" s="15">
        <v>17</v>
      </c>
      <c r="B34" s="16">
        <v>46238</v>
      </c>
      <c r="C34" s="15" t="s">
        <v>160</v>
      </c>
      <c r="D34" s="2" t="s">
        <v>203</v>
      </c>
      <c r="E34" s="2" t="s">
        <v>126</v>
      </c>
      <c r="F34" s="2" t="s">
        <v>276</v>
      </c>
      <c r="G34" s="2" t="s">
        <v>277</v>
      </c>
      <c r="H34" s="2">
        <v>9634030105</v>
      </c>
      <c r="I34" s="2">
        <v>520</v>
      </c>
      <c r="J34" s="15"/>
      <c r="K34" s="15"/>
      <c r="L34" s="15"/>
      <c r="M34" s="15"/>
      <c r="N34" s="15"/>
      <c r="O34" s="15"/>
      <c r="P34" s="2">
        <v>10400</v>
      </c>
      <c r="Q34" s="15"/>
    </row>
    <row r="35" spans="1:17" x14ac:dyDescent="0.25">
      <c r="A35" s="15">
        <v>18</v>
      </c>
      <c r="B35" s="16">
        <v>46238</v>
      </c>
      <c r="C35" s="15" t="s">
        <v>160</v>
      </c>
      <c r="D35" s="2" t="s">
        <v>203</v>
      </c>
      <c r="E35" s="2" t="s">
        <v>128</v>
      </c>
      <c r="F35" s="2" t="s">
        <v>278</v>
      </c>
      <c r="G35" s="2" t="s">
        <v>279</v>
      </c>
      <c r="H35" s="2">
        <v>9639877836</v>
      </c>
      <c r="I35" s="2">
        <v>520</v>
      </c>
      <c r="J35" s="15"/>
      <c r="K35" s="15"/>
      <c r="L35" s="15"/>
      <c r="M35" s="15"/>
      <c r="N35" s="15"/>
      <c r="O35" s="15"/>
      <c r="P35" s="2">
        <v>10400</v>
      </c>
      <c r="Q35" s="15"/>
    </row>
    <row r="36" spans="1:17" x14ac:dyDescent="0.25">
      <c r="A36" s="15">
        <v>19</v>
      </c>
      <c r="B36" s="16">
        <v>46238</v>
      </c>
      <c r="C36" s="15" t="s">
        <v>160</v>
      </c>
      <c r="D36" s="2" t="s">
        <v>314</v>
      </c>
      <c r="E36" s="2" t="s">
        <v>147</v>
      </c>
      <c r="F36" s="2" t="s">
        <v>315</v>
      </c>
      <c r="G36" s="2" t="s">
        <v>316</v>
      </c>
      <c r="H36" s="2">
        <v>9084970587</v>
      </c>
      <c r="I36" s="2">
        <v>830</v>
      </c>
      <c r="J36" s="15"/>
      <c r="K36" s="15"/>
      <c r="L36" s="15"/>
      <c r="M36" s="15"/>
      <c r="N36" s="15"/>
      <c r="O36" s="15"/>
      <c r="P36" s="2">
        <v>31540</v>
      </c>
      <c r="Q36" s="15"/>
    </row>
    <row r="37" spans="1:17" x14ac:dyDescent="0.25">
      <c r="A37" s="15">
        <v>20</v>
      </c>
      <c r="B37" s="16">
        <v>46238</v>
      </c>
      <c r="C37" s="15" t="s">
        <v>160</v>
      </c>
      <c r="D37" s="2" t="s">
        <v>384</v>
      </c>
      <c r="E37" s="2" t="s">
        <v>385</v>
      </c>
      <c r="F37" s="2" t="s">
        <v>386</v>
      </c>
      <c r="G37" s="2" t="s">
        <v>387</v>
      </c>
      <c r="H37" s="2">
        <v>6395685785</v>
      </c>
      <c r="I37" s="2">
        <v>810</v>
      </c>
      <c r="J37" s="15"/>
      <c r="K37" s="15"/>
      <c r="L37" s="15"/>
      <c r="M37" s="15"/>
      <c r="N37" s="15"/>
      <c r="O37" s="15"/>
      <c r="P37" s="2">
        <v>26730</v>
      </c>
      <c r="Q37" s="15"/>
    </row>
    <row r="38" spans="1:17" x14ac:dyDescent="0.25">
      <c r="A38" s="15">
        <v>21</v>
      </c>
      <c r="B38" s="16">
        <v>46238</v>
      </c>
      <c r="C38" s="15" t="s">
        <v>160</v>
      </c>
      <c r="D38" s="2" t="s">
        <v>193</v>
      </c>
      <c r="E38" s="2" t="s">
        <v>431</v>
      </c>
      <c r="F38" s="2" t="s">
        <v>446</v>
      </c>
      <c r="G38" s="2" t="s">
        <v>454</v>
      </c>
      <c r="H38" s="10">
        <v>7037377719</v>
      </c>
      <c r="I38" s="2">
        <v>810</v>
      </c>
      <c r="J38" s="15"/>
      <c r="K38" s="15"/>
      <c r="L38" s="15"/>
      <c r="M38" s="15"/>
      <c r="N38" s="15"/>
      <c r="O38" s="15"/>
      <c r="P38" s="2">
        <v>29160</v>
      </c>
      <c r="Q38" s="15"/>
    </row>
    <row r="39" spans="1:17" x14ac:dyDescent="0.25">
      <c r="A39" s="15"/>
      <c r="B39" s="15"/>
      <c r="C39" s="15"/>
      <c r="D39" s="2"/>
      <c r="E39" s="2"/>
      <c r="F39" s="2"/>
      <c r="G39" s="2"/>
      <c r="H39" s="2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25">
      <c r="A40" s="15"/>
      <c r="B40" s="15"/>
      <c r="C40" s="15"/>
      <c r="D40" s="15"/>
      <c r="E40" s="15"/>
      <c r="F40" s="15"/>
      <c r="G40" s="15"/>
      <c r="H40" s="15"/>
      <c r="I40" s="15">
        <f>SUM(I18:I39)</f>
        <v>14760</v>
      </c>
      <c r="J40" s="15"/>
      <c r="K40" s="15"/>
      <c r="L40" s="15"/>
      <c r="M40" s="15"/>
      <c r="N40" s="15"/>
      <c r="O40" s="15"/>
      <c r="P40" s="15">
        <f>SUM(P18:P39)</f>
        <v>366500</v>
      </c>
      <c r="Q40" s="15"/>
    </row>
    <row r="44" spans="1:17" ht="23.25" x14ac:dyDescent="0.25">
      <c r="A44" s="64" t="s">
        <v>540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5" spans="1:17" ht="60" x14ac:dyDescent="0.25">
      <c r="A45" s="12" t="s">
        <v>462</v>
      </c>
      <c r="B45" s="12" t="s">
        <v>463</v>
      </c>
      <c r="C45" s="12" t="s">
        <v>464</v>
      </c>
      <c r="D45" s="12" t="s">
        <v>466</v>
      </c>
      <c r="E45" s="12" t="s">
        <v>465</v>
      </c>
      <c r="F45" s="12" t="s">
        <v>467</v>
      </c>
      <c r="G45" s="12" t="s">
        <v>468</v>
      </c>
      <c r="H45" s="12" t="s">
        <v>469</v>
      </c>
      <c r="I45" s="12" t="s">
        <v>470</v>
      </c>
      <c r="J45" s="12" t="s">
        <v>471</v>
      </c>
      <c r="K45" s="12" t="s">
        <v>472</v>
      </c>
      <c r="L45" s="12" t="s">
        <v>473</v>
      </c>
      <c r="M45" s="12" t="s">
        <v>474</v>
      </c>
      <c r="N45" s="12"/>
      <c r="O45" s="12" t="s">
        <v>475</v>
      </c>
      <c r="P45" s="13" t="s">
        <v>476</v>
      </c>
      <c r="Q45" s="13" t="s">
        <v>477</v>
      </c>
    </row>
    <row r="46" spans="1:17" x14ac:dyDescent="0.25">
      <c r="A46" s="15">
        <v>1</v>
      </c>
      <c r="B46" s="16">
        <v>46239</v>
      </c>
      <c r="C46" s="15" t="s">
        <v>160</v>
      </c>
      <c r="D46" s="2" t="s">
        <v>161</v>
      </c>
      <c r="E46" s="2" t="s">
        <v>48</v>
      </c>
      <c r="F46" s="2" t="s">
        <v>162</v>
      </c>
      <c r="G46" s="2" t="s">
        <v>163</v>
      </c>
      <c r="H46" s="2">
        <v>9760974967</v>
      </c>
      <c r="I46" s="2">
        <v>810</v>
      </c>
      <c r="J46" s="15"/>
      <c r="K46" s="15"/>
      <c r="L46" s="15"/>
      <c r="M46" s="15"/>
      <c r="N46" s="15"/>
      <c r="O46" s="15"/>
      <c r="P46" s="2">
        <v>18630</v>
      </c>
      <c r="Q46" s="15"/>
    </row>
    <row r="47" spans="1:17" x14ac:dyDescent="0.25">
      <c r="A47" s="15">
        <v>2</v>
      </c>
      <c r="B47" s="16">
        <v>46239</v>
      </c>
      <c r="C47" s="15" t="s">
        <v>160</v>
      </c>
      <c r="D47" s="2" t="s">
        <v>156</v>
      </c>
      <c r="E47" s="2" t="s">
        <v>51</v>
      </c>
      <c r="F47" s="2" t="s">
        <v>164</v>
      </c>
      <c r="G47" s="2" t="s">
        <v>165</v>
      </c>
      <c r="H47" s="2">
        <v>8791291989</v>
      </c>
      <c r="I47" s="2">
        <v>520</v>
      </c>
      <c r="J47" s="15"/>
      <c r="K47" s="15"/>
      <c r="L47" s="15"/>
      <c r="M47" s="15"/>
      <c r="N47" s="15"/>
      <c r="O47" s="15"/>
      <c r="P47" s="2">
        <v>8320</v>
      </c>
      <c r="Q47" s="15"/>
    </row>
    <row r="48" spans="1:17" x14ac:dyDescent="0.25">
      <c r="A48" s="15">
        <v>3</v>
      </c>
      <c r="B48" s="16">
        <v>46239</v>
      </c>
      <c r="C48" s="15" t="s">
        <v>160</v>
      </c>
      <c r="D48" s="2" t="s">
        <v>221</v>
      </c>
      <c r="E48" s="2" t="s">
        <v>90</v>
      </c>
      <c r="F48" s="2" t="s">
        <v>222</v>
      </c>
      <c r="G48" s="2" t="s">
        <v>223</v>
      </c>
      <c r="H48" s="2">
        <v>9457303017</v>
      </c>
      <c r="I48" s="2">
        <v>520</v>
      </c>
      <c r="J48" s="15"/>
      <c r="K48" s="15"/>
      <c r="L48" s="15"/>
      <c r="M48" s="15"/>
      <c r="N48" s="15"/>
      <c r="O48" s="15"/>
      <c r="P48" s="2">
        <v>9360</v>
      </c>
      <c r="Q48" s="15"/>
    </row>
    <row r="49" spans="1:17" x14ac:dyDescent="0.25">
      <c r="A49" s="15">
        <v>4</v>
      </c>
      <c r="B49" s="16">
        <v>46239</v>
      </c>
      <c r="C49" s="15" t="s">
        <v>160</v>
      </c>
      <c r="D49" s="2" t="s">
        <v>233</v>
      </c>
      <c r="E49" s="2" t="s">
        <v>96</v>
      </c>
      <c r="F49" s="2" t="s">
        <v>234</v>
      </c>
      <c r="G49" s="2" t="s">
        <v>235</v>
      </c>
      <c r="H49" s="2">
        <v>9568131038</v>
      </c>
      <c r="I49" s="2">
        <v>810</v>
      </c>
      <c r="J49" s="15"/>
      <c r="K49" s="15"/>
      <c r="L49" s="15"/>
      <c r="M49" s="15"/>
      <c r="N49" s="15"/>
      <c r="O49" s="15"/>
      <c r="P49" s="2">
        <v>21060</v>
      </c>
      <c r="Q49" s="15"/>
    </row>
    <row r="50" spans="1:17" x14ac:dyDescent="0.25">
      <c r="A50" s="15">
        <v>5</v>
      </c>
      <c r="B50" s="16">
        <v>46239</v>
      </c>
      <c r="C50" s="15" t="s">
        <v>160</v>
      </c>
      <c r="D50" s="2" t="s">
        <v>280</v>
      </c>
      <c r="E50" s="2" t="s">
        <v>129</v>
      </c>
      <c r="F50" s="2" t="s">
        <v>174</v>
      </c>
      <c r="G50" s="2" t="s">
        <v>281</v>
      </c>
      <c r="H50" s="2">
        <v>7668508257</v>
      </c>
      <c r="I50" s="2">
        <v>730</v>
      </c>
      <c r="J50" s="15"/>
      <c r="K50" s="15"/>
      <c r="L50" s="15"/>
      <c r="M50" s="15"/>
      <c r="N50" s="15"/>
      <c r="O50" s="15"/>
      <c r="P50" s="2">
        <v>16060</v>
      </c>
      <c r="Q50" s="15"/>
    </row>
    <row r="51" spans="1:17" x14ac:dyDescent="0.25">
      <c r="A51" s="15">
        <v>6</v>
      </c>
      <c r="B51" s="16">
        <v>46239</v>
      </c>
      <c r="C51" s="15" t="s">
        <v>160</v>
      </c>
      <c r="D51" s="2" t="s">
        <v>282</v>
      </c>
      <c r="E51" s="2" t="s">
        <v>130</v>
      </c>
      <c r="F51" s="2" t="s">
        <v>283</v>
      </c>
      <c r="G51" s="2" t="s">
        <v>284</v>
      </c>
      <c r="H51" s="2">
        <v>8534881062</v>
      </c>
      <c r="I51" s="2">
        <v>600</v>
      </c>
      <c r="J51" s="15"/>
      <c r="K51" s="15"/>
      <c r="L51" s="15"/>
      <c r="M51" s="15"/>
      <c r="N51" s="15"/>
      <c r="O51" s="15"/>
      <c r="P51" s="2">
        <v>2400</v>
      </c>
      <c r="Q51" s="15"/>
    </row>
    <row r="52" spans="1:17" x14ac:dyDescent="0.25">
      <c r="A52" s="15">
        <v>7</v>
      </c>
      <c r="B52" s="16">
        <v>46239</v>
      </c>
      <c r="C52" s="15" t="s">
        <v>160</v>
      </c>
      <c r="D52" s="2" t="s">
        <v>335</v>
      </c>
      <c r="E52" s="2" t="s">
        <v>336</v>
      </c>
      <c r="F52" s="2" t="s">
        <v>337</v>
      </c>
      <c r="G52" s="2" t="s">
        <v>338</v>
      </c>
      <c r="H52" s="2">
        <v>9557192375</v>
      </c>
      <c r="I52" s="2">
        <v>1000</v>
      </c>
      <c r="J52" s="15"/>
      <c r="K52" s="15"/>
      <c r="L52" s="15"/>
      <c r="M52" s="15"/>
      <c r="N52" s="15"/>
      <c r="O52" s="15"/>
      <c r="P52" s="2">
        <v>35000</v>
      </c>
      <c r="Q52" s="15"/>
    </row>
    <row r="53" spans="1:17" x14ac:dyDescent="0.25">
      <c r="A53" s="15">
        <v>8</v>
      </c>
      <c r="B53" s="16">
        <v>46239</v>
      </c>
      <c r="C53" s="15" t="s">
        <v>160</v>
      </c>
      <c r="D53" s="2" t="s">
        <v>381</v>
      </c>
      <c r="E53" s="2" t="s">
        <v>382</v>
      </c>
      <c r="F53" s="2" t="s">
        <v>55</v>
      </c>
      <c r="G53" s="2" t="s">
        <v>383</v>
      </c>
      <c r="H53" s="2">
        <v>7251022379</v>
      </c>
      <c r="I53" s="2">
        <v>810</v>
      </c>
      <c r="J53" s="15"/>
      <c r="K53" s="15"/>
      <c r="L53" s="15"/>
      <c r="M53" s="15"/>
      <c r="N53" s="15"/>
      <c r="O53" s="15"/>
      <c r="P53" s="2">
        <v>26730</v>
      </c>
      <c r="Q53" s="15"/>
    </row>
    <row r="54" spans="1:17" x14ac:dyDescent="0.25">
      <c r="A54" s="15">
        <v>9</v>
      </c>
      <c r="B54" s="16">
        <v>46239</v>
      </c>
      <c r="C54" s="15" t="s">
        <v>160</v>
      </c>
      <c r="D54" s="2" t="s">
        <v>388</v>
      </c>
      <c r="E54" s="2" t="s">
        <v>389</v>
      </c>
      <c r="F54" s="2" t="s">
        <v>390</v>
      </c>
      <c r="G54" s="2" t="s">
        <v>391</v>
      </c>
      <c r="H54" s="2">
        <v>8218425696</v>
      </c>
      <c r="I54" s="2">
        <v>1000</v>
      </c>
      <c r="J54" s="15"/>
      <c r="K54" s="15"/>
      <c r="L54" s="15"/>
      <c r="M54" s="15"/>
      <c r="N54" s="15"/>
      <c r="O54" s="15"/>
      <c r="P54" s="2">
        <v>38000</v>
      </c>
      <c r="Q54" s="15"/>
    </row>
    <row r="55" spans="1:17" x14ac:dyDescent="0.25">
      <c r="A55" s="15">
        <v>10</v>
      </c>
      <c r="B55" s="16">
        <v>46239</v>
      </c>
      <c r="C55" s="15" t="s">
        <v>160</v>
      </c>
      <c r="D55" s="2" t="s">
        <v>381</v>
      </c>
      <c r="E55" s="2" t="s">
        <v>395</v>
      </c>
      <c r="F55" s="2" t="s">
        <v>390</v>
      </c>
      <c r="G55" s="2" t="s">
        <v>396</v>
      </c>
      <c r="H55" s="2">
        <v>9084978593</v>
      </c>
      <c r="I55" s="2">
        <v>810</v>
      </c>
      <c r="J55" s="15"/>
      <c r="K55" s="15"/>
      <c r="L55" s="15"/>
      <c r="M55" s="15"/>
      <c r="N55" s="15"/>
      <c r="O55" s="15"/>
      <c r="P55" s="2">
        <v>26730</v>
      </c>
      <c r="Q55" s="15"/>
    </row>
    <row r="56" spans="1:17" x14ac:dyDescent="0.25">
      <c r="A56" s="15">
        <v>11</v>
      </c>
      <c r="B56" s="16">
        <v>46239</v>
      </c>
      <c r="C56" s="15" t="s">
        <v>160</v>
      </c>
      <c r="D56" s="2" t="s">
        <v>445</v>
      </c>
      <c r="E56" s="2" t="s">
        <v>440</v>
      </c>
      <c r="F56" s="2" t="s">
        <v>409</v>
      </c>
      <c r="G56" s="2" t="s">
        <v>460</v>
      </c>
      <c r="H56" s="10">
        <v>8859477176</v>
      </c>
      <c r="I56" s="2">
        <v>810</v>
      </c>
      <c r="J56" s="15"/>
      <c r="K56" s="15"/>
      <c r="L56" s="15"/>
      <c r="M56" s="15"/>
      <c r="N56" s="15"/>
      <c r="O56" s="15"/>
      <c r="P56" s="2">
        <v>29160</v>
      </c>
      <c r="Q56" s="15"/>
    </row>
    <row r="57" spans="1:17" x14ac:dyDescent="0.25">
      <c r="A57" s="15">
        <v>12</v>
      </c>
      <c r="B57" s="16">
        <v>46239</v>
      </c>
      <c r="C57" s="15" t="s">
        <v>160</v>
      </c>
      <c r="D57" s="2" t="s">
        <v>445</v>
      </c>
      <c r="E57" s="2" t="s">
        <v>441</v>
      </c>
      <c r="F57" s="2" t="s">
        <v>461</v>
      </c>
      <c r="G57" s="2" t="s">
        <v>70</v>
      </c>
      <c r="H57" s="10">
        <v>7351404992</v>
      </c>
      <c r="I57" s="2">
        <v>810</v>
      </c>
      <c r="J57" s="15"/>
      <c r="K57" s="15"/>
      <c r="L57" s="15"/>
      <c r="M57" s="15"/>
      <c r="N57" s="15"/>
      <c r="O57" s="15"/>
      <c r="P57" s="2">
        <v>29160</v>
      </c>
      <c r="Q57" s="15"/>
    </row>
    <row r="58" spans="1:17" x14ac:dyDescent="0.25">
      <c r="A58" s="15">
        <v>13</v>
      </c>
      <c r="B58" s="16">
        <v>46239</v>
      </c>
      <c r="C58" s="15" t="s">
        <v>160</v>
      </c>
      <c r="D58" s="2" t="s">
        <v>445</v>
      </c>
      <c r="E58" s="2" t="s">
        <v>491</v>
      </c>
      <c r="F58" s="2" t="s">
        <v>92</v>
      </c>
      <c r="G58" s="2" t="s">
        <v>494</v>
      </c>
      <c r="H58" s="2">
        <v>9720463480</v>
      </c>
      <c r="I58" s="2">
        <v>810</v>
      </c>
      <c r="J58" s="15"/>
      <c r="K58" s="15"/>
      <c r="L58" s="15"/>
      <c r="M58" s="15"/>
      <c r="N58" s="15"/>
      <c r="O58" s="15"/>
      <c r="P58" s="2">
        <v>29160</v>
      </c>
      <c r="Q58" s="15"/>
    </row>
    <row r="59" spans="1:17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25">
      <c r="A60" s="15"/>
      <c r="B60" s="15"/>
      <c r="C60" s="15"/>
      <c r="D60" s="15"/>
      <c r="E60" s="15"/>
      <c r="F60" s="15"/>
      <c r="G60" s="15"/>
      <c r="H60" s="15"/>
      <c r="I60" s="15">
        <f>SUM(I46:I59)</f>
        <v>10040</v>
      </c>
      <c r="J60" s="15"/>
      <c r="K60" s="15"/>
      <c r="L60" s="15"/>
      <c r="M60" s="15"/>
      <c r="N60" s="15"/>
      <c r="O60" s="15"/>
      <c r="P60" s="15">
        <f>SUM(P46:P59)</f>
        <v>289770</v>
      </c>
      <c r="Q60" s="15"/>
    </row>
    <row r="66" spans="1:17" ht="23.25" x14ac:dyDescent="0.25">
      <c r="A66" s="64" t="s">
        <v>541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</row>
    <row r="67" spans="1:17" ht="60" x14ac:dyDescent="0.25">
      <c r="A67" s="12" t="s">
        <v>462</v>
      </c>
      <c r="B67" s="12" t="s">
        <v>463</v>
      </c>
      <c r="C67" s="12" t="s">
        <v>464</v>
      </c>
      <c r="D67" s="12" t="s">
        <v>466</v>
      </c>
      <c r="E67" s="12" t="s">
        <v>465</v>
      </c>
      <c r="F67" s="12" t="s">
        <v>467</v>
      </c>
      <c r="G67" s="12" t="s">
        <v>468</v>
      </c>
      <c r="H67" s="12" t="s">
        <v>469</v>
      </c>
      <c r="I67" s="12" t="s">
        <v>470</v>
      </c>
      <c r="J67" s="12" t="s">
        <v>471</v>
      </c>
      <c r="K67" s="12" t="s">
        <v>472</v>
      </c>
      <c r="L67" s="12" t="s">
        <v>473</v>
      </c>
      <c r="M67" s="12" t="s">
        <v>474</v>
      </c>
      <c r="N67" s="12"/>
      <c r="O67" s="12" t="s">
        <v>475</v>
      </c>
      <c r="P67" s="13" t="s">
        <v>476</v>
      </c>
      <c r="Q67" s="13" t="s">
        <v>477</v>
      </c>
    </row>
    <row r="68" spans="1:17" x14ac:dyDescent="0.25">
      <c r="A68" s="15">
        <v>1</v>
      </c>
      <c r="B68" s="16">
        <v>46240</v>
      </c>
      <c r="C68" s="15" t="s">
        <v>160</v>
      </c>
      <c r="D68" s="2" t="s">
        <v>156</v>
      </c>
      <c r="E68" s="2" t="s">
        <v>54</v>
      </c>
      <c r="F68" s="2" t="s">
        <v>167</v>
      </c>
      <c r="G68" s="2" t="s">
        <v>168</v>
      </c>
      <c r="H68" s="2">
        <v>8218027633</v>
      </c>
      <c r="I68" s="2">
        <v>810</v>
      </c>
      <c r="J68" s="15"/>
      <c r="K68" s="15"/>
      <c r="L68" s="15"/>
      <c r="M68" s="15"/>
      <c r="N68" s="15"/>
      <c r="O68" s="15"/>
      <c r="P68" s="2">
        <v>19440</v>
      </c>
      <c r="Q68" s="15"/>
    </row>
    <row r="69" spans="1:17" x14ac:dyDescent="0.25">
      <c r="A69" s="15">
        <v>2</v>
      </c>
      <c r="B69" s="16">
        <v>46240</v>
      </c>
      <c r="C69" s="15" t="s">
        <v>160</v>
      </c>
      <c r="D69" s="2" t="s">
        <v>156</v>
      </c>
      <c r="E69" s="2" t="s">
        <v>56</v>
      </c>
      <c r="F69" s="2" t="s">
        <v>169</v>
      </c>
      <c r="G69" s="2" t="s">
        <v>170</v>
      </c>
      <c r="H69" s="2">
        <v>9540525013</v>
      </c>
      <c r="I69" s="2">
        <v>810</v>
      </c>
      <c r="J69" s="15"/>
      <c r="K69" s="15"/>
      <c r="L69" s="15"/>
      <c r="M69" s="15"/>
      <c r="N69" s="15"/>
      <c r="O69" s="15"/>
      <c r="P69" s="2">
        <v>19440</v>
      </c>
      <c r="Q69" s="15"/>
    </row>
    <row r="70" spans="1:17" x14ac:dyDescent="0.25">
      <c r="A70" s="15">
        <v>3</v>
      </c>
      <c r="B70" s="16">
        <v>46240</v>
      </c>
      <c r="C70" s="15" t="s">
        <v>160</v>
      </c>
      <c r="D70" s="2" t="s">
        <v>156</v>
      </c>
      <c r="E70" s="2" t="s">
        <v>61</v>
      </c>
      <c r="F70" s="2" t="s">
        <v>176</v>
      </c>
      <c r="G70" s="2" t="s">
        <v>177</v>
      </c>
      <c r="H70" s="2">
        <v>8477037076</v>
      </c>
      <c r="I70" s="2">
        <v>810</v>
      </c>
      <c r="J70" s="15"/>
      <c r="K70" s="15"/>
      <c r="L70" s="15"/>
      <c r="M70" s="15"/>
      <c r="N70" s="15"/>
      <c r="O70" s="15"/>
      <c r="P70" s="2">
        <v>19440</v>
      </c>
      <c r="Q70" s="15"/>
    </row>
    <row r="71" spans="1:17" x14ac:dyDescent="0.25">
      <c r="A71" s="15">
        <v>4</v>
      </c>
      <c r="B71" s="16">
        <v>46240</v>
      </c>
      <c r="C71" s="15" t="s">
        <v>160</v>
      </c>
      <c r="D71" s="2" t="s">
        <v>193</v>
      </c>
      <c r="E71" s="2" t="s">
        <v>91</v>
      </c>
      <c r="F71" s="2" t="s">
        <v>117</v>
      </c>
      <c r="G71" s="2" t="s">
        <v>224</v>
      </c>
      <c r="H71" s="2">
        <v>8864814546</v>
      </c>
      <c r="I71" s="2">
        <v>810</v>
      </c>
      <c r="J71" s="15"/>
      <c r="K71" s="15"/>
      <c r="L71" s="15"/>
      <c r="M71" s="15"/>
      <c r="N71" s="15"/>
      <c r="O71" s="15"/>
      <c r="P71" s="2">
        <v>21060</v>
      </c>
      <c r="Q71" s="15"/>
    </row>
    <row r="72" spans="1:17" x14ac:dyDescent="0.25">
      <c r="A72" s="15">
        <v>5</v>
      </c>
      <c r="B72" s="16">
        <v>46240</v>
      </c>
      <c r="C72" s="15" t="s">
        <v>160</v>
      </c>
      <c r="D72" s="2" t="s">
        <v>225</v>
      </c>
      <c r="E72" s="2" t="s">
        <v>93</v>
      </c>
      <c r="F72" s="2" t="s">
        <v>226</v>
      </c>
      <c r="G72" s="2" t="s">
        <v>118</v>
      </c>
      <c r="H72" s="2">
        <v>7037081981</v>
      </c>
      <c r="I72" s="2">
        <v>810</v>
      </c>
      <c r="J72" s="15"/>
      <c r="K72" s="15"/>
      <c r="L72" s="15"/>
      <c r="M72" s="15"/>
      <c r="N72" s="15"/>
      <c r="O72" s="15"/>
      <c r="P72" s="2">
        <v>21060</v>
      </c>
      <c r="Q72" s="15"/>
    </row>
    <row r="73" spans="1:17" x14ac:dyDescent="0.25">
      <c r="A73" s="15">
        <v>6</v>
      </c>
      <c r="B73" s="16">
        <v>46240</v>
      </c>
      <c r="C73" s="15" t="s">
        <v>160</v>
      </c>
      <c r="D73" s="2" t="s">
        <v>328</v>
      </c>
      <c r="E73" s="2" t="s">
        <v>153</v>
      </c>
      <c r="F73" s="2" t="s">
        <v>103</v>
      </c>
      <c r="G73" s="2" t="s">
        <v>329</v>
      </c>
      <c r="H73" s="2">
        <v>8868832613</v>
      </c>
      <c r="I73" s="2">
        <v>810</v>
      </c>
      <c r="J73" s="15"/>
      <c r="K73" s="15"/>
      <c r="L73" s="15"/>
      <c r="M73" s="15"/>
      <c r="N73" s="15"/>
      <c r="O73" s="15"/>
      <c r="P73" s="2">
        <v>25110</v>
      </c>
      <c r="Q73" s="15"/>
    </row>
    <row r="74" spans="1:17" x14ac:dyDescent="0.25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25">
      <c r="A75" s="15"/>
      <c r="B75" s="15"/>
      <c r="C75" s="15"/>
      <c r="D75" s="15"/>
      <c r="E75" s="15"/>
      <c r="F75" s="15"/>
      <c r="G75" s="15"/>
      <c r="H75" s="15"/>
      <c r="I75" s="15">
        <f>SUM(I68:I74)</f>
        <v>4860</v>
      </c>
      <c r="J75" s="15"/>
      <c r="K75" s="15"/>
      <c r="L75" s="15"/>
      <c r="M75" s="15"/>
      <c r="N75" s="15"/>
      <c r="O75" s="15"/>
      <c r="P75" s="15">
        <f>SUM(P68:P74)</f>
        <v>125550</v>
      </c>
      <c r="Q75" s="15"/>
    </row>
    <row r="79" spans="1:17" ht="23.25" x14ac:dyDescent="0.25">
      <c r="A79" s="64" t="s">
        <v>553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</row>
    <row r="80" spans="1:17" ht="60" x14ac:dyDescent="0.25">
      <c r="A80" s="12" t="s">
        <v>462</v>
      </c>
      <c r="B80" s="12" t="s">
        <v>463</v>
      </c>
      <c r="C80" s="12" t="s">
        <v>464</v>
      </c>
      <c r="D80" s="12" t="s">
        <v>466</v>
      </c>
      <c r="E80" s="12" t="s">
        <v>465</v>
      </c>
      <c r="F80" s="12" t="s">
        <v>467</v>
      </c>
      <c r="G80" s="12" t="s">
        <v>468</v>
      </c>
      <c r="H80" s="12" t="s">
        <v>469</v>
      </c>
      <c r="I80" s="12" t="s">
        <v>470</v>
      </c>
      <c r="J80" s="12" t="s">
        <v>471</v>
      </c>
      <c r="K80" s="12" t="s">
        <v>472</v>
      </c>
      <c r="L80" s="12" t="s">
        <v>473</v>
      </c>
      <c r="M80" s="12" t="s">
        <v>474</v>
      </c>
      <c r="N80" s="12"/>
      <c r="O80" s="12" t="s">
        <v>475</v>
      </c>
      <c r="P80" s="13" t="s">
        <v>476</v>
      </c>
      <c r="Q80" s="13" t="s">
        <v>477</v>
      </c>
    </row>
    <row r="81" spans="1:17" x14ac:dyDescent="0.25">
      <c r="A81" s="15">
        <v>1</v>
      </c>
      <c r="B81" s="16">
        <v>46241</v>
      </c>
      <c r="C81" s="15" t="s">
        <v>160</v>
      </c>
      <c r="D81" s="2" t="s">
        <v>171</v>
      </c>
      <c r="E81" s="2" t="s">
        <v>58</v>
      </c>
      <c r="F81" s="2" t="s">
        <v>172</v>
      </c>
      <c r="G81" s="2" t="s">
        <v>173</v>
      </c>
      <c r="H81" s="2">
        <v>9520845279</v>
      </c>
      <c r="I81" s="2">
        <v>810</v>
      </c>
      <c r="J81" s="15"/>
      <c r="K81" s="15"/>
      <c r="L81" s="15"/>
      <c r="M81" s="15"/>
      <c r="N81" s="15"/>
      <c r="O81" s="15">
        <f>K81+L81</f>
        <v>0</v>
      </c>
      <c r="P81" s="2">
        <v>19440</v>
      </c>
      <c r="Q81" s="15">
        <f>P81-O81</f>
        <v>19440</v>
      </c>
    </row>
    <row r="82" spans="1:17" x14ac:dyDescent="0.25">
      <c r="A82" s="15">
        <v>2</v>
      </c>
      <c r="B82" s="16">
        <v>46241</v>
      </c>
      <c r="C82" s="15" t="s">
        <v>160</v>
      </c>
      <c r="D82" s="2" t="s">
        <v>227</v>
      </c>
      <c r="E82" s="2" t="s">
        <v>94</v>
      </c>
      <c r="F82" s="2" t="s">
        <v>228</v>
      </c>
      <c r="G82" s="2" t="s">
        <v>229</v>
      </c>
      <c r="H82" s="2">
        <v>7830263688</v>
      </c>
      <c r="I82" s="2">
        <v>810</v>
      </c>
      <c r="J82" s="15"/>
      <c r="K82" s="15"/>
      <c r="L82" s="15"/>
      <c r="M82" s="15"/>
      <c r="N82" s="15"/>
      <c r="O82" s="15">
        <f t="shared" ref="O82:O97" si="0">K82+L82</f>
        <v>0</v>
      </c>
      <c r="P82" s="2">
        <v>21060</v>
      </c>
      <c r="Q82" s="15">
        <f t="shared" ref="Q82:Q97" si="1">P82-O82</f>
        <v>21060</v>
      </c>
    </row>
    <row r="83" spans="1:17" x14ac:dyDescent="0.25">
      <c r="A83" s="15">
        <v>3</v>
      </c>
      <c r="B83" s="16">
        <v>46241</v>
      </c>
      <c r="C83" s="15" t="s">
        <v>160</v>
      </c>
      <c r="D83" s="2" t="s">
        <v>227</v>
      </c>
      <c r="E83" s="2" t="s">
        <v>104</v>
      </c>
      <c r="F83" s="2" t="s">
        <v>244</v>
      </c>
      <c r="G83" s="2" t="s">
        <v>245</v>
      </c>
      <c r="H83" s="2">
        <v>7455898958</v>
      </c>
      <c r="I83" s="2">
        <v>810</v>
      </c>
      <c r="J83" s="15"/>
      <c r="K83" s="15"/>
      <c r="L83" s="15"/>
      <c r="M83" s="15"/>
      <c r="N83" s="15"/>
      <c r="O83" s="15">
        <f t="shared" si="0"/>
        <v>0</v>
      </c>
      <c r="P83" s="2">
        <v>21060</v>
      </c>
      <c r="Q83" s="15">
        <f t="shared" si="1"/>
        <v>21060</v>
      </c>
    </row>
    <row r="84" spans="1:17" x14ac:dyDescent="0.25">
      <c r="A84" s="15">
        <v>4</v>
      </c>
      <c r="B84" s="16">
        <v>46241</v>
      </c>
      <c r="C84" s="15" t="s">
        <v>160</v>
      </c>
      <c r="D84" s="2" t="s">
        <v>227</v>
      </c>
      <c r="E84" s="2" t="s">
        <v>124</v>
      </c>
      <c r="F84" s="2" t="s">
        <v>127</v>
      </c>
      <c r="G84" s="2" t="s">
        <v>274</v>
      </c>
      <c r="H84" s="2">
        <v>9627227142</v>
      </c>
      <c r="I84" s="2">
        <v>830</v>
      </c>
      <c r="J84" s="15"/>
      <c r="K84" s="15"/>
      <c r="L84" s="15"/>
      <c r="M84" s="15"/>
      <c r="N84" s="15"/>
      <c r="O84" s="15">
        <f t="shared" si="0"/>
        <v>0</v>
      </c>
      <c r="P84" s="2">
        <v>29880</v>
      </c>
      <c r="Q84" s="15">
        <f t="shared" si="1"/>
        <v>29880</v>
      </c>
    </row>
    <row r="85" spans="1:17" x14ac:dyDescent="0.25">
      <c r="A85" s="15">
        <v>5</v>
      </c>
      <c r="B85" s="16">
        <v>46241</v>
      </c>
      <c r="C85" s="15" t="s">
        <v>160</v>
      </c>
      <c r="D85" s="2" t="s">
        <v>171</v>
      </c>
      <c r="E85" s="2" t="s">
        <v>125</v>
      </c>
      <c r="F85" s="2" t="s">
        <v>107</v>
      </c>
      <c r="G85" s="2" t="s">
        <v>275</v>
      </c>
      <c r="H85" s="2">
        <v>7409353022</v>
      </c>
      <c r="I85" s="2">
        <v>730</v>
      </c>
      <c r="J85" s="15"/>
      <c r="K85" s="15"/>
      <c r="L85" s="15"/>
      <c r="M85" s="15"/>
      <c r="N85" s="15"/>
      <c r="O85" s="15">
        <f t="shared" si="0"/>
        <v>0</v>
      </c>
      <c r="P85" s="2">
        <v>16060</v>
      </c>
      <c r="Q85" s="15">
        <f t="shared" si="1"/>
        <v>16060</v>
      </c>
    </row>
    <row r="86" spans="1:17" x14ac:dyDescent="0.25">
      <c r="A86" s="15">
        <v>6</v>
      </c>
      <c r="B86" s="16">
        <v>46241</v>
      </c>
      <c r="C86" s="15" t="s">
        <v>160</v>
      </c>
      <c r="D86" s="2" t="s">
        <v>285</v>
      </c>
      <c r="E86" s="2" t="s">
        <v>131</v>
      </c>
      <c r="F86" s="2" t="s">
        <v>286</v>
      </c>
      <c r="G86" s="2" t="s">
        <v>287</v>
      </c>
      <c r="H86" s="2">
        <v>9690072880</v>
      </c>
      <c r="I86" s="2">
        <v>810</v>
      </c>
      <c r="J86" s="15"/>
      <c r="K86" s="15"/>
      <c r="L86" s="15"/>
      <c r="M86" s="15"/>
      <c r="N86" s="15"/>
      <c r="O86" s="15">
        <f t="shared" si="0"/>
        <v>0</v>
      </c>
      <c r="P86" s="2">
        <v>22680</v>
      </c>
      <c r="Q86" s="15">
        <f t="shared" si="1"/>
        <v>22680</v>
      </c>
    </row>
    <row r="87" spans="1:17" x14ac:dyDescent="0.25">
      <c r="A87" s="15">
        <v>7</v>
      </c>
      <c r="B87" s="16">
        <v>46241</v>
      </c>
      <c r="C87" s="15" t="s">
        <v>160</v>
      </c>
      <c r="D87" s="2" t="s">
        <v>291</v>
      </c>
      <c r="E87" s="2" t="s">
        <v>133</v>
      </c>
      <c r="F87" s="2" t="s">
        <v>117</v>
      </c>
      <c r="G87" s="2" t="s">
        <v>292</v>
      </c>
      <c r="H87" s="2">
        <v>8630381347</v>
      </c>
      <c r="I87" s="2">
        <v>730</v>
      </c>
      <c r="J87" s="15"/>
      <c r="K87" s="15"/>
      <c r="L87" s="15"/>
      <c r="M87" s="15"/>
      <c r="N87" s="15"/>
      <c r="O87" s="15">
        <f t="shared" si="0"/>
        <v>0</v>
      </c>
      <c r="P87" s="2">
        <v>16060</v>
      </c>
      <c r="Q87" s="15">
        <f t="shared" si="1"/>
        <v>16060</v>
      </c>
    </row>
    <row r="88" spans="1:17" x14ac:dyDescent="0.25">
      <c r="A88" s="15">
        <v>8</v>
      </c>
      <c r="B88" s="16">
        <v>46241</v>
      </c>
      <c r="C88" s="15" t="s">
        <v>160</v>
      </c>
      <c r="D88" s="2" t="s">
        <v>291</v>
      </c>
      <c r="E88" s="2" t="s">
        <v>136</v>
      </c>
      <c r="F88" s="2" t="s">
        <v>296</v>
      </c>
      <c r="G88" s="2" t="s">
        <v>99</v>
      </c>
      <c r="H88" s="2">
        <v>9756861913</v>
      </c>
      <c r="I88" s="2">
        <v>520</v>
      </c>
      <c r="J88" s="15"/>
      <c r="K88" s="15"/>
      <c r="L88" s="15"/>
      <c r="M88" s="15"/>
      <c r="N88" s="15"/>
      <c r="O88" s="15">
        <f t="shared" si="0"/>
        <v>0</v>
      </c>
      <c r="P88" s="2">
        <v>10400</v>
      </c>
      <c r="Q88" s="15">
        <f t="shared" si="1"/>
        <v>10400</v>
      </c>
    </row>
    <row r="89" spans="1:17" x14ac:dyDescent="0.25">
      <c r="A89" s="15">
        <v>9</v>
      </c>
      <c r="B89" s="16">
        <v>46241</v>
      </c>
      <c r="C89" s="15" t="s">
        <v>160</v>
      </c>
      <c r="D89" s="2" t="s">
        <v>322</v>
      </c>
      <c r="E89" s="2" t="s">
        <v>150</v>
      </c>
      <c r="F89" s="2" t="s">
        <v>323</v>
      </c>
      <c r="G89" s="2" t="s">
        <v>324</v>
      </c>
      <c r="H89" s="2">
        <v>9528196121</v>
      </c>
      <c r="I89" s="2">
        <v>810</v>
      </c>
      <c r="J89" s="15"/>
      <c r="K89" s="15"/>
      <c r="L89" s="15"/>
      <c r="M89" s="15"/>
      <c r="N89" s="15"/>
      <c r="O89" s="15">
        <f t="shared" si="0"/>
        <v>0</v>
      </c>
      <c r="P89" s="2">
        <v>24300</v>
      </c>
      <c r="Q89" s="15">
        <f t="shared" si="1"/>
        <v>24300</v>
      </c>
    </row>
    <row r="90" spans="1:17" x14ac:dyDescent="0.25">
      <c r="A90" s="15">
        <v>10</v>
      </c>
      <c r="B90" s="16">
        <v>46241</v>
      </c>
      <c r="C90" s="15" t="s">
        <v>160</v>
      </c>
      <c r="D90" s="2" t="s">
        <v>322</v>
      </c>
      <c r="E90" s="2" t="s">
        <v>151</v>
      </c>
      <c r="F90" s="2" t="s">
        <v>325</v>
      </c>
      <c r="G90" s="2" t="s">
        <v>326</v>
      </c>
      <c r="H90" s="2">
        <v>8535061266</v>
      </c>
      <c r="I90" s="2">
        <v>730</v>
      </c>
      <c r="J90" s="15"/>
      <c r="K90" s="15"/>
      <c r="L90" s="15"/>
      <c r="M90" s="15"/>
      <c r="N90" s="15"/>
      <c r="O90" s="15">
        <f t="shared" si="0"/>
        <v>0</v>
      </c>
      <c r="P90" s="2">
        <v>17520</v>
      </c>
      <c r="Q90" s="15">
        <f t="shared" si="1"/>
        <v>17520</v>
      </c>
    </row>
    <row r="91" spans="1:17" x14ac:dyDescent="0.25">
      <c r="A91" s="15">
        <v>11</v>
      </c>
      <c r="B91" s="16">
        <v>46241</v>
      </c>
      <c r="C91" s="15" t="s">
        <v>160</v>
      </c>
      <c r="D91" s="2" t="s">
        <v>377</v>
      </c>
      <c r="E91" s="2" t="s">
        <v>378</v>
      </c>
      <c r="F91" s="2" t="s">
        <v>379</v>
      </c>
      <c r="G91" s="2" t="s">
        <v>380</v>
      </c>
      <c r="H91" s="2">
        <v>9520353141</v>
      </c>
      <c r="I91" s="2">
        <v>810</v>
      </c>
      <c r="J91" s="15"/>
      <c r="K91" s="15"/>
      <c r="L91" s="15"/>
      <c r="M91" s="15"/>
      <c r="N91" s="15"/>
      <c r="O91" s="15">
        <f t="shared" si="0"/>
        <v>0</v>
      </c>
      <c r="P91" s="2">
        <v>25920</v>
      </c>
      <c r="Q91" s="15">
        <f t="shared" si="1"/>
        <v>25920</v>
      </c>
    </row>
    <row r="92" spans="1:17" x14ac:dyDescent="0.25">
      <c r="A92" s="15">
        <v>12</v>
      </c>
      <c r="B92" s="16">
        <v>46241</v>
      </c>
      <c r="C92" s="15" t="s">
        <v>160</v>
      </c>
      <c r="D92" s="2" t="s">
        <v>180</v>
      </c>
      <c r="E92" s="2" t="s">
        <v>411</v>
      </c>
      <c r="F92" s="2" t="s">
        <v>412</v>
      </c>
      <c r="G92" s="2" t="s">
        <v>257</v>
      </c>
      <c r="H92" s="2">
        <v>7579360739</v>
      </c>
      <c r="I92" s="2">
        <v>810</v>
      </c>
      <c r="J92" s="15"/>
      <c r="K92" s="15"/>
      <c r="L92" s="15"/>
      <c r="M92" s="15"/>
      <c r="N92" s="15"/>
      <c r="O92" s="15">
        <f t="shared" si="0"/>
        <v>0</v>
      </c>
      <c r="P92" s="2">
        <v>27540</v>
      </c>
      <c r="Q92" s="15">
        <f t="shared" si="1"/>
        <v>27540</v>
      </c>
    </row>
    <row r="93" spans="1:17" x14ac:dyDescent="0.25">
      <c r="A93" s="15">
        <v>13</v>
      </c>
      <c r="B93" s="16">
        <v>46241</v>
      </c>
      <c r="C93" s="15" t="s">
        <v>160</v>
      </c>
      <c r="D93" s="2" t="s">
        <v>180</v>
      </c>
      <c r="E93" s="2" t="s">
        <v>413</v>
      </c>
      <c r="F93" s="2" t="s">
        <v>414</v>
      </c>
      <c r="G93" s="2" t="s">
        <v>415</v>
      </c>
      <c r="H93" s="2">
        <v>9027955247</v>
      </c>
      <c r="I93" s="2">
        <v>810</v>
      </c>
      <c r="J93" s="15"/>
      <c r="K93" s="15"/>
      <c r="L93" s="15"/>
      <c r="M93" s="15"/>
      <c r="N93" s="15"/>
      <c r="O93" s="15">
        <f t="shared" si="0"/>
        <v>0</v>
      </c>
      <c r="P93" s="2">
        <v>27540</v>
      </c>
      <c r="Q93" s="15">
        <f t="shared" si="1"/>
        <v>27540</v>
      </c>
    </row>
    <row r="94" spans="1:17" x14ac:dyDescent="0.25">
      <c r="A94" s="15">
        <v>14</v>
      </c>
      <c r="B94" s="16">
        <v>46241</v>
      </c>
      <c r="C94" s="15" t="s">
        <v>160</v>
      </c>
      <c r="D94" s="2" t="s">
        <v>444</v>
      </c>
      <c r="E94" s="2" t="s">
        <v>434</v>
      </c>
      <c r="F94" s="2" t="s">
        <v>449</v>
      </c>
      <c r="G94" s="2" t="s">
        <v>211</v>
      </c>
      <c r="H94" s="10">
        <v>8445469631</v>
      </c>
      <c r="I94" s="2">
        <v>810</v>
      </c>
      <c r="J94" s="15"/>
      <c r="K94" s="15"/>
      <c r="L94" s="15"/>
      <c r="M94" s="15"/>
      <c r="N94" s="15"/>
      <c r="O94" s="15">
        <f t="shared" si="0"/>
        <v>0</v>
      </c>
      <c r="P94" s="2">
        <v>29160</v>
      </c>
      <c r="Q94" s="15">
        <f t="shared" si="1"/>
        <v>29160</v>
      </c>
    </row>
    <row r="95" spans="1:17" x14ac:dyDescent="0.25">
      <c r="A95" s="15">
        <v>15</v>
      </c>
      <c r="B95" s="16">
        <v>46241</v>
      </c>
      <c r="C95" s="15" t="s">
        <v>160</v>
      </c>
      <c r="D95" s="2" t="s">
        <v>444</v>
      </c>
      <c r="E95" s="2" t="s">
        <v>435</v>
      </c>
      <c r="F95" s="2" t="s">
        <v>450</v>
      </c>
      <c r="G95" s="2" t="s">
        <v>235</v>
      </c>
      <c r="H95" s="10">
        <v>7457837215</v>
      </c>
      <c r="I95" s="2">
        <v>810</v>
      </c>
      <c r="J95" s="15"/>
      <c r="K95" s="15"/>
      <c r="L95" s="15"/>
      <c r="M95" s="15"/>
      <c r="N95" s="15"/>
      <c r="O95" s="15">
        <f t="shared" si="0"/>
        <v>0</v>
      </c>
      <c r="P95" s="2">
        <v>29160</v>
      </c>
      <c r="Q95" s="15">
        <f t="shared" si="1"/>
        <v>29160</v>
      </c>
    </row>
    <row r="96" spans="1:17" x14ac:dyDescent="0.25">
      <c r="A96" s="15">
        <v>16</v>
      </c>
      <c r="B96" s="16">
        <v>46241</v>
      </c>
      <c r="C96" s="15" t="s">
        <v>160</v>
      </c>
      <c r="D96" s="2" t="s">
        <v>444</v>
      </c>
      <c r="E96" s="2" t="s">
        <v>437</v>
      </c>
      <c r="F96" s="2" t="s">
        <v>452</v>
      </c>
      <c r="G96" s="2" t="s">
        <v>457</v>
      </c>
      <c r="H96" s="10">
        <v>8394893054</v>
      </c>
      <c r="I96" s="2">
        <v>810</v>
      </c>
      <c r="J96" s="15"/>
      <c r="K96" s="15"/>
      <c r="L96" s="15"/>
      <c r="M96" s="15"/>
      <c r="N96" s="15"/>
      <c r="O96" s="15">
        <f t="shared" si="0"/>
        <v>0</v>
      </c>
      <c r="P96" s="2">
        <v>29160</v>
      </c>
      <c r="Q96" s="15">
        <f t="shared" si="1"/>
        <v>29160</v>
      </c>
    </row>
    <row r="97" spans="1:17" x14ac:dyDescent="0.25">
      <c r="A97" s="15">
        <v>17</v>
      </c>
      <c r="B97" s="16">
        <v>46241</v>
      </c>
      <c r="C97" s="15" t="s">
        <v>160</v>
      </c>
      <c r="D97" s="2" t="s">
        <v>444</v>
      </c>
      <c r="E97" s="2" t="s">
        <v>438</v>
      </c>
      <c r="F97" s="2" t="s">
        <v>64</v>
      </c>
      <c r="G97" s="2" t="s">
        <v>458</v>
      </c>
      <c r="H97" s="10">
        <v>9058127312</v>
      </c>
      <c r="I97" s="2">
        <v>810</v>
      </c>
      <c r="J97" s="15"/>
      <c r="K97" s="15"/>
      <c r="L97" s="15"/>
      <c r="M97" s="15"/>
      <c r="N97" s="15"/>
      <c r="O97" s="15">
        <f t="shared" si="0"/>
        <v>0</v>
      </c>
      <c r="P97" s="2">
        <v>29160</v>
      </c>
      <c r="Q97" s="15">
        <f t="shared" si="1"/>
        <v>29160</v>
      </c>
    </row>
    <row r="98" spans="1:17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25">
      <c r="A99" s="15"/>
      <c r="B99" s="15"/>
      <c r="C99" s="15"/>
      <c r="D99" s="15"/>
      <c r="E99" s="15"/>
      <c r="F99" s="15"/>
      <c r="G99" s="15"/>
      <c r="H99" s="15"/>
      <c r="I99" s="15">
        <f>SUM(I81:I98)</f>
        <v>13260</v>
      </c>
      <c r="J99" s="15"/>
      <c r="K99" s="15"/>
      <c r="L99" s="15"/>
      <c r="M99" s="15"/>
      <c r="N99" s="15"/>
      <c r="O99" s="15">
        <f>SUM(O81:O98)</f>
        <v>0</v>
      </c>
      <c r="P99" s="15">
        <f>SUM(P81:P98)</f>
        <v>396100</v>
      </c>
      <c r="Q99" s="15">
        <f>SUM(Q81:Q98)</f>
        <v>396100</v>
      </c>
    </row>
    <row r="108" spans="1:17" ht="23.25" x14ac:dyDescent="0.25">
      <c r="A108" s="64" t="s">
        <v>478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</row>
    <row r="109" spans="1:17" ht="60" x14ac:dyDescent="0.25">
      <c r="A109" s="12" t="s">
        <v>462</v>
      </c>
      <c r="B109" s="12" t="s">
        <v>463</v>
      </c>
      <c r="C109" s="12" t="s">
        <v>464</v>
      </c>
      <c r="D109" s="12" t="s">
        <v>466</v>
      </c>
      <c r="E109" s="12" t="s">
        <v>465</v>
      </c>
      <c r="F109" s="12" t="s">
        <v>467</v>
      </c>
      <c r="G109" s="12" t="s">
        <v>468</v>
      </c>
      <c r="H109" s="12" t="s">
        <v>469</v>
      </c>
      <c r="I109" s="12" t="s">
        <v>470</v>
      </c>
      <c r="J109" s="12" t="s">
        <v>471</v>
      </c>
      <c r="K109" s="12" t="s">
        <v>472</v>
      </c>
      <c r="L109" s="12" t="s">
        <v>473</v>
      </c>
      <c r="M109" s="12" t="s">
        <v>474</v>
      </c>
      <c r="N109" s="12"/>
      <c r="O109" s="12" t="s">
        <v>475</v>
      </c>
      <c r="P109" s="13" t="s">
        <v>476</v>
      </c>
      <c r="Q109" s="13" t="s">
        <v>477</v>
      </c>
    </row>
    <row r="110" spans="1:17" x14ac:dyDescent="0.25">
      <c r="A110" s="18">
        <v>1</v>
      </c>
      <c r="B110" s="19">
        <v>46244</v>
      </c>
      <c r="C110" s="18" t="s">
        <v>160</v>
      </c>
      <c r="D110" s="2" t="s">
        <v>265</v>
      </c>
      <c r="E110" s="2" t="s">
        <v>120</v>
      </c>
      <c r="F110" s="2" t="s">
        <v>266</v>
      </c>
      <c r="G110" s="2" t="s">
        <v>267</v>
      </c>
      <c r="H110" s="2">
        <v>7078208921</v>
      </c>
      <c r="I110" s="2">
        <v>730</v>
      </c>
      <c r="J110" s="18"/>
      <c r="K110" s="18"/>
      <c r="L110" s="18"/>
      <c r="M110" s="18"/>
      <c r="N110" s="18"/>
      <c r="O110" s="18"/>
      <c r="P110" s="2">
        <v>15330</v>
      </c>
      <c r="Q110" s="18"/>
    </row>
    <row r="111" spans="1:17" x14ac:dyDescent="0.25">
      <c r="A111" s="18">
        <v>2</v>
      </c>
      <c r="B111" s="19">
        <v>46244</v>
      </c>
      <c r="C111" s="18" t="s">
        <v>160</v>
      </c>
      <c r="D111" s="2" t="s">
        <v>288</v>
      </c>
      <c r="E111" s="2" t="s">
        <v>132</v>
      </c>
      <c r="F111" s="2" t="s">
        <v>289</v>
      </c>
      <c r="G111" s="2" t="s">
        <v>290</v>
      </c>
      <c r="H111" s="2">
        <v>8071939314</v>
      </c>
      <c r="I111" s="2">
        <v>830</v>
      </c>
      <c r="J111" s="18"/>
      <c r="K111" s="18"/>
      <c r="L111" s="18"/>
      <c r="M111" s="18"/>
      <c r="N111" s="18"/>
      <c r="O111" s="18"/>
      <c r="P111" s="2">
        <v>29880</v>
      </c>
      <c r="Q111" s="18"/>
    </row>
    <row r="112" spans="1:17" x14ac:dyDescent="0.25">
      <c r="A112" s="18">
        <v>3</v>
      </c>
      <c r="B112" s="19">
        <v>46244</v>
      </c>
      <c r="C112" s="18" t="s">
        <v>160</v>
      </c>
      <c r="D112" s="2" t="s">
        <v>293</v>
      </c>
      <c r="E112" s="2" t="s">
        <v>135</v>
      </c>
      <c r="F112" s="2" t="s">
        <v>294</v>
      </c>
      <c r="G112" s="2" t="s">
        <v>295</v>
      </c>
      <c r="H112" s="2">
        <v>9997852046</v>
      </c>
      <c r="I112" s="2">
        <v>830</v>
      </c>
      <c r="J112" s="18"/>
      <c r="K112" s="18"/>
      <c r="L112" s="18"/>
      <c r="M112" s="18"/>
      <c r="N112" s="18"/>
      <c r="O112" s="18"/>
      <c r="P112" s="2">
        <v>29880</v>
      </c>
      <c r="Q112" s="18"/>
    </row>
    <row r="113" spans="1:17" x14ac:dyDescent="0.25">
      <c r="A113" s="18">
        <v>4</v>
      </c>
      <c r="B113" s="19">
        <v>46244</v>
      </c>
      <c r="C113" s="18" t="s">
        <v>160</v>
      </c>
      <c r="D113" s="2" t="s">
        <v>397</v>
      </c>
      <c r="E113" s="2" t="s">
        <v>398</v>
      </c>
      <c r="F113" s="2" t="s">
        <v>92</v>
      </c>
      <c r="G113" s="2" t="s">
        <v>187</v>
      </c>
      <c r="H113" s="2">
        <v>7452866568</v>
      </c>
      <c r="I113" s="2">
        <v>730</v>
      </c>
      <c r="J113" s="18"/>
      <c r="K113" s="18"/>
      <c r="L113" s="18"/>
      <c r="M113" s="18"/>
      <c r="N113" s="18"/>
      <c r="O113" s="18"/>
      <c r="P113" s="2">
        <v>20440</v>
      </c>
      <c r="Q113" s="18"/>
    </row>
    <row r="114" spans="1:17" x14ac:dyDescent="0.25">
      <c r="A114" s="18">
        <v>5</v>
      </c>
      <c r="B114" s="19">
        <v>46244</v>
      </c>
      <c r="C114" s="18" t="s">
        <v>160</v>
      </c>
      <c r="D114" s="2" t="s">
        <v>397</v>
      </c>
      <c r="E114" s="2" t="s">
        <v>399</v>
      </c>
      <c r="F114" s="2" t="s">
        <v>400</v>
      </c>
      <c r="G114" s="2" t="s">
        <v>401</v>
      </c>
      <c r="H114" s="2">
        <v>9719345902</v>
      </c>
      <c r="I114" s="2">
        <v>810</v>
      </c>
      <c r="J114" s="18"/>
      <c r="K114" s="18"/>
      <c r="L114" s="18"/>
      <c r="M114" s="18"/>
      <c r="N114" s="18"/>
      <c r="O114" s="18"/>
      <c r="P114" s="2">
        <v>27540</v>
      </c>
      <c r="Q114" s="18"/>
    </row>
    <row r="115" spans="1:17" x14ac:dyDescent="0.25">
      <c r="A115" s="18">
        <v>6</v>
      </c>
      <c r="B115" s="19">
        <v>46244</v>
      </c>
      <c r="C115" s="18" t="s">
        <v>160</v>
      </c>
      <c r="D115" s="2" t="s">
        <v>288</v>
      </c>
      <c r="E115" s="2" t="s">
        <v>402</v>
      </c>
      <c r="F115" s="2" t="s">
        <v>80</v>
      </c>
      <c r="G115" s="2" t="s">
        <v>403</v>
      </c>
      <c r="H115" s="2">
        <v>8273313036</v>
      </c>
      <c r="I115" s="2">
        <v>830</v>
      </c>
      <c r="J115" s="18"/>
      <c r="K115" s="18"/>
      <c r="L115" s="18"/>
      <c r="M115" s="18"/>
      <c r="N115" s="18"/>
      <c r="O115" s="18"/>
      <c r="P115" s="2">
        <v>34860</v>
      </c>
      <c r="Q115" s="18"/>
    </row>
    <row r="116" spans="1:17" x14ac:dyDescent="0.25">
      <c r="A116" s="18">
        <v>7</v>
      </c>
      <c r="B116" s="19">
        <v>46244</v>
      </c>
      <c r="C116" s="18" t="s">
        <v>160</v>
      </c>
      <c r="D116" s="2" t="s">
        <v>404</v>
      </c>
      <c r="E116" s="2" t="s">
        <v>405</v>
      </c>
      <c r="F116" s="2" t="s">
        <v>406</v>
      </c>
      <c r="G116" s="2" t="s">
        <v>118</v>
      </c>
      <c r="H116" s="2">
        <v>8923609267</v>
      </c>
      <c r="I116" s="2">
        <v>1000</v>
      </c>
      <c r="J116" s="18"/>
      <c r="K116" s="18"/>
      <c r="L116" s="18"/>
      <c r="M116" s="18"/>
      <c r="N116" s="18"/>
      <c r="O116" s="18"/>
      <c r="P116" s="2">
        <v>39000</v>
      </c>
      <c r="Q116" s="18"/>
    </row>
    <row r="117" spans="1:17" x14ac:dyDescent="0.25">
      <c r="A117" s="18">
        <v>8</v>
      </c>
      <c r="B117" s="19">
        <v>46244</v>
      </c>
      <c r="C117" s="18" t="s">
        <v>160</v>
      </c>
      <c r="D117" s="2" t="s">
        <v>407</v>
      </c>
      <c r="E117" s="2" t="s">
        <v>408</v>
      </c>
      <c r="F117" s="2" t="s">
        <v>409</v>
      </c>
      <c r="G117" s="2" t="s">
        <v>410</v>
      </c>
      <c r="H117" s="2">
        <v>9068307727</v>
      </c>
      <c r="I117" s="2">
        <v>810</v>
      </c>
      <c r="J117" s="18"/>
      <c r="K117" s="18"/>
      <c r="L117" s="18"/>
      <c r="M117" s="18"/>
      <c r="N117" s="18"/>
      <c r="O117" s="18"/>
      <c r="P117" s="2">
        <v>27540</v>
      </c>
      <c r="Q117" s="18"/>
    </row>
    <row r="118" spans="1:17" x14ac:dyDescent="0.25">
      <c r="A118" s="18">
        <v>9</v>
      </c>
      <c r="B118" s="19">
        <v>46244</v>
      </c>
      <c r="C118" s="18" t="s">
        <v>160</v>
      </c>
      <c r="D118" s="2" t="s">
        <v>416</v>
      </c>
      <c r="E118" s="2" t="s">
        <v>417</v>
      </c>
      <c r="F118" s="2" t="s">
        <v>418</v>
      </c>
      <c r="G118" s="2" t="s">
        <v>419</v>
      </c>
      <c r="H118" s="2">
        <v>7417158423</v>
      </c>
      <c r="I118" s="2">
        <v>520</v>
      </c>
      <c r="J118" s="18"/>
      <c r="K118" s="18"/>
      <c r="L118" s="18"/>
      <c r="M118" s="18"/>
      <c r="N118" s="18"/>
      <c r="O118" s="18"/>
      <c r="P118" s="2">
        <v>13520</v>
      </c>
      <c r="Q118" s="18"/>
    </row>
    <row r="119" spans="1:17" x14ac:dyDescent="0.25">
      <c r="A119" s="18">
        <v>10</v>
      </c>
      <c r="B119" s="19">
        <v>46244</v>
      </c>
      <c r="C119" s="18" t="s">
        <v>160</v>
      </c>
      <c r="D119" s="2" t="s">
        <v>490</v>
      </c>
      <c r="E119" s="2" t="s">
        <v>492</v>
      </c>
      <c r="F119" s="2" t="s">
        <v>493</v>
      </c>
      <c r="G119" s="2" t="s">
        <v>495</v>
      </c>
      <c r="H119" s="2">
        <v>8938063338</v>
      </c>
      <c r="I119" s="2">
        <v>520</v>
      </c>
      <c r="J119" s="18"/>
      <c r="K119" s="18"/>
      <c r="L119" s="18"/>
      <c r="M119" s="18"/>
      <c r="N119" s="18"/>
      <c r="O119" s="18"/>
      <c r="P119" s="2">
        <v>14560</v>
      </c>
      <c r="Q119" s="18"/>
    </row>
    <row r="120" spans="1:17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x14ac:dyDescent="0.25">
      <c r="A121" s="18"/>
      <c r="B121" s="18"/>
      <c r="C121" s="18"/>
      <c r="D121" s="18"/>
      <c r="E121" s="18"/>
      <c r="F121" s="18"/>
      <c r="G121" s="18"/>
      <c r="H121" s="18"/>
      <c r="I121" s="18">
        <f>SUM(I110:I120)</f>
        <v>7610</v>
      </c>
      <c r="J121" s="18"/>
      <c r="K121" s="18"/>
      <c r="L121" s="18"/>
      <c r="M121" s="18"/>
      <c r="N121" s="18"/>
      <c r="O121" s="18"/>
      <c r="P121" s="18">
        <f>SUM(P110:P120)</f>
        <v>252550</v>
      </c>
      <c r="Q121" s="18"/>
    </row>
    <row r="127" spans="1:17" ht="23.25" x14ac:dyDescent="0.25">
      <c r="A127" s="64" t="s">
        <v>539</v>
      </c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</row>
    <row r="128" spans="1:17" ht="60" x14ac:dyDescent="0.25">
      <c r="A128" s="12" t="s">
        <v>462</v>
      </c>
      <c r="B128" s="12" t="s">
        <v>463</v>
      </c>
      <c r="C128" s="12" t="s">
        <v>464</v>
      </c>
      <c r="D128" s="12" t="s">
        <v>466</v>
      </c>
      <c r="E128" s="12" t="s">
        <v>465</v>
      </c>
      <c r="F128" s="12" t="s">
        <v>467</v>
      </c>
      <c r="G128" s="12" t="s">
        <v>468</v>
      </c>
      <c r="H128" s="12" t="s">
        <v>469</v>
      </c>
      <c r="I128" s="12" t="s">
        <v>470</v>
      </c>
      <c r="J128" s="12" t="s">
        <v>471</v>
      </c>
      <c r="K128" s="12" t="s">
        <v>472</v>
      </c>
      <c r="L128" s="12" t="s">
        <v>473</v>
      </c>
      <c r="M128" s="12" t="s">
        <v>474</v>
      </c>
      <c r="N128" s="12"/>
      <c r="O128" s="12" t="s">
        <v>475</v>
      </c>
      <c r="P128" s="13" t="s">
        <v>476</v>
      </c>
      <c r="Q128" s="13" t="s">
        <v>477</v>
      </c>
    </row>
    <row r="129" spans="1:17" x14ac:dyDescent="0.25">
      <c r="A129" s="18">
        <v>1</v>
      </c>
      <c r="B129" s="19">
        <v>46245</v>
      </c>
      <c r="C129" s="18" t="s">
        <v>559</v>
      </c>
      <c r="D129" s="2" t="s">
        <v>156</v>
      </c>
      <c r="E129" s="2" t="s">
        <v>60</v>
      </c>
      <c r="F129" s="2" t="s">
        <v>174</v>
      </c>
      <c r="G129" s="2" t="s">
        <v>175</v>
      </c>
      <c r="H129" s="2">
        <v>7417106202</v>
      </c>
      <c r="I129" s="2">
        <v>810</v>
      </c>
      <c r="J129" s="18"/>
      <c r="K129" s="18"/>
      <c r="L129" s="18"/>
      <c r="M129" s="18"/>
      <c r="N129" s="18"/>
      <c r="O129" s="18"/>
      <c r="P129" s="2">
        <v>18630</v>
      </c>
      <c r="Q129" s="18"/>
    </row>
    <row r="130" spans="1:17" x14ac:dyDescent="0.25">
      <c r="A130" s="18">
        <v>2</v>
      </c>
      <c r="B130" s="19">
        <v>46245</v>
      </c>
      <c r="C130" s="18" t="s">
        <v>559</v>
      </c>
      <c r="D130" s="2" t="s">
        <v>208</v>
      </c>
      <c r="E130" s="2" t="s">
        <v>84</v>
      </c>
      <c r="F130" s="2" t="s">
        <v>55</v>
      </c>
      <c r="G130" s="2" t="s">
        <v>211</v>
      </c>
      <c r="H130" s="2">
        <v>6396207660</v>
      </c>
      <c r="I130" s="2">
        <v>520</v>
      </c>
      <c r="J130" s="18"/>
      <c r="K130" s="18"/>
      <c r="L130" s="18"/>
      <c r="M130" s="18"/>
      <c r="N130" s="18"/>
      <c r="O130" s="18"/>
      <c r="P130" s="2">
        <v>8840</v>
      </c>
      <c r="Q130" s="18"/>
    </row>
    <row r="131" spans="1:17" x14ac:dyDescent="0.25">
      <c r="A131" s="18">
        <v>3</v>
      </c>
      <c r="B131" s="19">
        <v>46245</v>
      </c>
      <c r="C131" s="18" t="s">
        <v>559</v>
      </c>
      <c r="D131" s="2" t="s">
        <v>208</v>
      </c>
      <c r="E131" s="2" t="s">
        <v>87</v>
      </c>
      <c r="F131" s="2" t="s">
        <v>213</v>
      </c>
      <c r="G131" s="2" t="s">
        <v>214</v>
      </c>
      <c r="H131" s="2">
        <v>9411611874</v>
      </c>
      <c r="I131" s="2">
        <v>520</v>
      </c>
      <c r="J131" s="18"/>
      <c r="K131" s="18"/>
      <c r="L131" s="18"/>
      <c r="M131" s="18"/>
      <c r="N131" s="18"/>
      <c r="O131" s="18"/>
      <c r="P131" s="2">
        <v>8840</v>
      </c>
      <c r="Q131" s="18"/>
    </row>
    <row r="132" spans="1:17" x14ac:dyDescent="0.25">
      <c r="A132" s="18">
        <v>4</v>
      </c>
      <c r="B132" s="19">
        <v>46245</v>
      </c>
      <c r="C132" s="18" t="s">
        <v>559</v>
      </c>
      <c r="D132" s="2" t="s">
        <v>246</v>
      </c>
      <c r="E132" s="2" t="s">
        <v>105</v>
      </c>
      <c r="F132" s="2" t="s">
        <v>247</v>
      </c>
      <c r="G132" s="2" t="s">
        <v>248</v>
      </c>
      <c r="H132" s="2">
        <v>8449502430</v>
      </c>
      <c r="I132" s="2">
        <v>810</v>
      </c>
      <c r="J132" s="18"/>
      <c r="K132" s="18"/>
      <c r="L132" s="18"/>
      <c r="M132" s="18"/>
      <c r="N132" s="18"/>
      <c r="O132" s="18"/>
      <c r="P132" s="2">
        <v>21060</v>
      </c>
      <c r="Q132" s="18"/>
    </row>
    <row r="133" spans="1:17" x14ac:dyDescent="0.25">
      <c r="A133" s="18">
        <v>5</v>
      </c>
      <c r="B133" s="19">
        <v>46245</v>
      </c>
      <c r="C133" s="18" t="s">
        <v>559</v>
      </c>
      <c r="D133" s="2" t="s">
        <v>249</v>
      </c>
      <c r="E133" s="2" t="s">
        <v>106</v>
      </c>
      <c r="F133" s="2" t="s">
        <v>250</v>
      </c>
      <c r="G133" s="2" t="s">
        <v>251</v>
      </c>
      <c r="H133" s="2">
        <v>6399307883</v>
      </c>
      <c r="I133" s="2">
        <v>830</v>
      </c>
      <c r="J133" s="18"/>
      <c r="K133" s="18"/>
      <c r="L133" s="18"/>
      <c r="M133" s="18"/>
      <c r="N133" s="18"/>
      <c r="O133" s="18"/>
      <c r="P133" s="2">
        <v>28220</v>
      </c>
      <c r="Q133" s="18"/>
    </row>
    <row r="134" spans="1:17" x14ac:dyDescent="0.25">
      <c r="A134" s="18">
        <v>6</v>
      </c>
      <c r="B134" s="19">
        <v>46245</v>
      </c>
      <c r="C134" s="18" t="s">
        <v>559</v>
      </c>
      <c r="D134" s="2" t="s">
        <v>252</v>
      </c>
      <c r="E134" s="2" t="s">
        <v>108</v>
      </c>
      <c r="F134" s="2" t="s">
        <v>253</v>
      </c>
      <c r="G134" s="2" t="s">
        <v>254</v>
      </c>
      <c r="H134" s="2">
        <v>6398570844</v>
      </c>
      <c r="I134" s="2">
        <v>810</v>
      </c>
      <c r="J134" s="18"/>
      <c r="K134" s="18"/>
      <c r="L134" s="18"/>
      <c r="M134" s="18"/>
      <c r="N134" s="18"/>
      <c r="O134" s="18"/>
      <c r="P134" s="2">
        <v>21060</v>
      </c>
      <c r="Q134" s="18"/>
    </row>
    <row r="135" spans="1:17" x14ac:dyDescent="0.25">
      <c r="A135" s="18">
        <v>7</v>
      </c>
      <c r="B135" s="19">
        <v>46245</v>
      </c>
      <c r="C135" s="18" t="s">
        <v>559</v>
      </c>
      <c r="D135" s="2" t="s">
        <v>255</v>
      </c>
      <c r="E135" s="2" t="s">
        <v>109</v>
      </c>
      <c r="F135" s="2" t="s">
        <v>256</v>
      </c>
      <c r="G135" s="2" t="s">
        <v>257</v>
      </c>
      <c r="H135" s="2">
        <v>6397696274</v>
      </c>
      <c r="I135" s="2">
        <v>830</v>
      </c>
      <c r="J135" s="18"/>
      <c r="K135" s="18"/>
      <c r="L135" s="18"/>
      <c r="M135" s="18"/>
      <c r="N135" s="18"/>
      <c r="O135" s="18"/>
      <c r="P135" s="2">
        <v>28220</v>
      </c>
      <c r="Q135" s="18"/>
    </row>
    <row r="136" spans="1:17" x14ac:dyDescent="0.25">
      <c r="A136" s="18">
        <v>8</v>
      </c>
      <c r="B136" s="19">
        <v>46245</v>
      </c>
      <c r="C136" s="18" t="s">
        <v>559</v>
      </c>
      <c r="D136" s="2" t="s">
        <v>255</v>
      </c>
      <c r="E136" s="2" t="s">
        <v>110</v>
      </c>
      <c r="F136" s="2" t="s">
        <v>121</v>
      </c>
      <c r="G136" s="2" t="s">
        <v>158</v>
      </c>
      <c r="H136" s="2">
        <v>9259098745</v>
      </c>
      <c r="I136" s="2">
        <v>830</v>
      </c>
      <c r="J136" s="18"/>
      <c r="K136" s="18"/>
      <c r="L136" s="18"/>
      <c r="M136" s="18"/>
      <c r="N136" s="18"/>
      <c r="O136" s="18"/>
      <c r="P136" s="2">
        <v>28220</v>
      </c>
      <c r="Q136" s="18"/>
    </row>
    <row r="137" spans="1:17" x14ac:dyDescent="0.25">
      <c r="A137" s="18">
        <v>9</v>
      </c>
      <c r="B137" s="19">
        <v>46245</v>
      </c>
      <c r="C137" s="18" t="s">
        <v>559</v>
      </c>
      <c r="D137" s="2" t="s">
        <v>258</v>
      </c>
      <c r="E137" s="2" t="s">
        <v>111</v>
      </c>
      <c r="F137" s="2" t="s">
        <v>140</v>
      </c>
      <c r="G137" s="2" t="s">
        <v>259</v>
      </c>
      <c r="H137" s="2">
        <v>7351116895</v>
      </c>
      <c r="I137" s="2">
        <v>830</v>
      </c>
      <c r="J137" s="18"/>
      <c r="K137" s="18"/>
      <c r="L137" s="18"/>
      <c r="M137" s="18"/>
      <c r="N137" s="18"/>
      <c r="O137" s="18"/>
      <c r="P137" s="2">
        <v>28220</v>
      </c>
      <c r="Q137" s="18"/>
    </row>
    <row r="138" spans="1:17" x14ac:dyDescent="0.25">
      <c r="A138" s="18">
        <v>10</v>
      </c>
      <c r="B138" s="19">
        <v>46245</v>
      </c>
      <c r="C138" s="18" t="s">
        <v>559</v>
      </c>
      <c r="D138" s="2" t="s">
        <v>258</v>
      </c>
      <c r="E138" s="2" t="s">
        <v>112</v>
      </c>
      <c r="F138" s="2" t="s">
        <v>64</v>
      </c>
      <c r="G138" s="2" t="s">
        <v>52</v>
      </c>
      <c r="H138" s="2">
        <v>8630866401</v>
      </c>
      <c r="I138" s="2">
        <v>830</v>
      </c>
      <c r="J138" s="18"/>
      <c r="K138" s="18"/>
      <c r="L138" s="18"/>
      <c r="M138" s="18"/>
      <c r="N138" s="18"/>
      <c r="O138" s="18"/>
      <c r="P138" s="2">
        <v>28220</v>
      </c>
      <c r="Q138" s="18"/>
    </row>
    <row r="139" spans="1:17" x14ac:dyDescent="0.25">
      <c r="A139" s="18">
        <v>11</v>
      </c>
      <c r="B139" s="19">
        <v>46245</v>
      </c>
      <c r="C139" s="18" t="s">
        <v>559</v>
      </c>
      <c r="D139" s="2" t="s">
        <v>258</v>
      </c>
      <c r="E139" s="2" t="s">
        <v>116</v>
      </c>
      <c r="F139" s="2" t="s">
        <v>231</v>
      </c>
      <c r="G139" s="2" t="s">
        <v>262</v>
      </c>
      <c r="H139" s="2">
        <v>9548706978</v>
      </c>
      <c r="I139" s="2">
        <v>830</v>
      </c>
      <c r="J139" s="18"/>
      <c r="K139" s="18"/>
      <c r="L139" s="18"/>
      <c r="M139" s="18"/>
      <c r="N139" s="18"/>
      <c r="O139" s="18"/>
      <c r="P139" s="2">
        <v>28220</v>
      </c>
      <c r="Q139" s="18"/>
    </row>
    <row r="140" spans="1:17" x14ac:dyDescent="0.25">
      <c r="A140" s="18">
        <v>12</v>
      </c>
      <c r="B140" s="19">
        <v>46245</v>
      </c>
      <c r="C140" s="18" t="s">
        <v>559</v>
      </c>
      <c r="D140" s="2" t="s">
        <v>258</v>
      </c>
      <c r="E140" s="2" t="s">
        <v>119</v>
      </c>
      <c r="F140" s="2" t="s">
        <v>263</v>
      </c>
      <c r="G140" s="2" t="s">
        <v>264</v>
      </c>
      <c r="H140" s="2">
        <v>9756745048</v>
      </c>
      <c r="I140" s="2">
        <v>830</v>
      </c>
      <c r="J140" s="18"/>
      <c r="K140" s="18"/>
      <c r="L140" s="18"/>
      <c r="M140" s="18"/>
      <c r="N140" s="18"/>
      <c r="O140" s="18"/>
      <c r="P140" s="2">
        <v>28220</v>
      </c>
      <c r="Q140" s="18"/>
    </row>
    <row r="141" spans="1:17" x14ac:dyDescent="0.25">
      <c r="A141" s="18">
        <v>13</v>
      </c>
      <c r="B141" s="19">
        <v>46245</v>
      </c>
      <c r="C141" s="18" t="s">
        <v>559</v>
      </c>
      <c r="D141" s="2" t="s">
        <v>203</v>
      </c>
      <c r="E141" s="2" t="s">
        <v>128</v>
      </c>
      <c r="F141" s="2" t="s">
        <v>278</v>
      </c>
      <c r="G141" s="2" t="s">
        <v>279</v>
      </c>
      <c r="H141" s="2">
        <v>9639877836</v>
      </c>
      <c r="I141" s="2">
        <v>520</v>
      </c>
      <c r="J141" s="18"/>
      <c r="K141" s="18"/>
      <c r="L141" s="18"/>
      <c r="M141" s="18"/>
      <c r="N141" s="18"/>
      <c r="O141" s="18"/>
      <c r="P141" s="2">
        <v>9880</v>
      </c>
      <c r="Q141" s="18"/>
    </row>
    <row r="142" spans="1:17" x14ac:dyDescent="0.25">
      <c r="A142" s="18">
        <v>14</v>
      </c>
      <c r="B142" s="19">
        <v>46245</v>
      </c>
      <c r="C142" s="18" t="s">
        <v>559</v>
      </c>
      <c r="D142" s="2" t="s">
        <v>314</v>
      </c>
      <c r="E142" s="2" t="s">
        <v>147</v>
      </c>
      <c r="F142" s="2" t="s">
        <v>315</v>
      </c>
      <c r="G142" s="2" t="s">
        <v>316</v>
      </c>
      <c r="H142" s="2">
        <v>9084970587</v>
      </c>
      <c r="I142" s="2">
        <v>830</v>
      </c>
      <c r="J142" s="18"/>
      <c r="K142" s="18"/>
      <c r="L142" s="18"/>
      <c r="M142" s="18"/>
      <c r="N142" s="18"/>
      <c r="O142" s="18"/>
      <c r="P142" s="2">
        <v>30710</v>
      </c>
      <c r="Q142" s="18"/>
    </row>
    <row r="143" spans="1:17" x14ac:dyDescent="0.25">
      <c r="A143" s="18">
        <v>15</v>
      </c>
      <c r="B143" s="19">
        <v>46245</v>
      </c>
      <c r="C143" s="18" t="s">
        <v>559</v>
      </c>
      <c r="D143" s="2" t="s">
        <v>317</v>
      </c>
      <c r="E143" s="2" t="s">
        <v>148</v>
      </c>
      <c r="F143" s="2" t="s">
        <v>318</v>
      </c>
      <c r="G143" s="2" t="s">
        <v>319</v>
      </c>
      <c r="H143" s="2">
        <v>7906313862</v>
      </c>
      <c r="I143" s="2">
        <v>810</v>
      </c>
      <c r="J143" s="18"/>
      <c r="K143" s="18"/>
      <c r="L143" s="18"/>
      <c r="M143" s="18"/>
      <c r="N143" s="18"/>
      <c r="O143" s="18"/>
      <c r="P143" s="2">
        <v>24300</v>
      </c>
      <c r="Q143" s="18"/>
    </row>
    <row r="144" spans="1:17" x14ac:dyDescent="0.25">
      <c r="A144" s="18">
        <v>16</v>
      </c>
      <c r="B144" s="19">
        <v>46245</v>
      </c>
      <c r="C144" s="18" t="s">
        <v>559</v>
      </c>
      <c r="D144" s="2" t="s">
        <v>317</v>
      </c>
      <c r="E144" s="2" t="s">
        <v>149</v>
      </c>
      <c r="F144" s="2" t="s">
        <v>320</v>
      </c>
      <c r="G144" s="2" t="s">
        <v>321</v>
      </c>
      <c r="H144" s="2">
        <v>7078235901</v>
      </c>
      <c r="I144" s="2">
        <v>810</v>
      </c>
      <c r="J144" s="18"/>
      <c r="K144" s="18"/>
      <c r="L144" s="18"/>
      <c r="M144" s="18"/>
      <c r="N144" s="18"/>
      <c r="O144" s="18"/>
      <c r="P144" s="2">
        <v>24300</v>
      </c>
      <c r="Q144" s="18"/>
    </row>
    <row r="145" spans="1:17" x14ac:dyDescent="0.25">
      <c r="A145" s="18">
        <v>17</v>
      </c>
      <c r="B145" s="19">
        <v>46245</v>
      </c>
      <c r="C145" s="18" t="s">
        <v>559</v>
      </c>
      <c r="D145" s="2" t="s">
        <v>317</v>
      </c>
      <c r="E145" s="2" t="s">
        <v>152</v>
      </c>
      <c r="F145" s="2" t="s">
        <v>78</v>
      </c>
      <c r="G145" s="2" t="s">
        <v>327</v>
      </c>
      <c r="H145" s="2">
        <v>9917069331</v>
      </c>
      <c r="I145" s="2">
        <v>810</v>
      </c>
      <c r="J145" s="18"/>
      <c r="K145" s="18"/>
      <c r="L145" s="18"/>
      <c r="M145" s="18"/>
      <c r="N145" s="18"/>
      <c r="O145" s="18"/>
      <c r="P145" s="2">
        <v>24300</v>
      </c>
      <c r="Q145" s="18"/>
    </row>
    <row r="146" spans="1:17" x14ac:dyDescent="0.25">
      <c r="A146" s="18">
        <v>18</v>
      </c>
      <c r="B146" s="19">
        <v>46245</v>
      </c>
      <c r="C146" s="18" t="s">
        <v>559</v>
      </c>
      <c r="D146" s="2" t="s">
        <v>255</v>
      </c>
      <c r="E146" s="2" t="s">
        <v>330</v>
      </c>
      <c r="F146" s="2" t="s">
        <v>174</v>
      </c>
      <c r="G146" s="2" t="s">
        <v>331</v>
      </c>
      <c r="H146" s="2">
        <v>7252872854</v>
      </c>
      <c r="I146" s="2">
        <v>830</v>
      </c>
      <c r="J146" s="18"/>
      <c r="K146" s="18"/>
      <c r="L146" s="18"/>
      <c r="M146" s="18"/>
      <c r="N146" s="18"/>
      <c r="O146" s="18"/>
      <c r="P146" s="2">
        <v>31540</v>
      </c>
      <c r="Q146" s="18"/>
    </row>
    <row r="147" spans="1:17" x14ac:dyDescent="0.25">
      <c r="A147" s="18">
        <v>19</v>
      </c>
      <c r="B147" s="19">
        <v>46245</v>
      </c>
      <c r="C147" s="18" t="s">
        <v>559</v>
      </c>
      <c r="D147" s="2" t="s">
        <v>339</v>
      </c>
      <c r="E147" s="2" t="s">
        <v>340</v>
      </c>
      <c r="F147" s="2" t="s">
        <v>341</v>
      </c>
      <c r="G147" s="2" t="s">
        <v>342</v>
      </c>
      <c r="H147" s="2">
        <v>8923910262</v>
      </c>
      <c r="I147" s="2">
        <v>810</v>
      </c>
      <c r="J147" s="18"/>
      <c r="K147" s="18"/>
      <c r="L147" s="18"/>
      <c r="M147" s="18"/>
      <c r="N147" s="18"/>
      <c r="O147" s="18"/>
      <c r="P147" s="2">
        <v>24300</v>
      </c>
      <c r="Q147" s="18"/>
    </row>
    <row r="148" spans="1:17" x14ac:dyDescent="0.25">
      <c r="A148" s="18">
        <v>20</v>
      </c>
      <c r="B148" s="19">
        <v>46245</v>
      </c>
      <c r="C148" s="18" t="s">
        <v>559</v>
      </c>
      <c r="D148" s="2" t="s">
        <v>255</v>
      </c>
      <c r="E148" s="2" t="s">
        <v>367</v>
      </c>
      <c r="F148" s="2" t="s">
        <v>92</v>
      </c>
      <c r="G148" s="2" t="s">
        <v>368</v>
      </c>
      <c r="H148" s="2">
        <v>9897022238</v>
      </c>
      <c r="I148" s="2">
        <v>830</v>
      </c>
      <c r="J148" s="18"/>
      <c r="K148" s="18"/>
      <c r="L148" s="18"/>
      <c r="M148" s="18"/>
      <c r="N148" s="18"/>
      <c r="O148" s="18"/>
      <c r="P148" s="2">
        <v>33200</v>
      </c>
      <c r="Q148" s="18"/>
    </row>
    <row r="149" spans="1:17" x14ac:dyDescent="0.25">
      <c r="A149" s="18">
        <v>21</v>
      </c>
      <c r="B149" s="19">
        <v>46245</v>
      </c>
      <c r="C149" s="18" t="s">
        <v>559</v>
      </c>
      <c r="D149" s="2" t="s">
        <v>255</v>
      </c>
      <c r="E149" s="2" t="s">
        <v>369</v>
      </c>
      <c r="F149" s="2" t="s">
        <v>370</v>
      </c>
      <c r="G149" s="2" t="s">
        <v>371</v>
      </c>
      <c r="H149" s="2">
        <v>8791791725</v>
      </c>
      <c r="I149" s="2">
        <v>730</v>
      </c>
      <c r="J149" s="18"/>
      <c r="K149" s="18"/>
      <c r="L149" s="18"/>
      <c r="M149" s="18"/>
      <c r="N149" s="18"/>
      <c r="O149" s="18"/>
      <c r="P149" s="2">
        <v>18980</v>
      </c>
      <c r="Q149" s="18"/>
    </row>
    <row r="150" spans="1:17" x14ac:dyDescent="0.25">
      <c r="A150" s="18">
        <v>22</v>
      </c>
      <c r="B150" s="19">
        <v>46245</v>
      </c>
      <c r="C150" s="18" t="s">
        <v>559</v>
      </c>
      <c r="D150" s="2" t="s">
        <v>317</v>
      </c>
      <c r="E150" s="2" t="s">
        <v>372</v>
      </c>
      <c r="F150" s="2" t="s">
        <v>114</v>
      </c>
      <c r="G150" s="2" t="s">
        <v>310</v>
      </c>
      <c r="H150" s="2">
        <v>9259698473</v>
      </c>
      <c r="I150" s="2">
        <v>520</v>
      </c>
      <c r="J150" s="18"/>
      <c r="K150" s="18"/>
      <c r="L150" s="18"/>
      <c r="M150" s="18"/>
      <c r="N150" s="18"/>
      <c r="O150" s="18"/>
      <c r="P150" s="2">
        <v>12480</v>
      </c>
      <c r="Q150" s="18"/>
    </row>
    <row r="151" spans="1:17" x14ac:dyDescent="0.25">
      <c r="A151" s="18">
        <v>23</v>
      </c>
      <c r="B151" s="19">
        <v>46245</v>
      </c>
      <c r="C151" s="18" t="s">
        <v>559</v>
      </c>
      <c r="D151" s="2" t="s">
        <v>373</v>
      </c>
      <c r="E151" s="2" t="s">
        <v>374</v>
      </c>
      <c r="F151" s="2" t="s">
        <v>375</v>
      </c>
      <c r="G151" s="2" t="s">
        <v>376</v>
      </c>
      <c r="H151" s="2">
        <v>7351720450</v>
      </c>
      <c r="I151" s="2">
        <v>830</v>
      </c>
      <c r="J151" s="18"/>
      <c r="K151" s="18"/>
      <c r="L151" s="18"/>
      <c r="M151" s="18"/>
      <c r="N151" s="18"/>
      <c r="O151" s="18"/>
      <c r="P151" s="2">
        <v>33200</v>
      </c>
      <c r="Q151" s="18"/>
    </row>
    <row r="152" spans="1:17" x14ac:dyDescent="0.25">
      <c r="A152" s="18">
        <v>24</v>
      </c>
      <c r="B152" s="19">
        <v>46245</v>
      </c>
      <c r="C152" s="18" t="s">
        <v>559</v>
      </c>
      <c r="D152" s="2" t="s">
        <v>255</v>
      </c>
      <c r="E152" s="2" t="s">
        <v>425</v>
      </c>
      <c r="F152" s="2" t="s">
        <v>59</v>
      </c>
      <c r="G152" s="2" t="s">
        <v>426</v>
      </c>
      <c r="H152" s="10">
        <v>8895953996</v>
      </c>
      <c r="I152" s="2">
        <v>810</v>
      </c>
      <c r="J152" s="18"/>
      <c r="K152" s="18"/>
      <c r="L152" s="18"/>
      <c r="M152" s="18"/>
      <c r="N152" s="18"/>
      <c r="O152" s="18"/>
      <c r="P152" s="2">
        <v>27540</v>
      </c>
      <c r="Q152" s="18"/>
    </row>
    <row r="153" spans="1:17" x14ac:dyDescent="0.25">
      <c r="A153" s="18">
        <v>25</v>
      </c>
      <c r="B153" s="19">
        <v>46245</v>
      </c>
      <c r="C153" s="18" t="s">
        <v>559</v>
      </c>
      <c r="D153" s="2" t="s">
        <v>255</v>
      </c>
      <c r="E153" s="2" t="s">
        <v>427</v>
      </c>
      <c r="F153" s="2" t="s">
        <v>83</v>
      </c>
      <c r="G153" s="2" t="s">
        <v>281</v>
      </c>
      <c r="H153" s="10">
        <v>8077494762</v>
      </c>
      <c r="I153" s="2">
        <v>810</v>
      </c>
      <c r="J153" s="18"/>
      <c r="K153" s="18"/>
      <c r="L153" s="18"/>
      <c r="M153" s="18"/>
      <c r="N153" s="18"/>
      <c r="O153" s="18"/>
      <c r="P153" s="2">
        <v>27540</v>
      </c>
      <c r="Q153" s="18"/>
    </row>
    <row r="154" spans="1:17" x14ac:dyDescent="0.25">
      <c r="A154" s="18">
        <v>26</v>
      </c>
      <c r="B154" s="19">
        <v>46245</v>
      </c>
      <c r="C154" s="18" t="s">
        <v>559</v>
      </c>
      <c r="D154" s="2" t="s">
        <v>193</v>
      </c>
      <c r="E154" s="2" t="s">
        <v>431</v>
      </c>
      <c r="F154" s="2" t="s">
        <v>446</v>
      </c>
      <c r="G154" s="2" t="s">
        <v>454</v>
      </c>
      <c r="H154" s="10">
        <v>7037377719</v>
      </c>
      <c r="I154" s="2">
        <v>810</v>
      </c>
      <c r="J154" s="18"/>
      <c r="K154" s="18"/>
      <c r="L154" s="18"/>
      <c r="M154" s="18"/>
      <c r="N154" s="18"/>
      <c r="O154" s="18"/>
      <c r="P154" s="2">
        <v>28350</v>
      </c>
      <c r="Q154" s="18"/>
    </row>
    <row r="155" spans="1:17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x14ac:dyDescent="0.25">
      <c r="A156" s="18"/>
      <c r="B156" s="18"/>
      <c r="C156" s="18"/>
      <c r="D156" s="18"/>
      <c r="E156" s="18"/>
      <c r="F156" s="18"/>
      <c r="G156" s="18"/>
      <c r="H156" s="18"/>
      <c r="I156" s="18">
        <f>SUM(I129:I155)</f>
        <v>20040</v>
      </c>
      <c r="J156" s="18"/>
      <c r="K156" s="18"/>
      <c r="L156" s="18"/>
      <c r="M156" s="18"/>
      <c r="N156" s="18"/>
      <c r="O156" s="18"/>
      <c r="P156" s="18">
        <f>SUM(P129:P155)</f>
        <v>626590</v>
      </c>
      <c r="Q156" s="18"/>
    </row>
    <row r="159" spans="1:17" ht="23.25" x14ac:dyDescent="0.25">
      <c r="A159" s="64" t="s">
        <v>540</v>
      </c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</row>
    <row r="160" spans="1:17" ht="60" x14ac:dyDescent="0.25">
      <c r="A160" s="12" t="s">
        <v>462</v>
      </c>
      <c r="B160" s="12" t="s">
        <v>463</v>
      </c>
      <c r="C160" s="12" t="s">
        <v>464</v>
      </c>
      <c r="D160" s="12" t="s">
        <v>466</v>
      </c>
      <c r="E160" s="12" t="s">
        <v>465</v>
      </c>
      <c r="F160" s="12" t="s">
        <v>467</v>
      </c>
      <c r="G160" s="12" t="s">
        <v>468</v>
      </c>
      <c r="H160" s="12" t="s">
        <v>469</v>
      </c>
      <c r="I160" s="12" t="s">
        <v>470</v>
      </c>
      <c r="J160" s="12" t="s">
        <v>471</v>
      </c>
      <c r="K160" s="12" t="s">
        <v>472</v>
      </c>
      <c r="L160" s="12" t="s">
        <v>473</v>
      </c>
      <c r="M160" s="12" t="s">
        <v>474</v>
      </c>
      <c r="N160" s="12"/>
      <c r="O160" s="12" t="s">
        <v>475</v>
      </c>
      <c r="P160" s="13" t="s">
        <v>476</v>
      </c>
      <c r="Q160" s="13" t="s">
        <v>477</v>
      </c>
    </row>
    <row r="161" spans="1:17" x14ac:dyDescent="0.25">
      <c r="A161" s="18">
        <v>1</v>
      </c>
      <c r="B161" s="19">
        <v>46246</v>
      </c>
      <c r="C161" s="18" t="s">
        <v>160</v>
      </c>
      <c r="D161" s="2" t="s">
        <v>161</v>
      </c>
      <c r="E161" s="2" t="s">
        <v>48</v>
      </c>
      <c r="F161" s="2" t="s">
        <v>162</v>
      </c>
      <c r="G161" s="2" t="s">
        <v>163</v>
      </c>
      <c r="H161" s="2">
        <v>9760974967</v>
      </c>
      <c r="I161" s="2">
        <v>810</v>
      </c>
      <c r="J161" s="18"/>
      <c r="K161" s="18"/>
      <c r="L161" s="18"/>
      <c r="M161" s="18"/>
      <c r="N161" s="18"/>
      <c r="O161" s="18"/>
      <c r="P161" s="2">
        <v>17820</v>
      </c>
      <c r="Q161" s="18"/>
    </row>
    <row r="162" spans="1:17" x14ac:dyDescent="0.25">
      <c r="A162" s="18">
        <v>2</v>
      </c>
      <c r="B162" s="19">
        <v>46246</v>
      </c>
      <c r="C162" s="18" t="s">
        <v>160</v>
      </c>
      <c r="D162" s="2" t="s">
        <v>156</v>
      </c>
      <c r="E162" s="2" t="s">
        <v>51</v>
      </c>
      <c r="F162" s="2" t="s">
        <v>164</v>
      </c>
      <c r="G162" s="2" t="s">
        <v>165</v>
      </c>
      <c r="H162" s="2">
        <v>8791291989</v>
      </c>
      <c r="I162" s="2">
        <v>520</v>
      </c>
      <c r="J162" s="18"/>
      <c r="K162" s="18"/>
      <c r="L162" s="18"/>
      <c r="M162" s="18"/>
      <c r="N162" s="18"/>
      <c r="O162" s="18"/>
      <c r="P162" s="2">
        <v>7800</v>
      </c>
      <c r="Q162" s="18"/>
    </row>
    <row r="163" spans="1:17" x14ac:dyDescent="0.25">
      <c r="A163" s="18">
        <v>3</v>
      </c>
      <c r="B163" s="19">
        <v>46246</v>
      </c>
      <c r="C163" s="18" t="s">
        <v>160</v>
      </c>
      <c r="D163" s="2" t="s">
        <v>221</v>
      </c>
      <c r="E163" s="2" t="s">
        <v>90</v>
      </c>
      <c r="F163" s="2" t="s">
        <v>222</v>
      </c>
      <c r="G163" s="2" t="s">
        <v>223</v>
      </c>
      <c r="H163" s="2">
        <v>9457303017</v>
      </c>
      <c r="I163" s="2">
        <v>520</v>
      </c>
      <c r="J163" s="18"/>
      <c r="K163" s="18"/>
      <c r="L163" s="18"/>
      <c r="M163" s="18"/>
      <c r="N163" s="18"/>
      <c r="O163" s="18"/>
      <c r="P163" s="2">
        <v>8840</v>
      </c>
      <c r="Q163" s="18"/>
    </row>
    <row r="164" spans="1:17" x14ac:dyDescent="0.25">
      <c r="A164" s="18">
        <v>4</v>
      </c>
      <c r="B164" s="19">
        <v>46246</v>
      </c>
      <c r="C164" s="18" t="s">
        <v>160</v>
      </c>
      <c r="D164" s="2" t="s">
        <v>260</v>
      </c>
      <c r="E164" s="2" t="s">
        <v>113</v>
      </c>
      <c r="F164" s="2" t="s">
        <v>212</v>
      </c>
      <c r="G164" s="2" t="s">
        <v>261</v>
      </c>
      <c r="H164" s="2">
        <v>8923576374</v>
      </c>
      <c r="I164" s="2">
        <v>520</v>
      </c>
      <c r="J164" s="18"/>
      <c r="K164" s="18"/>
      <c r="L164" s="18"/>
      <c r="M164" s="18"/>
      <c r="N164" s="18"/>
      <c r="O164" s="18"/>
      <c r="P164" s="2">
        <v>9360</v>
      </c>
      <c r="Q164" s="18"/>
    </row>
    <row r="165" spans="1:17" x14ac:dyDescent="0.25">
      <c r="A165" s="18">
        <v>5</v>
      </c>
      <c r="B165" s="19">
        <v>46246</v>
      </c>
      <c r="C165" s="18" t="s">
        <v>160</v>
      </c>
      <c r="D165" s="2" t="s">
        <v>233</v>
      </c>
      <c r="E165" s="2" t="s">
        <v>351</v>
      </c>
      <c r="F165" s="2" t="s">
        <v>352</v>
      </c>
      <c r="G165" s="2" t="s">
        <v>353</v>
      </c>
      <c r="H165" s="2">
        <v>8958953542</v>
      </c>
      <c r="I165" s="2">
        <v>810</v>
      </c>
      <c r="J165" s="18"/>
      <c r="K165" s="18"/>
      <c r="L165" s="18"/>
      <c r="M165" s="18"/>
      <c r="N165" s="18"/>
      <c r="O165" s="18"/>
      <c r="P165" s="2">
        <v>24300</v>
      </c>
      <c r="Q165" s="18"/>
    </row>
    <row r="166" spans="1:17" x14ac:dyDescent="0.25">
      <c r="A166" s="18">
        <v>6</v>
      </c>
      <c r="B166" s="19">
        <v>46246</v>
      </c>
      <c r="C166" s="18" t="s">
        <v>160</v>
      </c>
      <c r="D166" s="2" t="s">
        <v>381</v>
      </c>
      <c r="E166" s="2" t="s">
        <v>382</v>
      </c>
      <c r="F166" s="2" t="s">
        <v>55</v>
      </c>
      <c r="G166" s="2" t="s">
        <v>383</v>
      </c>
      <c r="H166" s="2">
        <v>7251022379</v>
      </c>
      <c r="I166" s="2">
        <v>810</v>
      </c>
      <c r="J166" s="18"/>
      <c r="K166" s="18"/>
      <c r="L166" s="18"/>
      <c r="M166" s="18"/>
      <c r="N166" s="18"/>
      <c r="O166" s="18"/>
      <c r="P166" s="2">
        <v>25920</v>
      </c>
      <c r="Q166" s="18"/>
    </row>
    <row r="167" spans="1:17" x14ac:dyDescent="0.25">
      <c r="A167" s="18">
        <v>7</v>
      </c>
      <c r="B167" s="19">
        <v>46246</v>
      </c>
      <c r="C167" s="18" t="s">
        <v>160</v>
      </c>
      <c r="D167" s="2" t="s">
        <v>388</v>
      </c>
      <c r="E167" s="2" t="s">
        <v>389</v>
      </c>
      <c r="F167" s="2" t="s">
        <v>390</v>
      </c>
      <c r="G167" s="2" t="s">
        <v>391</v>
      </c>
      <c r="H167" s="2">
        <v>8218425696</v>
      </c>
      <c r="I167" s="2">
        <v>1000</v>
      </c>
      <c r="J167" s="18"/>
      <c r="K167" s="18"/>
      <c r="L167" s="18"/>
      <c r="M167" s="18"/>
      <c r="N167" s="18"/>
      <c r="O167" s="18"/>
      <c r="P167" s="2">
        <v>37000</v>
      </c>
      <c r="Q167" s="18"/>
    </row>
    <row r="168" spans="1:17" x14ac:dyDescent="0.25">
      <c r="A168" s="18">
        <v>8</v>
      </c>
      <c r="B168" s="19">
        <v>46246</v>
      </c>
      <c r="C168" s="18" t="s">
        <v>160</v>
      </c>
      <c r="D168" s="2" t="s">
        <v>381</v>
      </c>
      <c r="E168" s="2" t="s">
        <v>395</v>
      </c>
      <c r="F168" s="2" t="s">
        <v>390</v>
      </c>
      <c r="G168" s="2" t="s">
        <v>396</v>
      </c>
      <c r="H168" s="2">
        <v>9084978593</v>
      </c>
      <c r="I168" s="2">
        <v>810</v>
      </c>
      <c r="J168" s="18"/>
      <c r="K168" s="18"/>
      <c r="L168" s="18"/>
      <c r="M168" s="18"/>
      <c r="N168" s="18"/>
      <c r="O168" s="18"/>
      <c r="P168" s="2">
        <v>25920</v>
      </c>
      <c r="Q168" s="18"/>
    </row>
    <row r="169" spans="1:17" x14ac:dyDescent="0.25">
      <c r="A169" s="18">
        <v>9</v>
      </c>
      <c r="B169" s="19">
        <v>46246</v>
      </c>
      <c r="C169" s="18" t="s">
        <v>160</v>
      </c>
      <c r="D169" s="2" t="s">
        <v>442</v>
      </c>
      <c r="E169" s="2" t="s">
        <v>432</v>
      </c>
      <c r="F169" s="2" t="s">
        <v>447</v>
      </c>
      <c r="G169" s="2" t="s">
        <v>455</v>
      </c>
      <c r="H169" s="10">
        <v>9997785709</v>
      </c>
      <c r="I169" s="2">
        <v>730</v>
      </c>
      <c r="J169" s="18"/>
      <c r="K169" s="18"/>
      <c r="L169" s="18"/>
      <c r="M169" s="18"/>
      <c r="N169" s="18"/>
      <c r="O169" s="18"/>
      <c r="P169" s="2">
        <v>20440</v>
      </c>
      <c r="Q169" s="18"/>
    </row>
    <row r="170" spans="1:17" x14ac:dyDescent="0.25">
      <c r="A170" s="18">
        <v>10</v>
      </c>
      <c r="B170" s="19">
        <v>46246</v>
      </c>
      <c r="C170" s="18" t="s">
        <v>160</v>
      </c>
      <c r="D170" s="2" t="s">
        <v>443</v>
      </c>
      <c r="E170" s="2" t="s">
        <v>433</v>
      </c>
      <c r="F170" s="2" t="s">
        <v>448</v>
      </c>
      <c r="G170" s="2" t="s">
        <v>456</v>
      </c>
      <c r="H170" s="10">
        <v>7037562641</v>
      </c>
      <c r="I170" s="2">
        <v>520</v>
      </c>
      <c r="J170" s="18"/>
      <c r="K170" s="18"/>
      <c r="L170" s="18"/>
      <c r="M170" s="18"/>
      <c r="N170" s="18"/>
      <c r="O170" s="18"/>
      <c r="P170" s="2">
        <v>13520</v>
      </c>
      <c r="Q170" s="18"/>
    </row>
    <row r="171" spans="1:17" x14ac:dyDescent="0.25">
      <c r="A171" s="18">
        <v>11</v>
      </c>
      <c r="B171" s="19">
        <v>46246</v>
      </c>
      <c r="C171" s="18" t="s">
        <v>160</v>
      </c>
      <c r="D171" s="2" t="s">
        <v>203</v>
      </c>
      <c r="E171" s="2" t="s">
        <v>439</v>
      </c>
      <c r="F171" s="2" t="s">
        <v>453</v>
      </c>
      <c r="G171" s="2" t="s">
        <v>459</v>
      </c>
      <c r="H171" s="10">
        <v>7457097029</v>
      </c>
      <c r="I171" s="2">
        <v>520</v>
      </c>
      <c r="J171" s="18"/>
      <c r="K171" s="18"/>
      <c r="L171" s="18"/>
      <c r="M171" s="18"/>
      <c r="N171" s="18"/>
      <c r="O171" s="18"/>
      <c r="P171" s="2">
        <v>14560</v>
      </c>
      <c r="Q171" s="18"/>
    </row>
    <row r="172" spans="1:17" x14ac:dyDescent="0.25">
      <c r="A172" s="18">
        <v>12</v>
      </c>
      <c r="B172" s="19">
        <v>46246</v>
      </c>
      <c r="C172" s="18" t="s">
        <v>160</v>
      </c>
      <c r="D172" s="2" t="s">
        <v>543</v>
      </c>
      <c r="E172" s="2" t="s">
        <v>544</v>
      </c>
      <c r="F172" s="2" t="s">
        <v>547</v>
      </c>
      <c r="G172" s="2" t="s">
        <v>550</v>
      </c>
      <c r="H172" s="2">
        <v>8533034037</v>
      </c>
      <c r="I172" s="2">
        <v>810</v>
      </c>
      <c r="J172" s="18"/>
      <c r="K172" s="18"/>
      <c r="L172" s="18"/>
      <c r="M172" s="18"/>
      <c r="N172" s="18"/>
      <c r="O172" s="18"/>
      <c r="P172" s="2">
        <v>29160</v>
      </c>
      <c r="Q172" s="18"/>
    </row>
    <row r="173" spans="1:17" x14ac:dyDescent="0.25">
      <c r="A173" s="18">
        <v>13</v>
      </c>
      <c r="B173" s="19">
        <v>46246</v>
      </c>
      <c r="C173" s="18" t="s">
        <v>160</v>
      </c>
      <c r="D173" s="2" t="s">
        <v>543</v>
      </c>
      <c r="E173" s="2" t="s">
        <v>545</v>
      </c>
      <c r="F173" s="2" t="s">
        <v>548</v>
      </c>
      <c r="G173" s="2" t="s">
        <v>551</v>
      </c>
      <c r="H173" s="2">
        <v>7037011351</v>
      </c>
      <c r="I173" s="2">
        <v>810</v>
      </c>
      <c r="J173" s="18"/>
      <c r="K173" s="18"/>
      <c r="L173" s="18"/>
      <c r="M173" s="18"/>
      <c r="N173" s="18"/>
      <c r="O173" s="18"/>
      <c r="P173" s="1">
        <v>29160</v>
      </c>
      <c r="Q173" s="18"/>
    </row>
    <row r="174" spans="1:17" x14ac:dyDescent="0.25">
      <c r="A174" s="18">
        <v>14</v>
      </c>
      <c r="B174" s="19">
        <v>46246</v>
      </c>
      <c r="C174" s="18" t="s">
        <v>160</v>
      </c>
      <c r="D174" s="2" t="s">
        <v>543</v>
      </c>
      <c r="E174" s="2" t="s">
        <v>546</v>
      </c>
      <c r="F174" s="2" t="s">
        <v>549</v>
      </c>
      <c r="G174" s="2" t="s">
        <v>552</v>
      </c>
      <c r="H174" s="2">
        <v>9193134173</v>
      </c>
      <c r="I174" s="2">
        <v>730</v>
      </c>
      <c r="J174" s="18"/>
      <c r="K174" s="18"/>
      <c r="L174" s="18"/>
      <c r="M174" s="18"/>
      <c r="N174" s="18"/>
      <c r="O174" s="18"/>
      <c r="P174" s="1">
        <v>21900</v>
      </c>
      <c r="Q174" s="18"/>
    </row>
    <row r="175" spans="1:17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x14ac:dyDescent="0.25">
      <c r="A176" s="18"/>
      <c r="B176" s="18"/>
      <c r="C176" s="18"/>
      <c r="D176" s="18"/>
      <c r="E176" s="18"/>
      <c r="F176" s="18"/>
      <c r="G176" s="18"/>
      <c r="H176" s="18"/>
      <c r="I176" s="18">
        <f>SUM(I161:I175)</f>
        <v>9920</v>
      </c>
      <c r="J176" s="18"/>
      <c r="K176" s="18"/>
      <c r="L176" s="18"/>
      <c r="M176" s="18"/>
      <c r="N176" s="18"/>
      <c r="O176" s="18"/>
      <c r="P176" s="18">
        <f>SUM(P161:P175)</f>
        <v>285700</v>
      </c>
      <c r="Q176" s="18"/>
    </row>
    <row r="179" spans="1:17" ht="23.25" x14ac:dyDescent="0.25">
      <c r="A179" s="64" t="s">
        <v>541</v>
      </c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</row>
    <row r="180" spans="1:17" ht="60" x14ac:dyDescent="0.25">
      <c r="A180" s="12" t="s">
        <v>462</v>
      </c>
      <c r="B180" s="12" t="s">
        <v>463</v>
      </c>
      <c r="C180" s="12" t="s">
        <v>464</v>
      </c>
      <c r="D180" s="12" t="s">
        <v>466</v>
      </c>
      <c r="E180" s="12" t="s">
        <v>465</v>
      </c>
      <c r="F180" s="12" t="s">
        <v>467</v>
      </c>
      <c r="G180" s="12" t="s">
        <v>468</v>
      </c>
      <c r="H180" s="12" t="s">
        <v>469</v>
      </c>
      <c r="I180" s="12" t="s">
        <v>470</v>
      </c>
      <c r="J180" s="12" t="s">
        <v>471</v>
      </c>
      <c r="K180" s="12" t="s">
        <v>472</v>
      </c>
      <c r="L180" s="12" t="s">
        <v>473</v>
      </c>
      <c r="M180" s="12" t="s">
        <v>474</v>
      </c>
      <c r="N180" s="12"/>
      <c r="O180" s="12" t="s">
        <v>475</v>
      </c>
      <c r="P180" s="13" t="s">
        <v>476</v>
      </c>
      <c r="Q180" s="13" t="s">
        <v>477</v>
      </c>
    </row>
    <row r="181" spans="1:17" x14ac:dyDescent="0.25">
      <c r="A181" s="15">
        <v>1</v>
      </c>
      <c r="B181" s="16">
        <v>46247</v>
      </c>
      <c r="C181" s="15" t="s">
        <v>160</v>
      </c>
      <c r="D181" s="2" t="s">
        <v>156</v>
      </c>
      <c r="E181" s="2" t="s">
        <v>54</v>
      </c>
      <c r="F181" s="2" t="s">
        <v>167</v>
      </c>
      <c r="G181" s="2" t="s">
        <v>168</v>
      </c>
      <c r="H181" s="2">
        <v>8218027633</v>
      </c>
      <c r="I181" s="2">
        <v>810</v>
      </c>
      <c r="J181" s="15"/>
      <c r="K181" s="15"/>
      <c r="L181" s="15"/>
      <c r="M181" s="15"/>
      <c r="N181" s="15"/>
      <c r="O181" s="15"/>
      <c r="P181" s="2">
        <v>18630</v>
      </c>
      <c r="Q181" s="15"/>
    </row>
    <row r="182" spans="1:17" x14ac:dyDescent="0.25">
      <c r="A182" s="15">
        <v>2</v>
      </c>
      <c r="B182" s="16">
        <v>46247</v>
      </c>
      <c r="C182" s="15" t="s">
        <v>160</v>
      </c>
      <c r="D182" s="2" t="s">
        <v>156</v>
      </c>
      <c r="E182" s="2" t="s">
        <v>56</v>
      </c>
      <c r="F182" s="2" t="s">
        <v>169</v>
      </c>
      <c r="G182" s="2" t="s">
        <v>170</v>
      </c>
      <c r="H182" s="2">
        <v>9540525013</v>
      </c>
      <c r="I182" s="2">
        <v>810</v>
      </c>
      <c r="J182" s="15"/>
      <c r="K182" s="15"/>
      <c r="L182" s="15"/>
      <c r="M182" s="15"/>
      <c r="N182" s="15"/>
      <c r="O182" s="15"/>
      <c r="P182" s="2">
        <v>18630</v>
      </c>
      <c r="Q182" s="15"/>
    </row>
    <row r="183" spans="1:17" x14ac:dyDescent="0.25">
      <c r="A183" s="15">
        <v>3</v>
      </c>
      <c r="B183" s="16">
        <v>46247</v>
      </c>
      <c r="C183" s="15" t="s">
        <v>160</v>
      </c>
      <c r="D183" s="2" t="s">
        <v>156</v>
      </c>
      <c r="E183" s="2" t="s">
        <v>61</v>
      </c>
      <c r="F183" s="2" t="s">
        <v>176</v>
      </c>
      <c r="G183" s="2" t="s">
        <v>177</v>
      </c>
      <c r="H183" s="2">
        <v>8477037076</v>
      </c>
      <c r="I183" s="2">
        <v>810</v>
      </c>
      <c r="J183" s="15"/>
      <c r="K183" s="15"/>
      <c r="L183" s="15"/>
      <c r="M183" s="15"/>
      <c r="N183" s="15"/>
      <c r="O183" s="15"/>
      <c r="P183" s="2">
        <v>18630</v>
      </c>
      <c r="Q183" s="15"/>
    </row>
    <row r="184" spans="1:17" x14ac:dyDescent="0.25">
      <c r="A184" s="15">
        <v>4</v>
      </c>
      <c r="B184" s="16">
        <v>46247</v>
      </c>
      <c r="C184" s="15" t="s">
        <v>160</v>
      </c>
      <c r="D184" s="2" t="s">
        <v>156</v>
      </c>
      <c r="E184" s="2" t="s">
        <v>62</v>
      </c>
      <c r="F184" s="2" t="s">
        <v>178</v>
      </c>
      <c r="G184" s="2" t="s">
        <v>179</v>
      </c>
      <c r="H184" s="2">
        <v>9536012427</v>
      </c>
      <c r="I184" s="2">
        <v>810</v>
      </c>
      <c r="J184" s="15"/>
      <c r="K184" s="15"/>
      <c r="L184" s="15"/>
      <c r="M184" s="15"/>
      <c r="N184" s="15"/>
      <c r="O184" s="15"/>
      <c r="P184" s="2">
        <v>19440</v>
      </c>
      <c r="Q184" s="15"/>
    </row>
    <row r="185" spans="1:17" x14ac:dyDescent="0.25">
      <c r="A185" s="15">
        <v>5</v>
      </c>
      <c r="B185" s="16">
        <v>46247</v>
      </c>
      <c r="C185" s="15" t="s">
        <v>160</v>
      </c>
      <c r="D185" s="2" t="s">
        <v>180</v>
      </c>
      <c r="E185" s="2" t="s">
        <v>63</v>
      </c>
      <c r="F185" s="2" t="s">
        <v>181</v>
      </c>
      <c r="G185" s="2" t="s">
        <v>182</v>
      </c>
      <c r="H185" s="2">
        <v>7533889263</v>
      </c>
      <c r="I185" s="2">
        <v>730</v>
      </c>
      <c r="J185" s="15"/>
      <c r="K185" s="15"/>
      <c r="L185" s="15"/>
      <c r="M185" s="15"/>
      <c r="N185" s="15"/>
      <c r="O185" s="15"/>
      <c r="P185" s="2">
        <v>13140</v>
      </c>
      <c r="Q185" s="15"/>
    </row>
    <row r="186" spans="1:17" x14ac:dyDescent="0.25">
      <c r="A186" s="15">
        <v>6</v>
      </c>
      <c r="B186" s="16">
        <v>46247</v>
      </c>
      <c r="C186" s="15" t="s">
        <v>160</v>
      </c>
      <c r="D186" s="2" t="s">
        <v>180</v>
      </c>
      <c r="E186" s="2" t="s">
        <v>69</v>
      </c>
      <c r="F186" s="2" t="s">
        <v>188</v>
      </c>
      <c r="G186" s="2" t="s">
        <v>189</v>
      </c>
      <c r="H186" s="2">
        <v>8126425940</v>
      </c>
      <c r="I186" s="2">
        <v>830</v>
      </c>
      <c r="J186" s="15"/>
      <c r="K186" s="15"/>
      <c r="L186" s="15"/>
      <c r="M186" s="15"/>
      <c r="N186" s="15"/>
      <c r="O186" s="15"/>
      <c r="P186" s="2">
        <v>26560</v>
      </c>
      <c r="Q186" s="15"/>
    </row>
    <row r="187" spans="1:17" x14ac:dyDescent="0.25">
      <c r="A187" s="15">
        <v>7</v>
      </c>
      <c r="B187" s="16">
        <v>46247</v>
      </c>
      <c r="C187" s="15" t="s">
        <v>160</v>
      </c>
      <c r="D187" s="2" t="s">
        <v>190</v>
      </c>
      <c r="E187" s="2" t="s">
        <v>71</v>
      </c>
      <c r="F187" s="2" t="s">
        <v>191</v>
      </c>
      <c r="G187" s="2" t="s">
        <v>192</v>
      </c>
      <c r="H187" s="2">
        <v>7417419213</v>
      </c>
      <c r="I187" s="2">
        <v>810</v>
      </c>
      <c r="J187" s="15"/>
      <c r="K187" s="15"/>
      <c r="L187" s="15"/>
      <c r="M187" s="15"/>
      <c r="N187" s="15"/>
      <c r="O187" s="15"/>
      <c r="P187" s="2">
        <v>19440</v>
      </c>
      <c r="Q187" s="15"/>
    </row>
    <row r="188" spans="1:17" x14ac:dyDescent="0.25">
      <c r="A188" s="15">
        <v>8</v>
      </c>
      <c r="B188" s="16">
        <v>46247</v>
      </c>
      <c r="C188" s="15" t="s">
        <v>160</v>
      </c>
      <c r="D188" s="2" t="s">
        <v>193</v>
      </c>
      <c r="E188" s="2" t="s">
        <v>72</v>
      </c>
      <c r="F188" s="2" t="s">
        <v>101</v>
      </c>
      <c r="G188" s="2" t="s">
        <v>194</v>
      </c>
      <c r="H188" s="2">
        <v>9837853969</v>
      </c>
      <c r="I188" s="2">
        <v>810</v>
      </c>
      <c r="J188" s="15"/>
      <c r="K188" s="15"/>
      <c r="L188" s="15"/>
      <c r="M188" s="15"/>
      <c r="N188" s="15"/>
      <c r="O188" s="15"/>
      <c r="P188" s="2">
        <v>19440</v>
      </c>
      <c r="Q188" s="15"/>
    </row>
    <row r="189" spans="1:17" x14ac:dyDescent="0.25">
      <c r="A189" s="15">
        <v>9</v>
      </c>
      <c r="B189" s="16">
        <v>46247</v>
      </c>
      <c r="C189" s="15" t="s">
        <v>160</v>
      </c>
      <c r="D189" s="2" t="s">
        <v>195</v>
      </c>
      <c r="E189" s="2" t="s">
        <v>74</v>
      </c>
      <c r="F189" s="2" t="s">
        <v>196</v>
      </c>
      <c r="G189" s="2" t="s">
        <v>197</v>
      </c>
      <c r="H189" s="2">
        <v>8445673660</v>
      </c>
      <c r="I189" s="2">
        <v>520</v>
      </c>
      <c r="J189" s="15"/>
      <c r="K189" s="15"/>
      <c r="L189" s="15"/>
      <c r="M189" s="15"/>
      <c r="N189" s="15"/>
      <c r="O189" s="15"/>
      <c r="P189" s="2">
        <v>8320</v>
      </c>
      <c r="Q189" s="15"/>
    </row>
    <row r="190" spans="1:17" x14ac:dyDescent="0.25">
      <c r="A190" s="15">
        <v>10</v>
      </c>
      <c r="B190" s="16">
        <v>46247</v>
      </c>
      <c r="C190" s="15" t="s">
        <v>160</v>
      </c>
      <c r="D190" s="2" t="s">
        <v>198</v>
      </c>
      <c r="E190" s="2" t="s">
        <v>75</v>
      </c>
      <c r="F190" s="2" t="s">
        <v>199</v>
      </c>
      <c r="G190" s="2" t="s">
        <v>200</v>
      </c>
      <c r="H190" s="2">
        <v>9997579868</v>
      </c>
      <c r="I190" s="2">
        <v>730</v>
      </c>
      <c r="J190" s="15"/>
      <c r="K190" s="15"/>
      <c r="L190" s="15"/>
      <c r="M190" s="15"/>
      <c r="N190" s="15"/>
      <c r="O190" s="15"/>
      <c r="P190" s="2">
        <v>13140</v>
      </c>
      <c r="Q190" s="15"/>
    </row>
    <row r="191" spans="1:17" x14ac:dyDescent="0.25">
      <c r="A191" s="15">
        <v>11</v>
      </c>
      <c r="B191" s="16">
        <v>46247</v>
      </c>
      <c r="C191" s="15" t="s">
        <v>160</v>
      </c>
      <c r="D191" s="2" t="s">
        <v>297</v>
      </c>
      <c r="E191" s="2" t="s">
        <v>137</v>
      </c>
      <c r="F191" s="2" t="s">
        <v>298</v>
      </c>
      <c r="G191" s="2" t="s">
        <v>299</v>
      </c>
      <c r="H191" s="2">
        <v>9027165485</v>
      </c>
      <c r="I191" s="2">
        <v>520</v>
      </c>
      <c r="J191" s="15"/>
      <c r="K191" s="15"/>
      <c r="L191" s="15"/>
      <c r="M191" s="15"/>
      <c r="N191" s="15"/>
      <c r="O191" s="15"/>
      <c r="P191" s="2">
        <v>10400</v>
      </c>
      <c r="Q191" s="15"/>
    </row>
    <row r="192" spans="1:17" x14ac:dyDescent="0.25">
      <c r="A192" s="15">
        <v>12</v>
      </c>
      <c r="B192" s="16">
        <v>46247</v>
      </c>
      <c r="C192" s="15" t="s">
        <v>160</v>
      </c>
      <c r="D192" s="2" t="s">
        <v>300</v>
      </c>
      <c r="E192" s="2" t="s">
        <v>138</v>
      </c>
      <c r="F192" s="2" t="s">
        <v>301</v>
      </c>
      <c r="G192" s="2" t="s">
        <v>302</v>
      </c>
      <c r="H192" s="2">
        <v>9798310575</v>
      </c>
      <c r="I192" s="2">
        <v>830</v>
      </c>
      <c r="J192" s="15"/>
      <c r="K192" s="15"/>
      <c r="L192" s="15"/>
      <c r="M192" s="15"/>
      <c r="N192" s="15"/>
      <c r="O192" s="15"/>
      <c r="P192" s="2">
        <v>29880</v>
      </c>
      <c r="Q192" s="15"/>
    </row>
    <row r="193" spans="1:17" x14ac:dyDescent="0.25">
      <c r="A193" s="15">
        <v>13</v>
      </c>
      <c r="B193" s="16">
        <v>46247</v>
      </c>
      <c r="C193" s="15" t="s">
        <v>160</v>
      </c>
      <c r="D193" s="2" t="s">
        <v>300</v>
      </c>
      <c r="E193" s="2" t="s">
        <v>139</v>
      </c>
      <c r="F193" s="2" t="s">
        <v>303</v>
      </c>
      <c r="G193" s="2" t="s">
        <v>70</v>
      </c>
      <c r="H193" s="2">
        <v>7302806677</v>
      </c>
      <c r="I193" s="2">
        <v>1000</v>
      </c>
      <c r="J193" s="15"/>
      <c r="K193" s="15"/>
      <c r="L193" s="15"/>
      <c r="M193" s="15"/>
      <c r="N193" s="15"/>
      <c r="O193" s="15"/>
      <c r="P193" s="2">
        <v>33000</v>
      </c>
      <c r="Q193" s="15"/>
    </row>
    <row r="194" spans="1:17" x14ac:dyDescent="0.25">
      <c r="A194" s="15">
        <v>14</v>
      </c>
      <c r="B194" s="16">
        <v>46247</v>
      </c>
      <c r="C194" s="15" t="s">
        <v>160</v>
      </c>
      <c r="D194" s="2" t="s">
        <v>328</v>
      </c>
      <c r="E194" s="2" t="s">
        <v>153</v>
      </c>
      <c r="F194" s="2" t="s">
        <v>103</v>
      </c>
      <c r="G194" s="2" t="s">
        <v>329</v>
      </c>
      <c r="H194" s="2">
        <v>8868832613</v>
      </c>
      <c r="I194" s="2">
        <v>810</v>
      </c>
      <c r="J194" s="15"/>
      <c r="K194" s="15"/>
      <c r="L194" s="15"/>
      <c r="M194" s="15"/>
      <c r="N194" s="15"/>
      <c r="O194" s="15"/>
      <c r="P194" s="2">
        <v>24300</v>
      </c>
      <c r="Q194" s="15"/>
    </row>
    <row r="195" spans="1:17" x14ac:dyDescent="0.25">
      <c r="A195" s="15">
        <v>15</v>
      </c>
      <c r="B195" s="16">
        <v>46247</v>
      </c>
      <c r="C195" s="15" t="s">
        <v>160</v>
      </c>
      <c r="D195" s="2" t="s">
        <v>332</v>
      </c>
      <c r="E195" s="2" t="s">
        <v>333</v>
      </c>
      <c r="F195" s="2" t="s">
        <v>127</v>
      </c>
      <c r="G195" s="2" t="s">
        <v>334</v>
      </c>
      <c r="H195" s="2">
        <v>8532021682</v>
      </c>
      <c r="I195" s="2">
        <v>1000</v>
      </c>
      <c r="J195" s="15"/>
      <c r="K195" s="15"/>
      <c r="L195" s="15"/>
      <c r="M195" s="15"/>
      <c r="N195" s="15"/>
      <c r="O195" s="15"/>
      <c r="P195" s="2">
        <v>35000</v>
      </c>
      <c r="Q195" s="15"/>
    </row>
    <row r="196" spans="1:17" x14ac:dyDescent="0.25">
      <c r="A196" s="15">
        <v>16</v>
      </c>
      <c r="B196" s="16">
        <v>46247</v>
      </c>
      <c r="C196" s="15" t="s">
        <v>160</v>
      </c>
      <c r="D196" s="2" t="s">
        <v>255</v>
      </c>
      <c r="E196" s="2" t="s">
        <v>343</v>
      </c>
      <c r="F196" s="2" t="s">
        <v>344</v>
      </c>
      <c r="G196" s="2" t="s">
        <v>175</v>
      </c>
      <c r="H196" s="2">
        <v>7351609943</v>
      </c>
      <c r="I196" s="2">
        <v>830</v>
      </c>
      <c r="J196" s="15"/>
      <c r="K196" s="15"/>
      <c r="L196" s="15"/>
      <c r="M196" s="15"/>
      <c r="N196" s="15"/>
      <c r="O196" s="15"/>
      <c r="P196" s="2">
        <v>31540</v>
      </c>
      <c r="Q196" s="15"/>
    </row>
    <row r="197" spans="1:17" x14ac:dyDescent="0.25">
      <c r="A197" s="15">
        <v>17</v>
      </c>
      <c r="B197" s="16">
        <v>46247</v>
      </c>
      <c r="C197" s="15" t="s">
        <v>160</v>
      </c>
      <c r="D197" s="2" t="s">
        <v>345</v>
      </c>
      <c r="E197" s="2" t="s">
        <v>346</v>
      </c>
      <c r="F197" s="2" t="s">
        <v>347</v>
      </c>
      <c r="G197" s="2" t="s">
        <v>334</v>
      </c>
      <c r="H197" s="2">
        <v>8439635415</v>
      </c>
      <c r="I197" s="2">
        <v>810</v>
      </c>
      <c r="J197" s="15"/>
      <c r="K197" s="15"/>
      <c r="L197" s="15"/>
      <c r="M197" s="15"/>
      <c r="N197" s="15"/>
      <c r="O197" s="15"/>
      <c r="P197" s="2">
        <v>24300</v>
      </c>
      <c r="Q197" s="15"/>
    </row>
    <row r="198" spans="1:17" x14ac:dyDescent="0.25">
      <c r="A198" s="15">
        <v>18</v>
      </c>
      <c r="B198" s="16">
        <v>46247</v>
      </c>
      <c r="C198" s="15" t="s">
        <v>160</v>
      </c>
      <c r="D198" s="2" t="s">
        <v>157</v>
      </c>
      <c r="E198" s="2" t="s">
        <v>348</v>
      </c>
      <c r="F198" s="2" t="s">
        <v>349</v>
      </c>
      <c r="G198" s="2" t="s">
        <v>350</v>
      </c>
      <c r="H198" s="2">
        <v>8923310681</v>
      </c>
      <c r="I198" s="2">
        <v>810</v>
      </c>
      <c r="J198" s="15"/>
      <c r="K198" s="15"/>
      <c r="L198" s="15"/>
      <c r="M198" s="15"/>
      <c r="N198" s="15"/>
      <c r="O198" s="15"/>
      <c r="P198" s="2">
        <v>24300</v>
      </c>
      <c r="Q198" s="15"/>
    </row>
    <row r="199" spans="1:17" x14ac:dyDescent="0.25">
      <c r="A199" s="15">
        <v>19</v>
      </c>
      <c r="B199" s="16">
        <v>46247</v>
      </c>
      <c r="C199" s="15" t="s">
        <v>160</v>
      </c>
      <c r="D199" s="2" t="s">
        <v>255</v>
      </c>
      <c r="E199" s="2" t="s">
        <v>354</v>
      </c>
      <c r="F199" s="2" t="s">
        <v>341</v>
      </c>
      <c r="G199" s="2" t="s">
        <v>355</v>
      </c>
      <c r="H199" s="2">
        <v>7037921861</v>
      </c>
      <c r="I199" s="2">
        <v>810</v>
      </c>
      <c r="J199" s="15"/>
      <c r="K199" s="15"/>
      <c r="L199" s="15"/>
      <c r="M199" s="15"/>
      <c r="N199" s="15"/>
      <c r="O199" s="15"/>
      <c r="P199" s="2">
        <v>24300</v>
      </c>
      <c r="Q199" s="15"/>
    </row>
    <row r="200" spans="1:17" x14ac:dyDescent="0.25">
      <c r="A200" s="15">
        <v>20</v>
      </c>
      <c r="B200" s="16">
        <v>46247</v>
      </c>
      <c r="C200" s="15" t="s">
        <v>160</v>
      </c>
      <c r="D200" s="2" t="s">
        <v>190</v>
      </c>
      <c r="E200" s="2" t="s">
        <v>356</v>
      </c>
      <c r="F200" s="2" t="s">
        <v>357</v>
      </c>
      <c r="G200" s="2" t="s">
        <v>358</v>
      </c>
      <c r="H200" s="2">
        <v>8279519063</v>
      </c>
      <c r="I200" s="2">
        <v>810</v>
      </c>
      <c r="J200" s="15"/>
      <c r="K200" s="15"/>
      <c r="L200" s="15"/>
      <c r="M200" s="15"/>
      <c r="N200" s="15"/>
      <c r="O200" s="15"/>
      <c r="P200" s="2">
        <v>24300</v>
      </c>
      <c r="Q200" s="15"/>
    </row>
    <row r="201" spans="1:17" x14ac:dyDescent="0.25">
      <c r="A201" s="15">
        <v>21</v>
      </c>
      <c r="B201" s="16">
        <v>46247</v>
      </c>
      <c r="C201" s="15" t="s">
        <v>160</v>
      </c>
      <c r="D201" s="2" t="s">
        <v>190</v>
      </c>
      <c r="E201" s="2" t="s">
        <v>359</v>
      </c>
      <c r="F201" s="2" t="s">
        <v>360</v>
      </c>
      <c r="G201" s="2" t="s">
        <v>281</v>
      </c>
      <c r="H201" s="2">
        <v>9058408115</v>
      </c>
      <c r="I201" s="2">
        <v>810</v>
      </c>
      <c r="J201" s="15"/>
      <c r="K201" s="15"/>
      <c r="L201" s="15"/>
      <c r="M201" s="15"/>
      <c r="N201" s="15"/>
      <c r="O201" s="15"/>
      <c r="P201" s="2">
        <v>24300</v>
      </c>
      <c r="Q201" s="15"/>
    </row>
    <row r="202" spans="1:17" x14ac:dyDescent="0.25">
      <c r="A202" s="15">
        <v>22</v>
      </c>
      <c r="B202" s="16">
        <v>46247</v>
      </c>
      <c r="C202" s="15" t="s">
        <v>160</v>
      </c>
      <c r="D202" s="2" t="s">
        <v>361</v>
      </c>
      <c r="E202" s="2" t="s">
        <v>362</v>
      </c>
      <c r="F202" s="2" t="s">
        <v>363</v>
      </c>
      <c r="G202" s="2" t="s">
        <v>364</v>
      </c>
      <c r="H202" s="2">
        <v>9045641762</v>
      </c>
      <c r="I202" s="2">
        <v>810</v>
      </c>
      <c r="J202" s="15"/>
      <c r="K202" s="15"/>
      <c r="L202" s="15"/>
      <c r="M202" s="15"/>
      <c r="N202" s="15"/>
      <c r="O202" s="15"/>
      <c r="P202" s="2">
        <v>24300</v>
      </c>
      <c r="Q202" s="15"/>
    </row>
    <row r="203" spans="1:17" x14ac:dyDescent="0.25">
      <c r="A203" s="15">
        <v>23</v>
      </c>
      <c r="B203" s="16">
        <v>46247</v>
      </c>
      <c r="C203" s="15" t="s">
        <v>160</v>
      </c>
      <c r="D203" s="2" t="s">
        <v>365</v>
      </c>
      <c r="E203" s="2" t="s">
        <v>366</v>
      </c>
      <c r="F203" s="2" t="s">
        <v>134</v>
      </c>
      <c r="G203" s="2" t="s">
        <v>173</v>
      </c>
      <c r="H203" s="2">
        <v>7060909606</v>
      </c>
      <c r="I203" s="2">
        <v>810</v>
      </c>
      <c r="J203" s="15"/>
      <c r="K203" s="15"/>
      <c r="L203" s="15"/>
      <c r="M203" s="15"/>
      <c r="N203" s="15"/>
      <c r="O203" s="15"/>
      <c r="P203" s="2">
        <v>25110</v>
      </c>
      <c r="Q203" s="15"/>
    </row>
    <row r="204" spans="1:17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spans="1:17" x14ac:dyDescent="0.25">
      <c r="A205" s="15"/>
      <c r="B205" s="15"/>
      <c r="C205" s="15"/>
      <c r="D205" s="15"/>
      <c r="E205" s="15"/>
      <c r="F205" s="15"/>
      <c r="G205" s="15"/>
      <c r="H205" s="15"/>
      <c r="I205" s="15">
        <f>SUM(I181:I204)</f>
        <v>18330</v>
      </c>
      <c r="J205" s="15"/>
      <c r="K205" s="15"/>
      <c r="L205" s="15"/>
      <c r="M205" s="15"/>
      <c r="N205" s="15"/>
      <c r="O205" s="15"/>
      <c r="P205" s="15">
        <f>SUM(P181:P204)</f>
        <v>510400</v>
      </c>
      <c r="Q205" s="15"/>
    </row>
    <row r="208" spans="1:17" ht="23.25" x14ac:dyDescent="0.25">
      <c r="A208" s="64" t="s">
        <v>553</v>
      </c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</row>
    <row r="209" spans="1:17" ht="60" x14ac:dyDescent="0.25">
      <c r="A209" s="12" t="s">
        <v>462</v>
      </c>
      <c r="B209" s="12" t="s">
        <v>463</v>
      </c>
      <c r="C209" s="12" t="s">
        <v>464</v>
      </c>
      <c r="D209" s="12" t="s">
        <v>466</v>
      </c>
      <c r="E209" s="12" t="s">
        <v>465</v>
      </c>
      <c r="F209" s="12" t="s">
        <v>467</v>
      </c>
      <c r="G209" s="12" t="s">
        <v>468</v>
      </c>
      <c r="H209" s="12" t="s">
        <v>469</v>
      </c>
      <c r="I209" s="12" t="s">
        <v>470</v>
      </c>
      <c r="J209" s="12" t="s">
        <v>471</v>
      </c>
      <c r="K209" s="12" t="s">
        <v>472</v>
      </c>
      <c r="L209" s="12" t="s">
        <v>473</v>
      </c>
      <c r="M209" s="12" t="s">
        <v>474</v>
      </c>
      <c r="N209" s="12"/>
      <c r="O209" s="12" t="s">
        <v>475</v>
      </c>
      <c r="P209" s="13" t="s">
        <v>476</v>
      </c>
      <c r="Q209" s="13" t="s">
        <v>477</v>
      </c>
    </row>
    <row r="210" spans="1:17" x14ac:dyDescent="0.25">
      <c r="A210" s="18">
        <v>1</v>
      </c>
      <c r="B210" s="19">
        <v>46248</v>
      </c>
      <c r="C210" s="2" t="s">
        <v>160</v>
      </c>
      <c r="D210" s="2" t="s">
        <v>183</v>
      </c>
      <c r="E210" s="2" t="s">
        <v>66</v>
      </c>
      <c r="F210" s="2" t="s">
        <v>184</v>
      </c>
      <c r="G210" s="2" t="s">
        <v>185</v>
      </c>
      <c r="H210" s="2">
        <v>9458561289</v>
      </c>
      <c r="I210" s="2">
        <v>810</v>
      </c>
      <c r="J210" s="18"/>
      <c r="K210" s="18"/>
      <c r="L210" s="18"/>
      <c r="M210" s="18"/>
      <c r="N210" s="18"/>
      <c r="O210" s="18"/>
      <c r="P210" s="2">
        <v>19440</v>
      </c>
      <c r="Q210" s="18"/>
    </row>
    <row r="211" spans="1:17" x14ac:dyDescent="0.25">
      <c r="A211" s="18">
        <v>2</v>
      </c>
      <c r="B211" s="19">
        <v>46248</v>
      </c>
      <c r="C211" s="2" t="s">
        <v>160</v>
      </c>
      <c r="D211" s="2" t="s">
        <v>183</v>
      </c>
      <c r="E211" s="2" t="s">
        <v>68</v>
      </c>
      <c r="F211" s="2" t="s">
        <v>186</v>
      </c>
      <c r="G211" s="2" t="s">
        <v>187</v>
      </c>
      <c r="H211" s="2">
        <v>9456916405</v>
      </c>
      <c r="I211" s="2">
        <v>810</v>
      </c>
      <c r="J211" s="18"/>
      <c r="K211" s="18"/>
      <c r="L211" s="18"/>
      <c r="M211" s="18"/>
      <c r="N211" s="18"/>
      <c r="O211" s="18"/>
      <c r="P211" s="2">
        <v>19440</v>
      </c>
      <c r="Q211" s="18"/>
    </row>
    <row r="212" spans="1:17" x14ac:dyDescent="0.25">
      <c r="A212" s="18">
        <v>3</v>
      </c>
      <c r="B212" s="19">
        <v>46248</v>
      </c>
      <c r="C212" s="2" t="s">
        <v>160</v>
      </c>
      <c r="D212" s="2" t="s">
        <v>377</v>
      </c>
      <c r="E212" s="2" t="s">
        <v>378</v>
      </c>
      <c r="F212" s="2" t="s">
        <v>379</v>
      </c>
      <c r="G212" s="2" t="s">
        <v>380</v>
      </c>
      <c r="H212" s="2">
        <v>9520353141</v>
      </c>
      <c r="I212" s="2">
        <v>810</v>
      </c>
      <c r="J212" s="18"/>
      <c r="K212" s="18"/>
      <c r="L212" s="18"/>
      <c r="M212" s="18"/>
      <c r="N212" s="18"/>
      <c r="O212" s="18"/>
      <c r="P212" s="2">
        <v>25110</v>
      </c>
      <c r="Q212" s="18"/>
    </row>
    <row r="213" spans="1:17" x14ac:dyDescent="0.25">
      <c r="A213" s="18">
        <v>4</v>
      </c>
      <c r="B213" s="19">
        <v>46248</v>
      </c>
      <c r="C213" s="2" t="s">
        <v>160</v>
      </c>
      <c r="D213" s="2" t="s">
        <v>180</v>
      </c>
      <c r="E213" s="2" t="s">
        <v>411</v>
      </c>
      <c r="F213" s="2" t="s">
        <v>412</v>
      </c>
      <c r="G213" s="2" t="s">
        <v>257</v>
      </c>
      <c r="H213" s="2">
        <v>7579360739</v>
      </c>
      <c r="I213" s="2">
        <v>810</v>
      </c>
      <c r="J213" s="18"/>
      <c r="K213" s="18"/>
      <c r="L213" s="18"/>
      <c r="M213" s="18"/>
      <c r="N213" s="18"/>
      <c r="O213" s="18"/>
      <c r="P213" s="2">
        <v>26730</v>
      </c>
      <c r="Q213" s="18"/>
    </row>
    <row r="214" spans="1:17" x14ac:dyDescent="0.25">
      <c r="A214" s="18">
        <v>5</v>
      </c>
      <c r="B214" s="19">
        <v>46248</v>
      </c>
      <c r="C214" s="2" t="s">
        <v>160</v>
      </c>
      <c r="D214" s="2" t="s">
        <v>180</v>
      </c>
      <c r="E214" s="2" t="s">
        <v>413</v>
      </c>
      <c r="F214" s="2" t="s">
        <v>414</v>
      </c>
      <c r="G214" s="2" t="s">
        <v>415</v>
      </c>
      <c r="H214" s="2">
        <v>9027955247</v>
      </c>
      <c r="I214" s="2">
        <v>810</v>
      </c>
      <c r="J214" s="18"/>
      <c r="K214" s="18"/>
      <c r="L214" s="18"/>
      <c r="M214" s="18"/>
      <c r="N214" s="18"/>
      <c r="O214" s="18"/>
      <c r="P214" s="2">
        <v>26730</v>
      </c>
      <c r="Q214" s="18"/>
    </row>
    <row r="215" spans="1:17" x14ac:dyDescent="0.25">
      <c r="A215" s="18">
        <v>6</v>
      </c>
      <c r="B215" s="19">
        <v>46248</v>
      </c>
      <c r="C215" s="2" t="s">
        <v>160</v>
      </c>
      <c r="D215" s="2" t="s">
        <v>203</v>
      </c>
      <c r="E215" s="2" t="s">
        <v>420</v>
      </c>
      <c r="F215" s="2" t="s">
        <v>421</v>
      </c>
      <c r="G215" s="2" t="s">
        <v>422</v>
      </c>
      <c r="H215" s="2">
        <v>9027750329</v>
      </c>
      <c r="I215" s="2">
        <v>520</v>
      </c>
      <c r="J215" s="18"/>
      <c r="K215" s="18"/>
      <c r="L215" s="18"/>
      <c r="M215" s="18"/>
      <c r="N215" s="18"/>
      <c r="O215" s="18"/>
      <c r="P215" s="2">
        <v>13520</v>
      </c>
      <c r="Q215" s="18"/>
    </row>
    <row r="216" spans="1:17" x14ac:dyDescent="0.25">
      <c r="A216" s="18">
        <v>7</v>
      </c>
      <c r="B216" s="19">
        <v>46248</v>
      </c>
      <c r="C216" s="2" t="s">
        <v>160</v>
      </c>
      <c r="D216" s="2" t="s">
        <v>203</v>
      </c>
      <c r="E216" s="2" t="s">
        <v>423</v>
      </c>
      <c r="F216" s="2" t="s">
        <v>86</v>
      </c>
      <c r="G216" s="2" t="s">
        <v>424</v>
      </c>
      <c r="H216" s="2">
        <v>8171640207</v>
      </c>
      <c r="I216" s="2">
        <v>520</v>
      </c>
      <c r="J216" s="18"/>
      <c r="K216" s="18"/>
      <c r="L216" s="18"/>
      <c r="M216" s="18"/>
      <c r="N216" s="18"/>
      <c r="O216" s="18"/>
      <c r="P216" s="2">
        <v>13520</v>
      </c>
      <c r="Q216" s="18"/>
    </row>
    <row r="217" spans="1:17" x14ac:dyDescent="0.25">
      <c r="A217" s="18">
        <v>8</v>
      </c>
      <c r="B217" s="19">
        <v>46248</v>
      </c>
      <c r="C217" s="2" t="s">
        <v>160</v>
      </c>
      <c r="D217" s="2" t="s">
        <v>203</v>
      </c>
      <c r="E217" s="2" t="s">
        <v>428</v>
      </c>
      <c r="F217" s="2" t="s">
        <v>429</v>
      </c>
      <c r="G217" s="2" t="s">
        <v>430</v>
      </c>
      <c r="H217" s="10">
        <v>9720187637</v>
      </c>
      <c r="I217" s="2">
        <v>810</v>
      </c>
      <c r="J217" s="18"/>
      <c r="K217" s="18"/>
      <c r="L217" s="18"/>
      <c r="M217" s="18"/>
      <c r="N217" s="18"/>
      <c r="O217" s="18"/>
      <c r="P217" s="2">
        <v>27540</v>
      </c>
      <c r="Q217" s="18"/>
    </row>
    <row r="218" spans="1:17" x14ac:dyDescent="0.25">
      <c r="A218" s="18">
        <v>9</v>
      </c>
      <c r="B218" s="19">
        <v>46248</v>
      </c>
      <c r="C218" s="2" t="s">
        <v>160</v>
      </c>
      <c r="D218" s="18" t="s">
        <v>171</v>
      </c>
      <c r="E218" s="18" t="s">
        <v>554</v>
      </c>
      <c r="F218" s="18" t="s">
        <v>174</v>
      </c>
      <c r="G218" s="18" t="s">
        <v>557</v>
      </c>
      <c r="H218" s="18">
        <v>7500304927</v>
      </c>
      <c r="I218" s="18">
        <v>810</v>
      </c>
      <c r="J218" s="18"/>
      <c r="K218" s="18"/>
      <c r="L218" s="18"/>
      <c r="M218" s="18"/>
      <c r="N218" s="18"/>
      <c r="O218" s="18"/>
      <c r="P218" s="1">
        <v>29160</v>
      </c>
      <c r="Q218" s="18"/>
    </row>
    <row r="219" spans="1:17" x14ac:dyDescent="0.25">
      <c r="A219" s="18">
        <v>10</v>
      </c>
      <c r="B219" s="19">
        <v>46248</v>
      </c>
      <c r="C219" s="2" t="s">
        <v>160</v>
      </c>
      <c r="D219" s="18" t="s">
        <v>171</v>
      </c>
      <c r="E219" s="18" t="s">
        <v>555</v>
      </c>
      <c r="F219" s="18" t="s">
        <v>556</v>
      </c>
      <c r="G219" s="18" t="s">
        <v>558</v>
      </c>
      <c r="H219" s="18">
        <v>8859131330</v>
      </c>
      <c r="I219" s="18">
        <v>810</v>
      </c>
      <c r="J219" s="18"/>
      <c r="K219" s="18"/>
      <c r="L219" s="18"/>
      <c r="M219" s="18"/>
      <c r="N219" s="18"/>
      <c r="O219" s="18"/>
      <c r="P219" s="1">
        <v>29160</v>
      </c>
      <c r="Q219" s="18"/>
    </row>
    <row r="220" spans="1:17" x14ac:dyDescent="0.25">
      <c r="A220" s="18">
        <v>11</v>
      </c>
      <c r="B220" s="19">
        <v>46248</v>
      </c>
      <c r="C220" s="2" t="s">
        <v>160</v>
      </c>
      <c r="D220" s="18" t="s">
        <v>560</v>
      </c>
      <c r="E220" s="2" t="s">
        <v>564</v>
      </c>
      <c r="F220" s="18" t="s">
        <v>59</v>
      </c>
      <c r="G220" s="18" t="s">
        <v>455</v>
      </c>
      <c r="H220" s="18">
        <v>7500502110</v>
      </c>
      <c r="I220" s="18">
        <v>810</v>
      </c>
      <c r="J220" s="18"/>
      <c r="K220" s="18"/>
      <c r="L220" s="18"/>
      <c r="M220" s="18"/>
      <c r="N220" s="18"/>
      <c r="O220" s="18"/>
      <c r="P220" s="1">
        <v>41000</v>
      </c>
      <c r="Q220" s="18"/>
    </row>
    <row r="221" spans="1:17" x14ac:dyDescent="0.25">
      <c r="A221" s="18"/>
      <c r="B221" s="19"/>
      <c r="C221" s="2"/>
      <c r="D221" s="2"/>
      <c r="E221" s="2"/>
      <c r="F221" s="2"/>
      <c r="G221" s="2"/>
      <c r="H221" s="10"/>
      <c r="I221" s="2"/>
      <c r="J221" s="18"/>
      <c r="K221" s="18"/>
      <c r="L221" s="18"/>
      <c r="M221" s="18"/>
      <c r="N221" s="18"/>
      <c r="O221" s="18"/>
      <c r="P221" s="1"/>
      <c r="Q221" s="18"/>
    </row>
    <row r="222" spans="1:17" x14ac:dyDescent="0.25">
      <c r="A222" s="18"/>
      <c r="B222" s="19"/>
      <c r="C222" s="2"/>
      <c r="D222" s="2"/>
      <c r="E222" s="2"/>
      <c r="F222" s="2"/>
      <c r="G222" s="2"/>
      <c r="H222" s="10"/>
      <c r="I222" s="2"/>
      <c r="J222" s="18"/>
      <c r="K222" s="18"/>
      <c r="L222" s="18"/>
      <c r="M222" s="18"/>
      <c r="N222" s="18"/>
      <c r="O222" s="18"/>
      <c r="P222" s="2"/>
      <c r="Q222" s="18"/>
    </row>
    <row r="223" spans="1:17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25">
      <c r="A225" s="15"/>
      <c r="B225" s="15"/>
      <c r="C225" s="15"/>
      <c r="D225" s="15"/>
      <c r="E225" s="15"/>
      <c r="F225" s="15"/>
      <c r="G225" s="15"/>
      <c r="H225" s="15"/>
      <c r="I225" s="15">
        <f>SUM(I210:I224)</f>
        <v>8330</v>
      </c>
      <c r="J225" s="15"/>
      <c r="K225" s="15"/>
      <c r="L225" s="15"/>
      <c r="M225" s="15"/>
      <c r="N225" s="15"/>
      <c r="O225" s="15"/>
      <c r="P225" s="15">
        <f>SUM(P210:P224)</f>
        <v>271350</v>
      </c>
      <c r="Q225" s="15"/>
    </row>
    <row r="229" spans="1:17" ht="23.25" x14ac:dyDescent="0.25">
      <c r="A229" s="64" t="s">
        <v>478</v>
      </c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</row>
    <row r="230" spans="1:17" ht="60" x14ac:dyDescent="0.25">
      <c r="A230" s="12" t="s">
        <v>462</v>
      </c>
      <c r="B230" s="12" t="s">
        <v>463</v>
      </c>
      <c r="C230" s="12" t="s">
        <v>464</v>
      </c>
      <c r="D230" s="12" t="s">
        <v>466</v>
      </c>
      <c r="E230" s="12" t="s">
        <v>465</v>
      </c>
      <c r="F230" s="12" t="s">
        <v>467</v>
      </c>
      <c r="G230" s="12" t="s">
        <v>468</v>
      </c>
      <c r="H230" s="12" t="s">
        <v>469</v>
      </c>
      <c r="I230" s="12" t="s">
        <v>470</v>
      </c>
      <c r="J230" s="12" t="s">
        <v>471</v>
      </c>
      <c r="K230" s="12" t="s">
        <v>472</v>
      </c>
      <c r="L230" s="12" t="s">
        <v>473</v>
      </c>
      <c r="M230" s="12" t="s">
        <v>474</v>
      </c>
      <c r="N230" s="12"/>
      <c r="O230" s="12" t="s">
        <v>475</v>
      </c>
      <c r="P230" s="13" t="s">
        <v>476</v>
      </c>
      <c r="Q230" s="13" t="s">
        <v>477</v>
      </c>
    </row>
    <row r="231" spans="1:17" x14ac:dyDescent="0.25">
      <c r="A231" s="18">
        <v>1</v>
      </c>
      <c r="B231" s="19">
        <v>46251</v>
      </c>
      <c r="C231" s="18" t="s">
        <v>160</v>
      </c>
      <c r="D231" s="2" t="s">
        <v>265</v>
      </c>
      <c r="E231" s="2" t="s">
        <v>120</v>
      </c>
      <c r="F231" s="2" t="s">
        <v>266</v>
      </c>
      <c r="G231" s="2" t="s">
        <v>267</v>
      </c>
      <c r="H231" s="2">
        <v>7078208921</v>
      </c>
      <c r="I231" s="2">
        <v>730</v>
      </c>
      <c r="J231" s="18"/>
      <c r="K231" s="18"/>
      <c r="L231" s="18"/>
      <c r="M231" s="18"/>
      <c r="N231" s="18"/>
      <c r="O231" s="2">
        <v>14600</v>
      </c>
      <c r="P231" s="18"/>
      <c r="Q231" s="18"/>
    </row>
    <row r="232" spans="1:17" x14ac:dyDescent="0.25">
      <c r="A232" s="18">
        <v>2</v>
      </c>
      <c r="B232" s="19">
        <v>46251</v>
      </c>
      <c r="C232" s="18" t="s">
        <v>160</v>
      </c>
      <c r="D232" s="2" t="s">
        <v>265</v>
      </c>
      <c r="E232" s="2" t="s">
        <v>123</v>
      </c>
      <c r="F232" s="2" t="s">
        <v>272</v>
      </c>
      <c r="G232" s="2" t="s">
        <v>273</v>
      </c>
      <c r="H232" s="2">
        <v>6397677126</v>
      </c>
      <c r="I232" s="2">
        <v>830</v>
      </c>
      <c r="J232" s="18"/>
      <c r="K232" s="18"/>
      <c r="L232" s="18"/>
      <c r="M232" s="18"/>
      <c r="N232" s="18"/>
      <c r="O232" s="2">
        <v>28220</v>
      </c>
      <c r="P232" s="18"/>
      <c r="Q232" s="18"/>
    </row>
    <row r="233" spans="1:17" x14ac:dyDescent="0.25">
      <c r="A233" s="18">
        <v>3</v>
      </c>
      <c r="B233" s="19">
        <v>46251</v>
      </c>
      <c r="C233" s="18" t="s">
        <v>160</v>
      </c>
      <c r="D233" s="2" t="s">
        <v>293</v>
      </c>
      <c r="E233" s="2" t="s">
        <v>135</v>
      </c>
      <c r="F233" s="2" t="s">
        <v>294</v>
      </c>
      <c r="G233" s="2" t="s">
        <v>295</v>
      </c>
      <c r="H233" s="2">
        <v>9997852046</v>
      </c>
      <c r="I233" s="2">
        <v>830</v>
      </c>
      <c r="J233" s="18"/>
      <c r="K233" s="18"/>
      <c r="L233" s="18"/>
      <c r="M233" s="18"/>
      <c r="N233" s="18"/>
      <c r="O233" s="2">
        <v>29050</v>
      </c>
      <c r="P233" s="18"/>
      <c r="Q233" s="18"/>
    </row>
    <row r="234" spans="1:17" x14ac:dyDescent="0.25">
      <c r="A234" s="18">
        <v>4</v>
      </c>
      <c r="B234" s="19">
        <v>46251</v>
      </c>
      <c r="C234" s="18" t="s">
        <v>160</v>
      </c>
      <c r="D234" s="2" t="s">
        <v>288</v>
      </c>
      <c r="E234" s="2" t="s">
        <v>141</v>
      </c>
      <c r="F234" s="2" t="s">
        <v>304</v>
      </c>
      <c r="G234" s="2" t="s">
        <v>305</v>
      </c>
      <c r="H234" s="2">
        <v>8171396687</v>
      </c>
      <c r="I234" s="2">
        <v>730</v>
      </c>
      <c r="J234" s="18"/>
      <c r="K234" s="18"/>
      <c r="L234" s="18"/>
      <c r="M234" s="18"/>
      <c r="N234" s="18"/>
      <c r="O234" s="2">
        <v>16060</v>
      </c>
      <c r="P234" s="18"/>
      <c r="Q234" s="18"/>
    </row>
    <row r="235" spans="1:17" x14ac:dyDescent="0.25">
      <c r="A235" s="18">
        <v>5</v>
      </c>
      <c r="B235" s="19">
        <v>46251</v>
      </c>
      <c r="C235" s="18" t="s">
        <v>160</v>
      </c>
      <c r="D235" s="2" t="s">
        <v>306</v>
      </c>
      <c r="E235" s="2" t="s">
        <v>142</v>
      </c>
      <c r="F235" s="2" t="s">
        <v>307</v>
      </c>
      <c r="G235" s="2" t="s">
        <v>308</v>
      </c>
      <c r="H235" s="2">
        <v>9760670186</v>
      </c>
      <c r="I235" s="2">
        <v>810</v>
      </c>
      <c r="J235" s="18"/>
      <c r="K235" s="18"/>
      <c r="L235" s="18"/>
      <c r="M235" s="18"/>
      <c r="N235" s="18"/>
      <c r="O235" s="2">
        <v>22680</v>
      </c>
      <c r="P235" s="18"/>
      <c r="Q235" s="18"/>
    </row>
    <row r="236" spans="1:17" x14ac:dyDescent="0.25">
      <c r="A236" s="18">
        <v>6</v>
      </c>
      <c r="B236" s="19">
        <v>46251</v>
      </c>
      <c r="C236" s="18" t="s">
        <v>160</v>
      </c>
      <c r="D236" s="2" t="s">
        <v>306</v>
      </c>
      <c r="E236" s="2" t="s">
        <v>144</v>
      </c>
      <c r="F236" s="2" t="s">
        <v>309</v>
      </c>
      <c r="G236" s="2" t="s">
        <v>310</v>
      </c>
      <c r="H236" s="2">
        <v>7300647344</v>
      </c>
      <c r="I236" s="2">
        <v>810</v>
      </c>
      <c r="J236" s="18"/>
      <c r="K236" s="18"/>
      <c r="L236" s="18"/>
      <c r="M236" s="18"/>
      <c r="N236" s="18"/>
      <c r="O236" s="2">
        <v>22680</v>
      </c>
      <c r="P236" s="18"/>
      <c r="Q236" s="18"/>
    </row>
    <row r="237" spans="1:17" x14ac:dyDescent="0.25">
      <c r="A237" s="18">
        <v>7</v>
      </c>
      <c r="B237" s="19">
        <v>46251</v>
      </c>
      <c r="C237" s="18" t="s">
        <v>160</v>
      </c>
      <c r="D237" s="2" t="s">
        <v>306</v>
      </c>
      <c r="E237" s="2" t="s">
        <v>145</v>
      </c>
      <c r="F237" s="2" t="s">
        <v>311</v>
      </c>
      <c r="G237" s="2" t="s">
        <v>312</v>
      </c>
      <c r="H237" s="2">
        <v>7895448341</v>
      </c>
      <c r="I237" s="2">
        <v>810</v>
      </c>
      <c r="J237" s="18"/>
      <c r="K237" s="18"/>
      <c r="L237" s="18"/>
      <c r="M237" s="18"/>
      <c r="N237" s="18"/>
      <c r="O237" s="2">
        <v>22680</v>
      </c>
      <c r="P237" s="18"/>
      <c r="Q237" s="18"/>
    </row>
    <row r="238" spans="1:17" x14ac:dyDescent="0.25">
      <c r="A238" s="18">
        <v>8</v>
      </c>
      <c r="B238" s="19">
        <v>46251</v>
      </c>
      <c r="C238" s="18" t="s">
        <v>160</v>
      </c>
      <c r="D238" s="2" t="s">
        <v>306</v>
      </c>
      <c r="E238" s="2" t="s">
        <v>146</v>
      </c>
      <c r="F238" s="2" t="s">
        <v>76</v>
      </c>
      <c r="G238" s="2" t="s">
        <v>313</v>
      </c>
      <c r="H238" s="2">
        <v>9027441872</v>
      </c>
      <c r="I238" s="2">
        <v>810</v>
      </c>
      <c r="J238" s="18"/>
      <c r="K238" s="18"/>
      <c r="L238" s="18"/>
      <c r="M238" s="18"/>
      <c r="N238" s="18"/>
      <c r="O238" s="2">
        <v>22680</v>
      </c>
      <c r="P238" s="18"/>
      <c r="Q238" s="18"/>
    </row>
    <row r="239" spans="1:17" x14ac:dyDescent="0.25">
      <c r="A239" s="18">
        <v>9</v>
      </c>
      <c r="B239" s="19">
        <v>46251</v>
      </c>
      <c r="C239" s="18" t="s">
        <v>160</v>
      </c>
      <c r="D239" s="2" t="s">
        <v>404</v>
      </c>
      <c r="E239" s="2" t="s">
        <v>405</v>
      </c>
      <c r="F239" s="2" t="s">
        <v>406</v>
      </c>
      <c r="G239" s="2" t="s">
        <v>118</v>
      </c>
      <c r="H239" s="2">
        <v>8923609267</v>
      </c>
      <c r="I239" s="2">
        <v>1000</v>
      </c>
      <c r="J239" s="18"/>
      <c r="K239" s="18"/>
      <c r="L239" s="18"/>
      <c r="M239" s="18"/>
      <c r="N239" s="18"/>
      <c r="O239" s="2">
        <v>38000</v>
      </c>
      <c r="P239" s="18"/>
      <c r="Q239" s="18"/>
    </row>
    <row r="240" spans="1:17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 x14ac:dyDescent="0.25">
      <c r="A243" s="18"/>
      <c r="B243" s="18"/>
      <c r="C243" s="18"/>
      <c r="D243" s="18"/>
      <c r="E243" s="18"/>
      <c r="F243" s="18"/>
      <c r="G243" s="18"/>
      <c r="H243" s="18"/>
      <c r="I243" s="18">
        <f>SUM(I231:I242)</f>
        <v>7360</v>
      </c>
      <c r="J243" s="18"/>
      <c r="K243" s="18"/>
      <c r="L243" s="18"/>
      <c r="M243" s="18"/>
      <c r="N243" s="18"/>
      <c r="O243" s="18">
        <f>SUM(O231:O242)</f>
        <v>216650</v>
      </c>
      <c r="P243" s="18"/>
      <c r="Q243" s="18"/>
    </row>
    <row r="248" spans="1:17" ht="23.25" x14ac:dyDescent="0.25">
      <c r="A248" s="64" t="s">
        <v>539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</row>
    <row r="249" spans="1:17" ht="60" x14ac:dyDescent="0.25">
      <c r="A249" s="12" t="s">
        <v>462</v>
      </c>
      <c r="B249" s="12" t="s">
        <v>463</v>
      </c>
      <c r="C249" s="12" t="s">
        <v>464</v>
      </c>
      <c r="D249" s="12" t="s">
        <v>466</v>
      </c>
      <c r="E249" s="12" t="s">
        <v>465</v>
      </c>
      <c r="F249" s="12" t="s">
        <v>467</v>
      </c>
      <c r="G249" s="12" t="s">
        <v>468</v>
      </c>
      <c r="H249" s="12" t="s">
        <v>469</v>
      </c>
      <c r="I249" s="12" t="s">
        <v>470</v>
      </c>
      <c r="J249" s="12" t="s">
        <v>471</v>
      </c>
      <c r="K249" s="12" t="s">
        <v>472</v>
      </c>
      <c r="L249" s="12" t="s">
        <v>473</v>
      </c>
      <c r="M249" s="12" t="s">
        <v>474</v>
      </c>
      <c r="N249" s="12"/>
      <c r="O249" s="12" t="s">
        <v>475</v>
      </c>
      <c r="P249" s="13" t="s">
        <v>476</v>
      </c>
      <c r="Q249" s="13" t="s">
        <v>477</v>
      </c>
    </row>
    <row r="250" spans="1:17" x14ac:dyDescent="0.25">
      <c r="A250" s="15">
        <v>1</v>
      </c>
      <c r="B250" s="16">
        <v>46252</v>
      </c>
      <c r="C250" s="15" t="s">
        <v>160</v>
      </c>
      <c r="D250" s="2" t="s">
        <v>156</v>
      </c>
      <c r="E250" s="2" t="s">
        <v>60</v>
      </c>
      <c r="F250" s="2" t="s">
        <v>174</v>
      </c>
      <c r="G250" s="2" t="s">
        <v>175</v>
      </c>
      <c r="H250" s="2">
        <v>7417106202</v>
      </c>
      <c r="I250" s="2">
        <v>810</v>
      </c>
      <c r="J250" s="15"/>
      <c r="K250" s="15"/>
      <c r="L250" s="15"/>
      <c r="M250" s="15"/>
      <c r="N250" s="15"/>
      <c r="O250" s="15"/>
      <c r="P250" s="2">
        <v>17820</v>
      </c>
      <c r="Q250" s="15"/>
    </row>
    <row r="251" spans="1:17" x14ac:dyDescent="0.25">
      <c r="A251" s="15">
        <v>2</v>
      </c>
      <c r="B251" s="16">
        <v>46252</v>
      </c>
      <c r="C251" s="15" t="s">
        <v>160</v>
      </c>
      <c r="D251" s="2" t="s">
        <v>201</v>
      </c>
      <c r="E251" s="2" t="s">
        <v>77</v>
      </c>
      <c r="F251" s="2" t="s">
        <v>202</v>
      </c>
      <c r="G251" s="2" t="s">
        <v>163</v>
      </c>
      <c r="H251" s="2">
        <v>8958993258</v>
      </c>
      <c r="I251" s="2">
        <v>730</v>
      </c>
      <c r="J251" s="15"/>
      <c r="K251" s="15"/>
      <c r="L251" s="15"/>
      <c r="M251" s="15"/>
      <c r="N251" s="15"/>
      <c r="O251" s="15"/>
      <c r="P251" s="2">
        <v>13140</v>
      </c>
      <c r="Q251" s="15"/>
    </row>
    <row r="252" spans="1:17" x14ac:dyDescent="0.25">
      <c r="A252" s="15">
        <v>3</v>
      </c>
      <c r="B252" s="16">
        <v>46252</v>
      </c>
      <c r="C252" s="15" t="s">
        <v>160</v>
      </c>
      <c r="D252" s="2" t="s">
        <v>203</v>
      </c>
      <c r="E252" s="2" t="s">
        <v>79</v>
      </c>
      <c r="F252" s="2" t="s">
        <v>204</v>
      </c>
      <c r="G252" s="2" t="s">
        <v>205</v>
      </c>
      <c r="H252" s="2">
        <v>7248019636</v>
      </c>
      <c r="I252" s="2">
        <v>520</v>
      </c>
      <c r="J252" s="15"/>
      <c r="K252" s="15"/>
      <c r="L252" s="15"/>
      <c r="M252" s="15"/>
      <c r="N252" s="15"/>
      <c r="O252" s="15"/>
      <c r="P252" s="2">
        <v>8320</v>
      </c>
      <c r="Q252" s="15"/>
    </row>
    <row r="253" spans="1:17" x14ac:dyDescent="0.25">
      <c r="A253" s="15">
        <v>4</v>
      </c>
      <c r="B253" s="16">
        <v>46252</v>
      </c>
      <c r="C253" s="15" t="s">
        <v>160</v>
      </c>
      <c r="D253" s="2" t="s">
        <v>203</v>
      </c>
      <c r="E253" s="2" t="s">
        <v>81</v>
      </c>
      <c r="F253" s="2" t="s">
        <v>206</v>
      </c>
      <c r="G253" s="2" t="s">
        <v>207</v>
      </c>
      <c r="H253" s="2">
        <v>7060261720</v>
      </c>
      <c r="I253" s="2">
        <v>810</v>
      </c>
      <c r="J253" s="15"/>
      <c r="K253" s="15"/>
      <c r="L253" s="15"/>
      <c r="M253" s="15"/>
      <c r="N253" s="15"/>
      <c r="O253" s="15"/>
      <c r="P253" s="2">
        <v>19440</v>
      </c>
      <c r="Q253" s="15"/>
    </row>
    <row r="254" spans="1:17" x14ac:dyDescent="0.25">
      <c r="A254" s="15">
        <v>5</v>
      </c>
      <c r="B254" s="16">
        <v>46252</v>
      </c>
      <c r="C254" s="15" t="s">
        <v>160</v>
      </c>
      <c r="D254" s="2" t="s">
        <v>208</v>
      </c>
      <c r="E254" s="2" t="s">
        <v>82</v>
      </c>
      <c r="F254" s="2" t="s">
        <v>209</v>
      </c>
      <c r="G254" s="2" t="s">
        <v>210</v>
      </c>
      <c r="H254" s="2">
        <v>6396468391</v>
      </c>
      <c r="I254" s="2">
        <v>810</v>
      </c>
      <c r="J254" s="15"/>
      <c r="K254" s="15"/>
      <c r="L254" s="15"/>
      <c r="M254" s="15"/>
      <c r="N254" s="15"/>
      <c r="O254" s="15"/>
      <c r="P254" s="2">
        <v>19440</v>
      </c>
      <c r="Q254" s="15"/>
    </row>
    <row r="255" spans="1:17" x14ac:dyDescent="0.25">
      <c r="A255" s="15">
        <v>6</v>
      </c>
      <c r="B255" s="16">
        <v>46252</v>
      </c>
      <c r="C255" s="15" t="s">
        <v>160</v>
      </c>
      <c r="D255" s="2" t="s">
        <v>208</v>
      </c>
      <c r="E255" s="2" t="s">
        <v>84</v>
      </c>
      <c r="F255" s="2" t="s">
        <v>55</v>
      </c>
      <c r="G255" s="2" t="s">
        <v>211</v>
      </c>
      <c r="H255" s="2">
        <v>6396207660</v>
      </c>
      <c r="I255" s="2">
        <v>520</v>
      </c>
      <c r="J255" s="15"/>
      <c r="K255" s="15"/>
      <c r="L255" s="15"/>
      <c r="M255" s="15"/>
      <c r="N255" s="15"/>
      <c r="O255" s="15"/>
      <c r="P255" s="2">
        <v>8320</v>
      </c>
      <c r="Q255" s="15"/>
    </row>
    <row r="256" spans="1:17" x14ac:dyDescent="0.25">
      <c r="A256" s="15">
        <v>7</v>
      </c>
      <c r="B256" s="16">
        <v>46252</v>
      </c>
      <c r="C256" s="15" t="s">
        <v>160</v>
      </c>
      <c r="D256" s="2" t="s">
        <v>208</v>
      </c>
      <c r="E256" s="2" t="s">
        <v>85</v>
      </c>
      <c r="F256" s="2" t="s">
        <v>212</v>
      </c>
      <c r="G256" s="2" t="s">
        <v>76</v>
      </c>
      <c r="H256" s="2">
        <v>8445992449</v>
      </c>
      <c r="I256" s="2">
        <v>810</v>
      </c>
      <c r="J256" s="15"/>
      <c r="K256" s="15"/>
      <c r="L256" s="15"/>
      <c r="M256" s="15"/>
      <c r="N256" s="15"/>
      <c r="O256" s="15"/>
      <c r="P256" s="2">
        <v>19440</v>
      </c>
      <c r="Q256" s="15"/>
    </row>
    <row r="257" spans="1:17" x14ac:dyDescent="0.25">
      <c r="A257" s="15">
        <v>8</v>
      </c>
      <c r="B257" s="16">
        <v>46252</v>
      </c>
      <c r="C257" s="15" t="s">
        <v>160</v>
      </c>
      <c r="D257" s="2" t="s">
        <v>208</v>
      </c>
      <c r="E257" s="2" t="s">
        <v>87</v>
      </c>
      <c r="F257" s="2" t="s">
        <v>213</v>
      </c>
      <c r="G257" s="2" t="s">
        <v>214</v>
      </c>
      <c r="H257" s="2">
        <v>9411611874</v>
      </c>
      <c r="I257" s="2">
        <v>520</v>
      </c>
      <c r="J257" s="15"/>
      <c r="K257" s="15"/>
      <c r="L257" s="15"/>
      <c r="M257" s="15"/>
      <c r="N257" s="15"/>
      <c r="O257" s="15"/>
      <c r="P257" s="2">
        <v>8320</v>
      </c>
      <c r="Q257" s="15"/>
    </row>
    <row r="258" spans="1:17" x14ac:dyDescent="0.25">
      <c r="A258" s="15">
        <v>9</v>
      </c>
      <c r="B258" s="16">
        <v>46252</v>
      </c>
      <c r="C258" s="15" t="s">
        <v>160</v>
      </c>
      <c r="D258" s="2" t="s">
        <v>215</v>
      </c>
      <c r="E258" s="2" t="s">
        <v>88</v>
      </c>
      <c r="F258" s="2" t="s">
        <v>216</v>
      </c>
      <c r="G258" s="2" t="s">
        <v>217</v>
      </c>
      <c r="H258" s="2">
        <v>9557832745</v>
      </c>
      <c r="I258" s="2">
        <v>810</v>
      </c>
      <c r="J258" s="15"/>
      <c r="K258" s="15"/>
      <c r="L258" s="15"/>
      <c r="M258" s="15"/>
      <c r="N258" s="15"/>
      <c r="O258" s="15"/>
      <c r="P258" s="2">
        <v>19440</v>
      </c>
      <c r="Q258" s="15"/>
    </row>
    <row r="259" spans="1:17" x14ac:dyDescent="0.25">
      <c r="A259" s="15">
        <v>10</v>
      </c>
      <c r="B259" s="16">
        <v>46252</v>
      </c>
      <c r="C259" s="15" t="s">
        <v>160</v>
      </c>
      <c r="D259" s="2" t="s">
        <v>218</v>
      </c>
      <c r="E259" s="2" t="s">
        <v>89</v>
      </c>
      <c r="F259" s="2" t="s">
        <v>219</v>
      </c>
      <c r="G259" s="2" t="s">
        <v>220</v>
      </c>
      <c r="H259" s="2">
        <v>8534887576</v>
      </c>
      <c r="I259" s="2">
        <v>810</v>
      </c>
      <c r="J259" s="15"/>
      <c r="K259" s="15"/>
      <c r="L259" s="15"/>
      <c r="M259" s="15"/>
      <c r="N259" s="15"/>
      <c r="O259" s="15"/>
      <c r="P259" s="2">
        <v>19440</v>
      </c>
      <c r="Q259" s="15"/>
    </row>
    <row r="260" spans="1:17" x14ac:dyDescent="0.25">
      <c r="A260" s="15">
        <v>11</v>
      </c>
      <c r="B260" s="16">
        <v>46252</v>
      </c>
      <c r="C260" s="15" t="s">
        <v>160</v>
      </c>
      <c r="D260" s="2" t="s">
        <v>230</v>
      </c>
      <c r="E260" s="2" t="s">
        <v>95</v>
      </c>
      <c r="F260" s="2" t="s">
        <v>231</v>
      </c>
      <c r="G260" s="2" t="s">
        <v>232</v>
      </c>
      <c r="H260" s="2">
        <v>7273121150</v>
      </c>
      <c r="I260" s="2">
        <v>810</v>
      </c>
      <c r="J260" s="15"/>
      <c r="K260" s="15"/>
      <c r="L260" s="15"/>
      <c r="M260" s="15"/>
      <c r="N260" s="15"/>
      <c r="O260" s="15"/>
      <c r="P260" s="2">
        <v>19440</v>
      </c>
      <c r="Q260" s="15"/>
    </row>
    <row r="261" spans="1:17" x14ac:dyDescent="0.25">
      <c r="A261" s="15">
        <v>12</v>
      </c>
      <c r="B261" s="16">
        <v>46252</v>
      </c>
      <c r="C261" s="15" t="s">
        <v>160</v>
      </c>
      <c r="D261" s="2" t="s">
        <v>203</v>
      </c>
      <c r="E261" s="2" t="s">
        <v>97</v>
      </c>
      <c r="F261" s="2" t="s">
        <v>236</v>
      </c>
      <c r="G261" s="2" t="s">
        <v>237</v>
      </c>
      <c r="H261" s="2">
        <v>9837327265</v>
      </c>
      <c r="I261" s="2">
        <v>520</v>
      </c>
      <c r="J261" s="15"/>
      <c r="K261" s="15"/>
      <c r="L261" s="15"/>
      <c r="M261" s="15"/>
      <c r="N261" s="15"/>
      <c r="O261" s="15"/>
      <c r="P261" s="2">
        <v>8320</v>
      </c>
      <c r="Q261" s="15"/>
    </row>
    <row r="262" spans="1:17" x14ac:dyDescent="0.25">
      <c r="A262" s="15">
        <v>13</v>
      </c>
      <c r="B262" s="16">
        <v>46252</v>
      </c>
      <c r="C262" s="15" t="s">
        <v>160</v>
      </c>
      <c r="D262" s="2" t="s">
        <v>238</v>
      </c>
      <c r="E262" s="2" t="s">
        <v>98</v>
      </c>
      <c r="F262" s="2" t="s">
        <v>143</v>
      </c>
      <c r="G262" s="2" t="s">
        <v>239</v>
      </c>
      <c r="H262" s="2">
        <v>6397755011</v>
      </c>
      <c r="I262" s="2">
        <v>520</v>
      </c>
      <c r="J262" s="15"/>
      <c r="K262" s="15"/>
      <c r="L262" s="15"/>
      <c r="M262" s="15"/>
      <c r="N262" s="15"/>
      <c r="O262" s="15"/>
      <c r="P262" s="2">
        <v>8320</v>
      </c>
      <c r="Q262" s="15"/>
    </row>
    <row r="263" spans="1:17" x14ac:dyDescent="0.25">
      <c r="A263" s="15">
        <v>14</v>
      </c>
      <c r="B263" s="16">
        <v>46252</v>
      </c>
      <c r="C263" s="15" t="s">
        <v>160</v>
      </c>
      <c r="D263" s="2" t="s">
        <v>203</v>
      </c>
      <c r="E263" s="2" t="s">
        <v>100</v>
      </c>
      <c r="F263" s="2" t="s">
        <v>240</v>
      </c>
      <c r="G263" s="2" t="s">
        <v>241</v>
      </c>
      <c r="H263" s="2">
        <v>8755827893</v>
      </c>
      <c r="I263" s="2">
        <v>730</v>
      </c>
      <c r="J263" s="15"/>
      <c r="K263" s="15"/>
      <c r="L263" s="15"/>
      <c r="M263" s="15"/>
      <c r="N263" s="15"/>
      <c r="O263" s="15"/>
      <c r="P263" s="2">
        <v>13140</v>
      </c>
      <c r="Q263" s="15"/>
    </row>
    <row r="264" spans="1:17" x14ac:dyDescent="0.25">
      <c r="A264" s="15">
        <v>15</v>
      </c>
      <c r="B264" s="16">
        <v>46252</v>
      </c>
      <c r="C264" s="15" t="s">
        <v>160</v>
      </c>
      <c r="D264" s="2" t="s">
        <v>203</v>
      </c>
      <c r="E264" s="2" t="s">
        <v>102</v>
      </c>
      <c r="F264" s="2" t="s">
        <v>242</v>
      </c>
      <c r="G264" s="2" t="s">
        <v>243</v>
      </c>
      <c r="H264" s="2">
        <v>9927527375</v>
      </c>
      <c r="I264" s="2">
        <v>730</v>
      </c>
      <c r="J264" s="15"/>
      <c r="K264" s="15"/>
      <c r="L264" s="15"/>
      <c r="M264" s="15"/>
      <c r="N264" s="15"/>
      <c r="O264" s="15"/>
      <c r="P264" s="2">
        <v>13140</v>
      </c>
      <c r="Q264" s="15"/>
    </row>
    <row r="265" spans="1:17" x14ac:dyDescent="0.25">
      <c r="A265" s="15">
        <v>16</v>
      </c>
      <c r="B265" s="16">
        <v>46252</v>
      </c>
      <c r="C265" s="15" t="s">
        <v>160</v>
      </c>
      <c r="D265" s="2" t="s">
        <v>246</v>
      </c>
      <c r="E265" s="2" t="s">
        <v>105</v>
      </c>
      <c r="F265" s="2" t="s">
        <v>247</v>
      </c>
      <c r="G265" s="2" t="s">
        <v>248</v>
      </c>
      <c r="H265" s="2">
        <v>8449502430</v>
      </c>
      <c r="I265" s="2">
        <v>810</v>
      </c>
      <c r="J265" s="15"/>
      <c r="K265" s="15"/>
      <c r="L265" s="15"/>
      <c r="M265" s="15"/>
      <c r="N265" s="15"/>
      <c r="O265" s="15"/>
      <c r="P265" s="2">
        <v>20250</v>
      </c>
      <c r="Q265" s="15"/>
    </row>
    <row r="266" spans="1:17" x14ac:dyDescent="0.25">
      <c r="A266" s="15">
        <v>17</v>
      </c>
      <c r="B266" s="16">
        <v>46252</v>
      </c>
      <c r="C266" s="15" t="s">
        <v>160</v>
      </c>
      <c r="D266" s="2" t="s">
        <v>252</v>
      </c>
      <c r="E266" s="2" t="s">
        <v>108</v>
      </c>
      <c r="F266" s="2" t="s">
        <v>253</v>
      </c>
      <c r="G266" s="2" t="s">
        <v>254</v>
      </c>
      <c r="H266" s="2">
        <v>6398570844</v>
      </c>
      <c r="I266" s="2">
        <v>810</v>
      </c>
      <c r="J266" s="15"/>
      <c r="K266" s="15"/>
      <c r="L266" s="15"/>
      <c r="M266" s="15"/>
      <c r="N266" s="15"/>
      <c r="O266" s="15"/>
      <c r="P266" s="2">
        <v>20250</v>
      </c>
      <c r="Q266" s="15"/>
    </row>
    <row r="267" spans="1:17" x14ac:dyDescent="0.25">
      <c r="A267" s="15">
        <v>18</v>
      </c>
      <c r="B267" s="16">
        <v>46252</v>
      </c>
      <c r="C267" s="15" t="s">
        <v>160</v>
      </c>
      <c r="D267" s="2" t="s">
        <v>203</v>
      </c>
      <c r="E267" s="2" t="s">
        <v>126</v>
      </c>
      <c r="F267" s="2" t="s">
        <v>276</v>
      </c>
      <c r="G267" s="2" t="s">
        <v>277</v>
      </c>
      <c r="H267" s="2">
        <v>9634030105</v>
      </c>
      <c r="I267" s="2">
        <v>520</v>
      </c>
      <c r="J267" s="15"/>
      <c r="K267" s="15"/>
      <c r="L267" s="15"/>
      <c r="M267" s="15"/>
      <c r="N267" s="15"/>
      <c r="O267" s="15"/>
      <c r="P267" s="2">
        <v>9360</v>
      </c>
      <c r="Q267" s="15"/>
    </row>
    <row r="268" spans="1:17" x14ac:dyDescent="0.25">
      <c r="A268" s="15">
        <v>19</v>
      </c>
      <c r="B268" s="16">
        <v>46252</v>
      </c>
      <c r="C268" s="15" t="s">
        <v>160</v>
      </c>
      <c r="D268" s="2" t="s">
        <v>203</v>
      </c>
      <c r="E268" s="2" t="s">
        <v>128</v>
      </c>
      <c r="F268" s="2" t="s">
        <v>278</v>
      </c>
      <c r="G268" s="2" t="s">
        <v>279</v>
      </c>
      <c r="H268" s="2">
        <v>9639877836</v>
      </c>
      <c r="I268" s="2">
        <v>520</v>
      </c>
      <c r="J268" s="15"/>
      <c r="K268" s="15"/>
      <c r="L268" s="15"/>
      <c r="M268" s="15"/>
      <c r="N268" s="15"/>
      <c r="O268" s="15"/>
      <c r="P268" s="2">
        <v>9360</v>
      </c>
      <c r="Q268" s="15"/>
    </row>
    <row r="269" spans="1:17" x14ac:dyDescent="0.25">
      <c r="A269" s="15">
        <v>20</v>
      </c>
      <c r="B269" s="16">
        <v>46252</v>
      </c>
      <c r="C269" s="15" t="s">
        <v>160</v>
      </c>
      <c r="D269" s="2" t="s">
        <v>314</v>
      </c>
      <c r="E269" s="2" t="s">
        <v>147</v>
      </c>
      <c r="F269" s="2" t="s">
        <v>315</v>
      </c>
      <c r="G269" s="2" t="s">
        <v>316</v>
      </c>
      <c r="H269" s="2">
        <v>9084970587</v>
      </c>
      <c r="I269" s="2">
        <v>830</v>
      </c>
      <c r="J269" s="15"/>
      <c r="K269" s="15"/>
      <c r="L269" s="15"/>
      <c r="M269" s="15"/>
      <c r="N269" s="15"/>
      <c r="O269" s="15"/>
      <c r="P269" s="2">
        <v>29880</v>
      </c>
      <c r="Q269" s="15"/>
    </row>
    <row r="270" spans="1:17" x14ac:dyDescent="0.25">
      <c r="A270" s="15">
        <v>21</v>
      </c>
      <c r="B270" s="16">
        <v>46252</v>
      </c>
      <c r="C270" s="15" t="s">
        <v>160</v>
      </c>
      <c r="D270" s="2" t="s">
        <v>317</v>
      </c>
      <c r="E270" s="2" t="s">
        <v>149</v>
      </c>
      <c r="F270" s="2" t="s">
        <v>320</v>
      </c>
      <c r="G270" s="2" t="s">
        <v>321</v>
      </c>
      <c r="H270" s="2">
        <v>7078235901</v>
      </c>
      <c r="I270" s="2">
        <v>810</v>
      </c>
      <c r="J270" s="15"/>
      <c r="K270" s="15"/>
      <c r="L270" s="15"/>
      <c r="M270" s="15"/>
      <c r="N270" s="15"/>
      <c r="O270" s="15"/>
      <c r="P270" s="2">
        <v>23490</v>
      </c>
      <c r="Q270" s="15"/>
    </row>
    <row r="271" spans="1:17" x14ac:dyDescent="0.25">
      <c r="A271" s="15">
        <v>22</v>
      </c>
      <c r="B271" s="16">
        <v>46252</v>
      </c>
      <c r="C271" s="15" t="s">
        <v>160</v>
      </c>
      <c r="D271" s="2" t="s">
        <v>384</v>
      </c>
      <c r="E271" s="2" t="s">
        <v>385</v>
      </c>
      <c r="F271" s="2" t="s">
        <v>386</v>
      </c>
      <c r="G271" s="2" t="s">
        <v>387</v>
      </c>
      <c r="H271" s="2">
        <v>6395685785</v>
      </c>
      <c r="I271" s="2">
        <v>810</v>
      </c>
      <c r="J271" s="15"/>
      <c r="K271" s="15"/>
      <c r="L271" s="15"/>
      <c r="M271" s="15"/>
      <c r="N271" s="15"/>
      <c r="O271" s="15"/>
      <c r="P271" s="2">
        <v>25110</v>
      </c>
      <c r="Q271" s="15"/>
    </row>
    <row r="272" spans="1:17" x14ac:dyDescent="0.25">
      <c r="A272" s="15">
        <v>23</v>
      </c>
      <c r="B272" s="16">
        <v>46252</v>
      </c>
      <c r="C272" s="15" t="s">
        <v>160</v>
      </c>
      <c r="D272" s="2" t="s">
        <v>255</v>
      </c>
      <c r="E272" s="2" t="s">
        <v>425</v>
      </c>
      <c r="F272" s="2" t="s">
        <v>59</v>
      </c>
      <c r="G272" s="2" t="s">
        <v>426</v>
      </c>
      <c r="H272" s="10">
        <v>8895953996</v>
      </c>
      <c r="I272" s="2">
        <v>810</v>
      </c>
      <c r="J272" s="15"/>
      <c r="K272" s="15"/>
      <c r="L272" s="15"/>
      <c r="M272" s="15"/>
      <c r="N272" s="15"/>
      <c r="O272" s="15"/>
      <c r="P272" s="2">
        <v>26730</v>
      </c>
      <c r="Q272" s="15"/>
    </row>
    <row r="273" spans="1:17" x14ac:dyDescent="0.25">
      <c r="A273" s="15">
        <v>24</v>
      </c>
      <c r="B273" s="16">
        <v>46252</v>
      </c>
      <c r="C273" s="15" t="s">
        <v>160</v>
      </c>
      <c r="D273" s="2" t="s">
        <v>193</v>
      </c>
      <c r="E273" s="2" t="s">
        <v>431</v>
      </c>
      <c r="F273" s="2" t="s">
        <v>446</v>
      </c>
      <c r="G273" s="2" t="s">
        <v>454</v>
      </c>
      <c r="H273" s="10">
        <v>7037377719</v>
      </c>
      <c r="I273" s="2">
        <v>810</v>
      </c>
      <c r="J273" s="15"/>
      <c r="K273" s="15"/>
      <c r="L273" s="15"/>
      <c r="M273" s="15"/>
      <c r="N273" s="15"/>
      <c r="O273" s="15"/>
      <c r="P273" s="2">
        <v>27540</v>
      </c>
      <c r="Q273" s="15"/>
    </row>
    <row r="274" spans="1:17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spans="1:17" x14ac:dyDescent="0.25">
      <c r="A275" s="15"/>
      <c r="B275" s="15"/>
      <c r="C275" s="15"/>
      <c r="D275" s="15"/>
      <c r="E275" s="15"/>
      <c r="F275" s="15"/>
      <c r="G275" s="15"/>
      <c r="H275" s="15"/>
      <c r="I275" s="81">
        <f>SUM(I250:I274)</f>
        <v>17190</v>
      </c>
      <c r="J275" s="15"/>
      <c r="K275" s="15"/>
      <c r="L275" s="15"/>
      <c r="M275" s="15"/>
      <c r="N275" s="15"/>
      <c r="O275" s="15"/>
      <c r="P275" s="81">
        <f>SUM(P250:P274)</f>
        <v>407450</v>
      </c>
      <c r="Q275" s="15"/>
    </row>
    <row r="276" spans="1:17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spans="1:17" x14ac:dyDescent="0.25">
      <c r="A278" s="15">
        <v>1</v>
      </c>
      <c r="B278" s="16">
        <v>46252</v>
      </c>
      <c r="C278" s="2" t="s">
        <v>160</v>
      </c>
      <c r="D278" s="2" t="s">
        <v>249</v>
      </c>
      <c r="E278" s="2" t="s">
        <v>106</v>
      </c>
      <c r="F278" s="2" t="s">
        <v>250</v>
      </c>
      <c r="G278" s="2" t="s">
        <v>251</v>
      </c>
      <c r="H278" s="2">
        <v>6399307883</v>
      </c>
      <c r="I278" s="2">
        <v>830</v>
      </c>
      <c r="J278" s="80" t="s">
        <v>572</v>
      </c>
      <c r="K278" s="80"/>
      <c r="L278" s="80"/>
      <c r="M278" s="80"/>
      <c r="N278" s="80"/>
      <c r="O278" s="80"/>
      <c r="P278" s="2">
        <v>26560</v>
      </c>
      <c r="Q278" s="15"/>
    </row>
    <row r="279" spans="1:17" x14ac:dyDescent="0.25">
      <c r="A279" s="15">
        <v>2</v>
      </c>
      <c r="B279" s="16">
        <v>46252</v>
      </c>
      <c r="C279" s="2" t="s">
        <v>160</v>
      </c>
      <c r="D279" s="2" t="s">
        <v>255</v>
      </c>
      <c r="E279" s="2" t="s">
        <v>109</v>
      </c>
      <c r="F279" s="2" t="s">
        <v>256</v>
      </c>
      <c r="G279" s="2" t="s">
        <v>257</v>
      </c>
      <c r="H279" s="2">
        <v>6397696274</v>
      </c>
      <c r="I279" s="2">
        <v>830</v>
      </c>
      <c r="J279" s="80"/>
      <c r="K279" s="80"/>
      <c r="L279" s="80"/>
      <c r="M279" s="80"/>
      <c r="N279" s="80"/>
      <c r="O279" s="80"/>
      <c r="P279" s="2">
        <v>26560</v>
      </c>
      <c r="Q279" s="15"/>
    </row>
    <row r="280" spans="1:17" x14ac:dyDescent="0.25">
      <c r="A280" s="15">
        <v>3</v>
      </c>
      <c r="B280" s="16">
        <v>46252</v>
      </c>
      <c r="C280" s="2" t="s">
        <v>160</v>
      </c>
      <c r="D280" s="2" t="s">
        <v>255</v>
      </c>
      <c r="E280" s="2" t="s">
        <v>110</v>
      </c>
      <c r="F280" s="2" t="s">
        <v>121</v>
      </c>
      <c r="G280" s="2" t="s">
        <v>158</v>
      </c>
      <c r="H280" s="2">
        <v>9259098745</v>
      </c>
      <c r="I280" s="2">
        <v>830</v>
      </c>
      <c r="J280" s="80"/>
      <c r="K280" s="80"/>
      <c r="L280" s="80"/>
      <c r="M280" s="80"/>
      <c r="N280" s="80"/>
      <c r="O280" s="80"/>
      <c r="P280" s="2">
        <v>26560</v>
      </c>
      <c r="Q280" s="15"/>
    </row>
    <row r="281" spans="1:17" x14ac:dyDescent="0.25">
      <c r="A281" s="15">
        <v>4</v>
      </c>
      <c r="B281" s="16">
        <v>46252</v>
      </c>
      <c r="C281" s="2" t="s">
        <v>160</v>
      </c>
      <c r="D281" s="2" t="s">
        <v>258</v>
      </c>
      <c r="E281" s="2" t="s">
        <v>111</v>
      </c>
      <c r="F281" s="2" t="s">
        <v>140</v>
      </c>
      <c r="G281" s="2" t="s">
        <v>259</v>
      </c>
      <c r="H281" s="2">
        <v>7351116895</v>
      </c>
      <c r="I281" s="2">
        <v>830</v>
      </c>
      <c r="J281" s="80"/>
      <c r="K281" s="80"/>
      <c r="L281" s="80"/>
      <c r="M281" s="80"/>
      <c r="N281" s="80"/>
      <c r="O281" s="80"/>
      <c r="P281" s="2">
        <v>26560</v>
      </c>
      <c r="Q281" s="15"/>
    </row>
    <row r="282" spans="1:17" x14ac:dyDescent="0.25">
      <c r="A282" s="15">
        <v>5</v>
      </c>
      <c r="B282" s="16">
        <v>46252</v>
      </c>
      <c r="C282" s="2" t="s">
        <v>160</v>
      </c>
      <c r="D282" s="2" t="s">
        <v>258</v>
      </c>
      <c r="E282" s="2" t="s">
        <v>112</v>
      </c>
      <c r="F282" s="2" t="s">
        <v>64</v>
      </c>
      <c r="G282" s="2" t="s">
        <v>52</v>
      </c>
      <c r="H282" s="2">
        <v>8630866401</v>
      </c>
      <c r="I282" s="2">
        <v>830</v>
      </c>
      <c r="J282" s="80"/>
      <c r="K282" s="80"/>
      <c r="L282" s="80"/>
      <c r="M282" s="80"/>
      <c r="N282" s="80"/>
      <c r="O282" s="80"/>
      <c r="P282" s="2">
        <v>26560</v>
      </c>
      <c r="Q282" s="15"/>
    </row>
    <row r="283" spans="1:17" x14ac:dyDescent="0.25">
      <c r="A283" s="15">
        <v>6</v>
      </c>
      <c r="B283" s="16">
        <v>46252</v>
      </c>
      <c r="C283" s="2" t="s">
        <v>160</v>
      </c>
      <c r="D283" s="2" t="s">
        <v>258</v>
      </c>
      <c r="E283" s="2" t="s">
        <v>116</v>
      </c>
      <c r="F283" s="2" t="s">
        <v>231</v>
      </c>
      <c r="G283" s="2" t="s">
        <v>262</v>
      </c>
      <c r="H283" s="2">
        <v>9548706978</v>
      </c>
      <c r="I283" s="2">
        <v>830</v>
      </c>
      <c r="J283" s="80"/>
      <c r="K283" s="80"/>
      <c r="L283" s="80"/>
      <c r="M283" s="80"/>
      <c r="N283" s="80"/>
      <c r="O283" s="80"/>
      <c r="P283" s="2">
        <v>26560</v>
      </c>
      <c r="Q283" s="15"/>
    </row>
    <row r="284" spans="1:17" x14ac:dyDescent="0.25">
      <c r="A284" s="15">
        <v>7</v>
      </c>
      <c r="B284" s="16">
        <v>46252</v>
      </c>
      <c r="C284" s="2" t="s">
        <v>160</v>
      </c>
      <c r="D284" s="2" t="s">
        <v>258</v>
      </c>
      <c r="E284" s="2" t="s">
        <v>119</v>
      </c>
      <c r="F284" s="2" t="s">
        <v>263</v>
      </c>
      <c r="G284" s="2" t="s">
        <v>264</v>
      </c>
      <c r="H284" s="2">
        <v>9756745048</v>
      </c>
      <c r="I284" s="2">
        <v>830</v>
      </c>
      <c r="J284" s="80"/>
      <c r="K284" s="80"/>
      <c r="L284" s="80"/>
      <c r="M284" s="80"/>
      <c r="N284" s="80"/>
      <c r="O284" s="80"/>
      <c r="P284" s="2">
        <v>26560</v>
      </c>
      <c r="Q284" s="15"/>
    </row>
    <row r="285" spans="1:17" x14ac:dyDescent="0.25">
      <c r="A285" s="15">
        <v>8</v>
      </c>
      <c r="B285" s="16">
        <v>46252</v>
      </c>
      <c r="C285" s="2" t="s">
        <v>160</v>
      </c>
      <c r="D285" s="2" t="s">
        <v>317</v>
      </c>
      <c r="E285" s="2" t="s">
        <v>148</v>
      </c>
      <c r="F285" s="2" t="s">
        <v>318</v>
      </c>
      <c r="G285" s="2" t="s">
        <v>319</v>
      </c>
      <c r="H285" s="2">
        <v>7906313862</v>
      </c>
      <c r="I285" s="2">
        <v>810</v>
      </c>
      <c r="J285" s="80"/>
      <c r="K285" s="80"/>
      <c r="L285" s="80"/>
      <c r="M285" s="80"/>
      <c r="N285" s="80"/>
      <c r="O285" s="80"/>
      <c r="P285" s="2">
        <v>22680</v>
      </c>
      <c r="Q285" s="15"/>
    </row>
    <row r="286" spans="1:17" x14ac:dyDescent="0.25">
      <c r="A286" s="15">
        <v>9</v>
      </c>
      <c r="B286" s="16">
        <v>46252</v>
      </c>
      <c r="C286" s="2" t="s">
        <v>160</v>
      </c>
      <c r="D286" s="2" t="s">
        <v>317</v>
      </c>
      <c r="E286" s="2" t="s">
        <v>152</v>
      </c>
      <c r="F286" s="2" t="s">
        <v>78</v>
      </c>
      <c r="G286" s="2" t="s">
        <v>327</v>
      </c>
      <c r="H286" s="2">
        <v>9917069331</v>
      </c>
      <c r="I286" s="2">
        <v>810</v>
      </c>
      <c r="J286" s="80"/>
      <c r="K286" s="80"/>
      <c r="L286" s="80"/>
      <c r="M286" s="80"/>
      <c r="N286" s="80"/>
      <c r="O286" s="80"/>
      <c r="P286" s="2">
        <v>22680</v>
      </c>
      <c r="Q286" s="15"/>
    </row>
    <row r="287" spans="1:17" x14ac:dyDescent="0.25">
      <c r="A287" s="15">
        <v>10</v>
      </c>
      <c r="B287" s="16">
        <v>46252</v>
      </c>
      <c r="C287" s="2" t="s">
        <v>160</v>
      </c>
      <c r="D287" s="2" t="s">
        <v>255</v>
      </c>
      <c r="E287" s="2" t="s">
        <v>330</v>
      </c>
      <c r="F287" s="2" t="s">
        <v>174</v>
      </c>
      <c r="G287" s="2" t="s">
        <v>331</v>
      </c>
      <c r="H287" s="2">
        <v>7252872854</v>
      </c>
      <c r="I287" s="2">
        <v>830</v>
      </c>
      <c r="J287" s="80"/>
      <c r="K287" s="80"/>
      <c r="L287" s="80"/>
      <c r="M287" s="80"/>
      <c r="N287" s="80"/>
      <c r="O287" s="80"/>
      <c r="P287" s="2">
        <v>29880</v>
      </c>
      <c r="Q287" s="15"/>
    </row>
    <row r="288" spans="1:17" x14ac:dyDescent="0.25">
      <c r="A288" s="15">
        <v>11</v>
      </c>
      <c r="B288" s="16">
        <v>46252</v>
      </c>
      <c r="C288" s="2" t="s">
        <v>160</v>
      </c>
      <c r="D288" s="2" t="s">
        <v>339</v>
      </c>
      <c r="E288" s="2" t="s">
        <v>340</v>
      </c>
      <c r="F288" s="2" t="s">
        <v>341</v>
      </c>
      <c r="G288" s="2" t="s">
        <v>342</v>
      </c>
      <c r="H288" s="2">
        <v>8923910262</v>
      </c>
      <c r="I288" s="2">
        <v>810</v>
      </c>
      <c r="J288" s="80"/>
      <c r="K288" s="80"/>
      <c r="L288" s="80"/>
      <c r="M288" s="80"/>
      <c r="N288" s="80"/>
      <c r="O288" s="80"/>
      <c r="P288" s="2">
        <v>22680</v>
      </c>
      <c r="Q288" s="15"/>
    </row>
    <row r="289" spans="1:17" x14ac:dyDescent="0.25">
      <c r="A289" s="15">
        <v>12</v>
      </c>
      <c r="B289" s="16">
        <v>46252</v>
      </c>
      <c r="C289" s="2" t="s">
        <v>160</v>
      </c>
      <c r="D289" s="2" t="s">
        <v>255</v>
      </c>
      <c r="E289" s="2" t="s">
        <v>367</v>
      </c>
      <c r="F289" s="2" t="s">
        <v>92</v>
      </c>
      <c r="G289" s="2" t="s">
        <v>368</v>
      </c>
      <c r="H289" s="2">
        <v>9897022238</v>
      </c>
      <c r="I289" s="2">
        <v>830</v>
      </c>
      <c r="J289" s="80"/>
      <c r="K289" s="80"/>
      <c r="L289" s="80"/>
      <c r="M289" s="80"/>
      <c r="N289" s="80"/>
      <c r="O289" s="80"/>
      <c r="P289" s="2">
        <v>31540</v>
      </c>
      <c r="Q289" s="15"/>
    </row>
    <row r="290" spans="1:17" x14ac:dyDescent="0.25">
      <c r="A290" s="15">
        <v>13</v>
      </c>
      <c r="B290" s="16">
        <v>46252</v>
      </c>
      <c r="C290" s="2" t="s">
        <v>160</v>
      </c>
      <c r="D290" s="2" t="s">
        <v>255</v>
      </c>
      <c r="E290" s="2" t="s">
        <v>369</v>
      </c>
      <c r="F290" s="2" t="s">
        <v>370</v>
      </c>
      <c r="G290" s="2" t="s">
        <v>371</v>
      </c>
      <c r="H290" s="2">
        <v>8791791725</v>
      </c>
      <c r="I290" s="2">
        <v>730</v>
      </c>
      <c r="J290" s="80"/>
      <c r="K290" s="80"/>
      <c r="L290" s="80"/>
      <c r="M290" s="80"/>
      <c r="N290" s="80"/>
      <c r="O290" s="80"/>
      <c r="P290" s="2">
        <v>17520</v>
      </c>
      <c r="Q290" s="15"/>
    </row>
    <row r="291" spans="1:17" x14ac:dyDescent="0.25">
      <c r="A291" s="15">
        <v>14</v>
      </c>
      <c r="B291" s="16">
        <v>46252</v>
      </c>
      <c r="C291" s="2" t="s">
        <v>160</v>
      </c>
      <c r="D291" s="2" t="s">
        <v>317</v>
      </c>
      <c r="E291" s="2" t="s">
        <v>372</v>
      </c>
      <c r="F291" s="2" t="s">
        <v>114</v>
      </c>
      <c r="G291" s="2" t="s">
        <v>310</v>
      </c>
      <c r="H291" s="2">
        <v>9259698473</v>
      </c>
      <c r="I291" s="2">
        <v>520</v>
      </c>
      <c r="J291" s="80"/>
      <c r="K291" s="80"/>
      <c r="L291" s="80"/>
      <c r="M291" s="80"/>
      <c r="N291" s="80"/>
      <c r="O291" s="80"/>
      <c r="P291" s="2">
        <v>11440</v>
      </c>
      <c r="Q291" s="15"/>
    </row>
    <row r="292" spans="1:17" x14ac:dyDescent="0.25">
      <c r="A292" s="15">
        <v>15</v>
      </c>
      <c r="B292" s="16">
        <v>46252</v>
      </c>
      <c r="C292" s="2" t="s">
        <v>160</v>
      </c>
      <c r="D292" s="2" t="s">
        <v>373</v>
      </c>
      <c r="E292" s="2" t="s">
        <v>374</v>
      </c>
      <c r="F292" s="2" t="s">
        <v>375</v>
      </c>
      <c r="G292" s="2" t="s">
        <v>376</v>
      </c>
      <c r="H292" s="2">
        <v>7351720450</v>
      </c>
      <c r="I292" s="2">
        <v>830</v>
      </c>
      <c r="J292" s="80"/>
      <c r="K292" s="80"/>
      <c r="L292" s="80"/>
      <c r="M292" s="80"/>
      <c r="N292" s="80"/>
      <c r="O292" s="80"/>
      <c r="P292" s="2">
        <v>31540</v>
      </c>
      <c r="Q292" s="15"/>
    </row>
    <row r="293" spans="1:17" x14ac:dyDescent="0.25">
      <c r="A293" s="15">
        <v>16</v>
      </c>
      <c r="B293" s="16">
        <v>46252</v>
      </c>
      <c r="C293" s="2" t="s">
        <v>160</v>
      </c>
      <c r="D293" s="2" t="s">
        <v>255</v>
      </c>
      <c r="E293" s="2" t="s">
        <v>427</v>
      </c>
      <c r="F293" s="2" t="s">
        <v>83</v>
      </c>
      <c r="G293" s="2" t="s">
        <v>281</v>
      </c>
      <c r="H293" s="10">
        <v>8077494762</v>
      </c>
      <c r="I293" s="2">
        <v>810</v>
      </c>
      <c r="J293" s="80"/>
      <c r="K293" s="80"/>
      <c r="L293" s="80"/>
      <c r="M293" s="80"/>
      <c r="N293" s="80"/>
      <c r="O293" s="80"/>
      <c r="P293" s="2">
        <v>25920</v>
      </c>
      <c r="Q293" s="15"/>
    </row>
    <row r="294" spans="1:17" x14ac:dyDescent="0.25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15"/>
    </row>
    <row r="295" spans="1:17" x14ac:dyDescent="0.25">
      <c r="A295" s="15"/>
      <c r="B295" s="16"/>
      <c r="C295" s="15"/>
      <c r="D295" s="15"/>
      <c r="E295" s="15"/>
      <c r="F295" s="15"/>
      <c r="G295" s="15"/>
      <c r="H295" s="15"/>
      <c r="I295" s="81">
        <f>SUM(I275:I293)</f>
        <v>29980</v>
      </c>
      <c r="J295" s="15"/>
      <c r="K295" s="15"/>
      <c r="L295" s="15"/>
      <c r="M295" s="15"/>
      <c r="N295" s="15"/>
      <c r="O295" s="15"/>
      <c r="P295" s="15"/>
      <c r="Q295" s="15"/>
    </row>
  </sheetData>
  <mergeCells count="13">
    <mergeCell ref="A248:Q248"/>
    <mergeCell ref="J278:O293"/>
    <mergeCell ref="A229:Q229"/>
    <mergeCell ref="A208:Q208"/>
    <mergeCell ref="A179:Q179"/>
    <mergeCell ref="A159:Q159"/>
    <mergeCell ref="A127:Q127"/>
    <mergeCell ref="A108:Q108"/>
    <mergeCell ref="A1:Q1"/>
    <mergeCell ref="A16:Q16"/>
    <mergeCell ref="A44:Q44"/>
    <mergeCell ref="A66:Q66"/>
    <mergeCell ref="A79:Q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9B4C9CBF00F44993DFC43D0A40AFC" ma:contentTypeVersion="9" ma:contentTypeDescription="Create a new document." ma:contentTypeScope="" ma:versionID="38d7f55f8542f3ae3ca242c79d58628f">
  <xsd:schema xmlns:xsd="http://www.w3.org/2001/XMLSchema" xmlns:xs="http://www.w3.org/2001/XMLSchema" xmlns:p="http://schemas.microsoft.com/office/2006/metadata/properties" xmlns:ns3="786c01e9-cad2-41d3-9243-0e0a938d19ea" targetNamespace="http://schemas.microsoft.com/office/2006/metadata/properties" ma:root="true" ma:fieldsID="15079f111ad50d3fbf105ab435ca8bf0" ns3:_="">
    <xsd:import namespace="786c01e9-cad2-41d3-9243-0e0a938d19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1e9-cad2-41d3-9243-0e0a938d19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c01e9-cad2-41d3-9243-0e0a938d19ea" xsi:nil="true"/>
  </documentManagement>
</p:properties>
</file>

<file path=customXml/itemProps1.xml><?xml version="1.0" encoding="utf-8"?>
<ds:datastoreItem xmlns:ds="http://schemas.openxmlformats.org/officeDocument/2006/customXml" ds:itemID="{DC5FB465-0C42-433F-BF5F-B2A7BD8AF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1e9-cad2-41d3-9243-0e0a938d1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1ACBA0-0E51-4827-9F09-169ABFFEF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453FA-A292-434C-B669-E5214816D33C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86c01e9-cad2-41d3-9243-0e0a938d19ea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KHATAULI</vt:lpstr>
      <vt:lpstr>DB</vt:lpstr>
      <vt:lpstr>COLLECTION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Arora</dc:creator>
  <cp:lastModifiedBy>VIDHI AGGARWAL</cp:lastModifiedBy>
  <cp:lastPrinted>2026-07-01T08:08:35Z</cp:lastPrinted>
  <dcterms:created xsi:type="dcterms:W3CDTF">2026-05-19T09:23:51Z</dcterms:created>
  <dcterms:modified xsi:type="dcterms:W3CDTF">2026-08-17T04:42:54Z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0x010100DB19B4C9CBF00F44993DFC43D0A40AFC</vt:lpwstr>
  </property>
</Properties>
</file>