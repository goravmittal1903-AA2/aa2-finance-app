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06C04C7-EF95-4946-908F-5AFBC3CE5A0A}" xr6:coauthVersionLast="47" xr6:coauthVersionMax="47" xr10:uidLastSave="{00000000-0000-0000-0000-000000000000}"/>
  <bookViews>
    <workbookView xWindow="-120" yWindow="-120" windowWidth="20730" windowHeight="11160" tabRatio="597" xr2:uid="{E1EF32BC-EC4F-4E82-8B43-582D1EFA22A0}"/>
  </bookViews>
  <sheets>
    <sheet name="HARIDWAR" sheetId="10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79" i="107" l="1"/>
  <c r="O179" i="107"/>
  <c r="AM176" i="107"/>
  <c r="AL176" i="107"/>
  <c r="AE176" i="107"/>
  <c r="AD176" i="107"/>
  <c r="W176" i="107"/>
  <c r="S176" i="107"/>
  <c r="Q176" i="107"/>
  <c r="AM175" i="107"/>
  <c r="AL175" i="107"/>
  <c r="AE175" i="107"/>
  <c r="AD175" i="107"/>
  <c r="W175" i="107"/>
  <c r="S175" i="107"/>
  <c r="Q175" i="107"/>
  <c r="AM174" i="107"/>
  <c r="AL174" i="107"/>
  <c r="AE174" i="107"/>
  <c r="AD174" i="107"/>
  <c r="W174" i="107"/>
  <c r="S174" i="107"/>
  <c r="Q174" i="107"/>
  <c r="AM173" i="107"/>
  <c r="AL173" i="107"/>
  <c r="AE173" i="107"/>
  <c r="AD173" i="107"/>
  <c r="W173" i="107"/>
  <c r="S173" i="107"/>
  <c r="Q173" i="107"/>
  <c r="AM172" i="107"/>
  <c r="AL172" i="107"/>
  <c r="AE172" i="107"/>
  <c r="AD172" i="107"/>
  <c r="W172" i="107"/>
  <c r="S172" i="107"/>
  <c r="Q172" i="107"/>
  <c r="AM171" i="107"/>
  <c r="AL171" i="107"/>
  <c r="AE171" i="107"/>
  <c r="AD171" i="107"/>
  <c r="W171" i="107"/>
  <c r="S171" i="107"/>
  <c r="Q171" i="107"/>
  <c r="AM170" i="107"/>
  <c r="AL170" i="107"/>
  <c r="AE170" i="107"/>
  <c r="AD170" i="107"/>
  <c r="W170" i="107"/>
  <c r="S170" i="107"/>
  <c r="Q170" i="107"/>
  <c r="AM169" i="107"/>
  <c r="AL169" i="107"/>
  <c r="AE169" i="107"/>
  <c r="AD169" i="107"/>
  <c r="W169" i="107"/>
  <c r="S169" i="107"/>
  <c r="Q169" i="107"/>
  <c r="AM168" i="107"/>
  <c r="AL168" i="107"/>
  <c r="AE168" i="107"/>
  <c r="AD168" i="107"/>
  <c r="W168" i="107"/>
  <c r="S168" i="107"/>
  <c r="Q168" i="107"/>
  <c r="AM167" i="107"/>
  <c r="AL167" i="107"/>
  <c r="AE167" i="107"/>
  <c r="AD167" i="107"/>
  <c r="W167" i="107"/>
  <c r="S167" i="107"/>
  <c r="Q167" i="107"/>
  <c r="AM166" i="107"/>
  <c r="AL166" i="107"/>
  <c r="AE166" i="107"/>
  <c r="AD166" i="107"/>
  <c r="W166" i="107"/>
  <c r="S166" i="107"/>
  <c r="Q166" i="107"/>
  <c r="AM165" i="107"/>
  <c r="AL165" i="107"/>
  <c r="AE165" i="107"/>
  <c r="AD165" i="107"/>
  <c r="W165" i="107"/>
  <c r="S165" i="107"/>
  <c r="Q165" i="107"/>
  <c r="AM164" i="107"/>
  <c r="AL164" i="107"/>
  <c r="AE164" i="107"/>
  <c r="AD164" i="107"/>
  <c r="W164" i="107"/>
  <c r="S164" i="107"/>
  <c r="Q164" i="107"/>
  <c r="AM163" i="107"/>
  <c r="AL163" i="107"/>
  <c r="AE163" i="107"/>
  <c r="AD163" i="107"/>
  <c r="W163" i="107"/>
  <c r="S163" i="107"/>
  <c r="Q163" i="107"/>
  <c r="AM162" i="107"/>
  <c r="AL162" i="107"/>
  <c r="AE162" i="107"/>
  <c r="AD162" i="107"/>
  <c r="W162" i="107"/>
  <c r="S162" i="107"/>
  <c r="Q162" i="107"/>
  <c r="AM161" i="107"/>
  <c r="AL161" i="107"/>
  <c r="AE161" i="107"/>
  <c r="AD161" i="107"/>
  <c r="W161" i="107"/>
  <c r="S161" i="107"/>
  <c r="Q161" i="107"/>
  <c r="AM160" i="107"/>
  <c r="AL160" i="107"/>
  <c r="AE160" i="107"/>
  <c r="AD160" i="107"/>
  <c r="W160" i="107"/>
  <c r="S160" i="107"/>
  <c r="Q160" i="107"/>
  <c r="AM159" i="107"/>
  <c r="AL159" i="107"/>
  <c r="AE159" i="107"/>
  <c r="AD159" i="107"/>
  <c r="W159" i="107"/>
  <c r="S159" i="107"/>
  <c r="Q159" i="107"/>
  <c r="AM158" i="107"/>
  <c r="AL158" i="107"/>
  <c r="AE158" i="107"/>
  <c r="AD158" i="107"/>
  <c r="W158" i="107"/>
  <c r="S158" i="107"/>
  <c r="Q158" i="107"/>
  <c r="AM157" i="107"/>
  <c r="AL157" i="107"/>
  <c r="AE157" i="107"/>
  <c r="AD157" i="107"/>
  <c r="W157" i="107"/>
  <c r="S157" i="107"/>
  <c r="Q157" i="107"/>
  <c r="AM156" i="107"/>
  <c r="AL156" i="107"/>
  <c r="AE156" i="107"/>
  <c r="AD156" i="107"/>
  <c r="W156" i="107"/>
  <c r="S156" i="107"/>
  <c r="Q156" i="107"/>
  <c r="AM155" i="107"/>
  <c r="AL155" i="107"/>
  <c r="AE155" i="107"/>
  <c r="AD155" i="107"/>
  <c r="W155" i="107"/>
  <c r="S155" i="107"/>
  <c r="Q155" i="107"/>
  <c r="AM154" i="107"/>
  <c r="AL154" i="107"/>
  <c r="AE154" i="107"/>
  <c r="AD154" i="107"/>
  <c r="W154" i="107"/>
  <c r="S154" i="107"/>
  <c r="Q154" i="107"/>
  <c r="AM153" i="107"/>
  <c r="AL153" i="107"/>
  <c r="AE153" i="107"/>
  <c r="AD153" i="107"/>
  <c r="W153" i="107"/>
  <c r="S153" i="107"/>
  <c r="Q153" i="107"/>
  <c r="AM152" i="107"/>
  <c r="AL152" i="107"/>
  <c r="AE152" i="107"/>
  <c r="AD152" i="107"/>
  <c r="W152" i="107"/>
  <c r="S152" i="107"/>
  <c r="Q152" i="107"/>
  <c r="AM151" i="107"/>
  <c r="AL151" i="107"/>
  <c r="AE151" i="107"/>
  <c r="AD151" i="107"/>
  <c r="W151" i="107"/>
  <c r="S151" i="107"/>
  <c r="Q151" i="107"/>
  <c r="AM150" i="107"/>
  <c r="AL150" i="107"/>
  <c r="AE150" i="107"/>
  <c r="AD150" i="107"/>
  <c r="W150" i="107"/>
  <c r="S150" i="107"/>
  <c r="Q150" i="107"/>
  <c r="AM149" i="107"/>
  <c r="AL149" i="107"/>
  <c r="AE149" i="107"/>
  <c r="AD149" i="107"/>
  <c r="W149" i="107"/>
  <c r="S149" i="107"/>
  <c r="Q149" i="107"/>
  <c r="AM148" i="107"/>
  <c r="AL148" i="107"/>
  <c r="AE148" i="107"/>
  <c r="AD148" i="107"/>
  <c r="W148" i="107"/>
  <c r="S148" i="107"/>
  <c r="Q148" i="107"/>
  <c r="AM147" i="107"/>
  <c r="AL147" i="107"/>
  <c r="AE147" i="107"/>
  <c r="AD147" i="107"/>
  <c r="W147" i="107"/>
  <c r="S147" i="107"/>
  <c r="Q147" i="107"/>
  <c r="AM146" i="107"/>
  <c r="AL146" i="107"/>
  <c r="AE146" i="107"/>
  <c r="AD146" i="107"/>
  <c r="W146" i="107"/>
  <c r="S146" i="107"/>
  <c r="Q146" i="107"/>
  <c r="AM145" i="107"/>
  <c r="AL145" i="107"/>
  <c r="AE145" i="107"/>
  <c r="AD145" i="107"/>
  <c r="W145" i="107"/>
  <c r="S145" i="107"/>
  <c r="Q145" i="107"/>
  <c r="AM144" i="107"/>
  <c r="AL144" i="107"/>
  <c r="AE144" i="107"/>
  <c r="AD144" i="107"/>
  <c r="W144" i="107"/>
  <c r="S144" i="107"/>
  <c r="Q144" i="107"/>
  <c r="AM143" i="107"/>
  <c r="AL143" i="107"/>
  <c r="AE143" i="107"/>
  <c r="AD143" i="107"/>
  <c r="W143" i="107"/>
  <c r="S143" i="107"/>
  <c r="Q143" i="107"/>
  <c r="AM142" i="107"/>
  <c r="AL142" i="107"/>
  <c r="AE142" i="107"/>
  <c r="AD142" i="107"/>
  <c r="W142" i="107"/>
  <c r="S142" i="107"/>
  <c r="Q142" i="107"/>
  <c r="AM141" i="107"/>
  <c r="AL141" i="107"/>
  <c r="AE141" i="107"/>
  <c r="AD141" i="107"/>
  <c r="W141" i="107"/>
  <c r="S141" i="107"/>
  <c r="Q141" i="107"/>
  <c r="AM140" i="107"/>
  <c r="AL140" i="107"/>
  <c r="AE140" i="107"/>
  <c r="AD140" i="107"/>
  <c r="W140" i="107"/>
  <c r="S140" i="107"/>
  <c r="Q140" i="107"/>
  <c r="AM139" i="107"/>
  <c r="AL139" i="107"/>
  <c r="AE139" i="107"/>
  <c r="AD139" i="107"/>
  <c r="W139" i="107"/>
  <c r="S139" i="107"/>
  <c r="Q139" i="107"/>
  <c r="AM138" i="107"/>
  <c r="AL138" i="107"/>
  <c r="AE138" i="107"/>
  <c r="AD138" i="107"/>
  <c r="W138" i="107"/>
  <c r="S138" i="107"/>
  <c r="Q138" i="107"/>
  <c r="AM137" i="107"/>
  <c r="AL137" i="107"/>
  <c r="AE137" i="107"/>
  <c r="AD137" i="107"/>
  <c r="W137" i="107"/>
  <c r="S137" i="107"/>
  <c r="Q137" i="107"/>
  <c r="AM136" i="107"/>
  <c r="AL136" i="107"/>
  <c r="AE136" i="107"/>
  <c r="AD136" i="107"/>
  <c r="W136" i="107"/>
  <c r="S136" i="107"/>
  <c r="Q136" i="107"/>
  <c r="AM135" i="107"/>
  <c r="AL135" i="107"/>
  <c r="AE135" i="107"/>
  <c r="AD135" i="107"/>
  <c r="W135" i="107"/>
  <c r="S135" i="107"/>
  <c r="Q135" i="107"/>
  <c r="AM134" i="107"/>
  <c r="AL134" i="107"/>
  <c r="AE134" i="107"/>
  <c r="AD134" i="107"/>
  <c r="W134" i="107"/>
  <c r="S134" i="107"/>
  <c r="Q134" i="107"/>
  <c r="AM133" i="107"/>
  <c r="AL133" i="107"/>
  <c r="AE133" i="107"/>
  <c r="AD133" i="107"/>
  <c r="W133" i="107"/>
  <c r="S133" i="107"/>
  <c r="Q133" i="107"/>
  <c r="AM132" i="107"/>
  <c r="AL132" i="107"/>
  <c r="AE132" i="107"/>
  <c r="AD132" i="107"/>
  <c r="W132" i="107"/>
  <c r="S132" i="107"/>
  <c r="Q132" i="107"/>
  <c r="AM131" i="107"/>
  <c r="AL131" i="107"/>
  <c r="AE131" i="107"/>
  <c r="AD131" i="107"/>
  <c r="W131" i="107"/>
  <c r="S131" i="107"/>
  <c r="Q131" i="107"/>
  <c r="AM130" i="107"/>
  <c r="AL130" i="107"/>
  <c r="AE130" i="107"/>
  <c r="AD130" i="107"/>
  <c r="W130" i="107"/>
  <c r="S130" i="107"/>
  <c r="Q130" i="107"/>
  <c r="AM129" i="107"/>
  <c r="AL129" i="107"/>
  <c r="AE129" i="107"/>
  <c r="AD129" i="107"/>
  <c r="W129" i="107"/>
  <c r="S129" i="107"/>
  <c r="Q129" i="107"/>
  <c r="AM128" i="107"/>
  <c r="AL128" i="107"/>
  <c r="AE128" i="107"/>
  <c r="AD128" i="107"/>
  <c r="W128" i="107"/>
  <c r="S128" i="107"/>
  <c r="Q128" i="107"/>
  <c r="AM127" i="107"/>
  <c r="AL127" i="107"/>
  <c r="AE127" i="107"/>
  <c r="AD127" i="107"/>
  <c r="W127" i="107"/>
  <c r="S127" i="107"/>
  <c r="Q127" i="107"/>
  <c r="AM126" i="107"/>
  <c r="AL126" i="107"/>
  <c r="AE126" i="107"/>
  <c r="AD126" i="107"/>
  <c r="W126" i="107"/>
  <c r="S126" i="107"/>
  <c r="Q126" i="107"/>
  <c r="AM125" i="107"/>
  <c r="AL125" i="107"/>
  <c r="AE125" i="107"/>
  <c r="AD125" i="107"/>
  <c r="W125" i="107"/>
  <c r="S125" i="107"/>
  <c r="Q125" i="107"/>
  <c r="AM124" i="107"/>
  <c r="AL124" i="107"/>
  <c r="AE124" i="107"/>
  <c r="AD124" i="107"/>
  <c r="W124" i="107"/>
  <c r="S124" i="107"/>
  <c r="Q124" i="107"/>
  <c r="AM123" i="107"/>
  <c r="AL123" i="107"/>
  <c r="AE123" i="107"/>
  <c r="AD123" i="107"/>
  <c r="W123" i="107"/>
  <c r="S123" i="107"/>
  <c r="Q123" i="107"/>
  <c r="AM122" i="107"/>
  <c r="AL122" i="107"/>
  <c r="AE122" i="107"/>
  <c r="AD122" i="107"/>
  <c r="W122" i="107"/>
  <c r="S122" i="107"/>
  <c r="Q122" i="107"/>
  <c r="AM121" i="107"/>
  <c r="AL121" i="107"/>
  <c r="AE121" i="107"/>
  <c r="AD121" i="107"/>
  <c r="W121" i="107"/>
  <c r="S121" i="107"/>
  <c r="Q121" i="107"/>
  <c r="AM120" i="107"/>
  <c r="AL120" i="107"/>
  <c r="AE120" i="107"/>
  <c r="AD120" i="107"/>
  <c r="W120" i="107"/>
  <c r="S120" i="107"/>
  <c r="Q120" i="107"/>
  <c r="AM119" i="107"/>
  <c r="AL119" i="107"/>
  <c r="AE119" i="107"/>
  <c r="AD119" i="107"/>
  <c r="W119" i="107"/>
  <c r="S119" i="107"/>
  <c r="Q119" i="107"/>
  <c r="AM118" i="107"/>
  <c r="AL118" i="107"/>
  <c r="AE118" i="107"/>
  <c r="AD118" i="107"/>
  <c r="W118" i="107"/>
  <c r="S118" i="107"/>
  <c r="Q118" i="107"/>
  <c r="AM117" i="107"/>
  <c r="AL117" i="107"/>
  <c r="AE117" i="107"/>
  <c r="AD117" i="107"/>
  <c r="W117" i="107"/>
  <c r="S117" i="107"/>
  <c r="Q117" i="107"/>
  <c r="AM116" i="107"/>
  <c r="AL116" i="107"/>
  <c r="AE116" i="107"/>
  <c r="AD116" i="107"/>
  <c r="W116" i="107"/>
  <c r="S116" i="107"/>
  <c r="Q116" i="107"/>
  <c r="AM115" i="107"/>
  <c r="AL115" i="107"/>
  <c r="AE115" i="107"/>
  <c r="AD115" i="107"/>
  <c r="W115" i="107"/>
  <c r="S115" i="107"/>
  <c r="Q115" i="107"/>
  <c r="AM114" i="107"/>
  <c r="AL114" i="107"/>
  <c r="AE114" i="107"/>
  <c r="AD114" i="107"/>
  <c r="W114" i="107"/>
  <c r="S114" i="107"/>
  <c r="Q114" i="107"/>
  <c r="AM113" i="107"/>
  <c r="AL113" i="107"/>
  <c r="AE113" i="107"/>
  <c r="AD113" i="107"/>
  <c r="W113" i="107"/>
  <c r="S113" i="107"/>
  <c r="Q113" i="107"/>
  <c r="AM112" i="107"/>
  <c r="AL112" i="107"/>
  <c r="AE112" i="107"/>
  <c r="AD112" i="107"/>
  <c r="W112" i="107"/>
  <c r="S112" i="107"/>
  <c r="Q112" i="107"/>
  <c r="AM111" i="107"/>
  <c r="AL111" i="107"/>
  <c r="AE111" i="107"/>
  <c r="AD111" i="107"/>
  <c r="W111" i="107"/>
  <c r="S111" i="107"/>
  <c r="Q111" i="107"/>
  <c r="AM110" i="107"/>
  <c r="AL110" i="107"/>
  <c r="AE110" i="107"/>
  <c r="AD110" i="107"/>
  <c r="W110" i="107"/>
  <c r="S110" i="107"/>
  <c r="Q110" i="107"/>
  <c r="AM109" i="107"/>
  <c r="AL109" i="107"/>
  <c r="AE109" i="107"/>
  <c r="AD109" i="107"/>
  <c r="W109" i="107"/>
  <c r="S109" i="107"/>
  <c r="Q109" i="107"/>
  <c r="AM108" i="107"/>
  <c r="AL108" i="107"/>
  <c r="AE108" i="107"/>
  <c r="AD108" i="107"/>
  <c r="W108" i="107"/>
  <c r="S108" i="107"/>
  <c r="Q108" i="107"/>
  <c r="AM107" i="107"/>
  <c r="AL107" i="107"/>
  <c r="AE107" i="107"/>
  <c r="AD107" i="107"/>
  <c r="W107" i="107"/>
  <c r="S107" i="107"/>
  <c r="Q107" i="107"/>
  <c r="AM106" i="107"/>
  <c r="AL106" i="107"/>
  <c r="AE106" i="107"/>
  <c r="AD106" i="107"/>
  <c r="W106" i="107"/>
  <c r="S106" i="107"/>
  <c r="Q106" i="107"/>
  <c r="AM105" i="107"/>
  <c r="AL105" i="107"/>
  <c r="AE105" i="107"/>
  <c r="AD105" i="107"/>
  <c r="W105" i="107"/>
  <c r="S105" i="107"/>
  <c r="Q105" i="107"/>
  <c r="AM104" i="107"/>
  <c r="AL104" i="107"/>
  <c r="AE104" i="107"/>
  <c r="AD104" i="107"/>
  <c r="W104" i="107"/>
  <c r="S104" i="107"/>
  <c r="Q104" i="107"/>
  <c r="AM103" i="107"/>
  <c r="AL103" i="107"/>
  <c r="AE103" i="107"/>
  <c r="AD103" i="107"/>
  <c r="W103" i="107"/>
  <c r="S103" i="107"/>
  <c r="Q103" i="107"/>
  <c r="AM102" i="107"/>
  <c r="AL102" i="107"/>
  <c r="AE102" i="107"/>
  <c r="AD102" i="107"/>
  <c r="W102" i="107"/>
  <c r="S102" i="107"/>
  <c r="Q102" i="107"/>
  <c r="AM101" i="107"/>
  <c r="AL101" i="107"/>
  <c r="AE101" i="107"/>
  <c r="AD101" i="107"/>
  <c r="W101" i="107"/>
  <c r="S101" i="107"/>
  <c r="Q101" i="107"/>
  <c r="AM100" i="107"/>
  <c r="AL100" i="107"/>
  <c r="AE100" i="107"/>
  <c r="AD100" i="107"/>
  <c r="W100" i="107"/>
  <c r="S100" i="107"/>
  <c r="Q100" i="107"/>
  <c r="AM99" i="107"/>
  <c r="AL99" i="107"/>
  <c r="AE99" i="107"/>
  <c r="AD99" i="107"/>
  <c r="W99" i="107"/>
  <c r="S99" i="107"/>
  <c r="Q99" i="107"/>
  <c r="AM98" i="107"/>
  <c r="AL98" i="107"/>
  <c r="AE98" i="107"/>
  <c r="AD98" i="107"/>
  <c r="W98" i="107"/>
  <c r="S98" i="107"/>
  <c r="Q98" i="107"/>
  <c r="AM97" i="107"/>
  <c r="AL97" i="107"/>
  <c r="AE97" i="107"/>
  <c r="AD97" i="107"/>
  <c r="W97" i="107"/>
  <c r="S97" i="107"/>
  <c r="Q97" i="107"/>
  <c r="AM96" i="107"/>
  <c r="AL96" i="107"/>
  <c r="AE96" i="107"/>
  <c r="AD96" i="107"/>
  <c r="W96" i="107"/>
  <c r="S96" i="107"/>
  <c r="Q96" i="107"/>
  <c r="AM95" i="107"/>
  <c r="AL95" i="107"/>
  <c r="AE95" i="107"/>
  <c r="AD95" i="107"/>
  <c r="W95" i="107"/>
  <c r="S95" i="107"/>
  <c r="Q95" i="107"/>
  <c r="AM94" i="107"/>
  <c r="AL94" i="107"/>
  <c r="AE94" i="107"/>
  <c r="AD94" i="107"/>
  <c r="W94" i="107"/>
  <c r="S94" i="107"/>
  <c r="Q94" i="107"/>
  <c r="AM93" i="107"/>
  <c r="AL93" i="107"/>
  <c r="AE93" i="107"/>
  <c r="AD93" i="107"/>
  <c r="W93" i="107"/>
  <c r="S93" i="107"/>
  <c r="Q93" i="107"/>
  <c r="AM92" i="107"/>
  <c r="AL92" i="107"/>
  <c r="AE92" i="107"/>
  <c r="AD92" i="107"/>
  <c r="W92" i="107"/>
  <c r="S92" i="107"/>
  <c r="Q92" i="107"/>
  <c r="AM91" i="107"/>
  <c r="AL91" i="107"/>
  <c r="AE91" i="107"/>
  <c r="AD91" i="107"/>
  <c r="W91" i="107"/>
  <c r="S91" i="107"/>
  <c r="Q91" i="107"/>
  <c r="AM90" i="107"/>
  <c r="AL90" i="107"/>
  <c r="AE90" i="107"/>
  <c r="AD90" i="107"/>
  <c r="W90" i="107"/>
  <c r="S90" i="107"/>
  <c r="Q90" i="107"/>
  <c r="AM89" i="107"/>
  <c r="AL89" i="107"/>
  <c r="AE89" i="107"/>
  <c r="AD89" i="107"/>
  <c r="W89" i="107"/>
  <c r="S89" i="107"/>
  <c r="Q89" i="107"/>
  <c r="AM88" i="107"/>
  <c r="AL88" i="107"/>
  <c r="AE88" i="107"/>
  <c r="AD88" i="107"/>
  <c r="W88" i="107"/>
  <c r="S88" i="107"/>
  <c r="Q88" i="107"/>
  <c r="AM87" i="107"/>
  <c r="AL87" i="107"/>
  <c r="AE87" i="107"/>
  <c r="AD87" i="107"/>
  <c r="W87" i="107"/>
  <c r="S87" i="107"/>
  <c r="Q87" i="107"/>
  <c r="AM86" i="107"/>
  <c r="AL86" i="107"/>
  <c r="AE86" i="107"/>
  <c r="AD86" i="107"/>
  <c r="W86" i="107"/>
  <c r="S86" i="107"/>
  <c r="Q86" i="107"/>
  <c r="AM85" i="107"/>
  <c r="AL85" i="107"/>
  <c r="AE85" i="107"/>
  <c r="AD85" i="107"/>
  <c r="W85" i="107"/>
  <c r="S85" i="107"/>
  <c r="Q85" i="107"/>
  <c r="AM84" i="107"/>
  <c r="AL84" i="107"/>
  <c r="AE84" i="107"/>
  <c r="AD84" i="107"/>
  <c r="W84" i="107"/>
  <c r="S84" i="107"/>
  <c r="Q84" i="107"/>
  <c r="AM83" i="107"/>
  <c r="AL83" i="107"/>
  <c r="AE83" i="107"/>
  <c r="AD83" i="107"/>
  <c r="W83" i="107"/>
  <c r="S83" i="107"/>
  <c r="Q83" i="107"/>
  <c r="AM82" i="107"/>
  <c r="AL82" i="107"/>
  <c r="AE82" i="107"/>
  <c r="AD82" i="107"/>
  <c r="W82" i="107"/>
  <c r="S82" i="107"/>
  <c r="Q82" i="107"/>
  <c r="AM81" i="107"/>
  <c r="AL81" i="107"/>
  <c r="AE81" i="107"/>
  <c r="AD81" i="107"/>
  <c r="W81" i="107"/>
  <c r="S81" i="107"/>
  <c r="Q81" i="107"/>
  <c r="AM80" i="107"/>
  <c r="AL80" i="107"/>
  <c r="AE80" i="107"/>
  <c r="AD80" i="107"/>
  <c r="W80" i="107"/>
  <c r="S80" i="107"/>
  <c r="Q80" i="107"/>
  <c r="AM79" i="107"/>
  <c r="AL79" i="107"/>
  <c r="AE79" i="107"/>
  <c r="AD79" i="107"/>
  <c r="W79" i="107"/>
  <c r="S79" i="107"/>
  <c r="Q79" i="107"/>
  <c r="AM78" i="107"/>
  <c r="AL78" i="107"/>
  <c r="AE78" i="107"/>
  <c r="AD78" i="107"/>
  <c r="W78" i="107"/>
  <c r="S78" i="107"/>
  <c r="Q78" i="107"/>
  <c r="AM77" i="107"/>
  <c r="AL77" i="107"/>
  <c r="AE77" i="107"/>
  <c r="AD77" i="107"/>
  <c r="W77" i="107"/>
  <c r="S77" i="107"/>
  <c r="Q77" i="107"/>
  <c r="AM76" i="107"/>
  <c r="AL76" i="107"/>
  <c r="AE76" i="107"/>
  <c r="AD76" i="107"/>
  <c r="W76" i="107"/>
  <c r="S76" i="107"/>
  <c r="Q76" i="107"/>
  <c r="AM75" i="107"/>
  <c r="AL75" i="107"/>
  <c r="AE75" i="107"/>
  <c r="AD75" i="107"/>
  <c r="W75" i="107"/>
  <c r="S75" i="107"/>
  <c r="Q75" i="107"/>
  <c r="AM74" i="107"/>
  <c r="AL74" i="107"/>
  <c r="AE74" i="107"/>
  <c r="AD74" i="107"/>
  <c r="W74" i="107"/>
  <c r="S74" i="107"/>
  <c r="Q74" i="107"/>
  <c r="AM73" i="107"/>
  <c r="AL73" i="107"/>
  <c r="AE73" i="107"/>
  <c r="AD73" i="107"/>
  <c r="W73" i="107"/>
  <c r="S73" i="107"/>
  <c r="Q73" i="107"/>
  <c r="AM72" i="107"/>
  <c r="AL72" i="107"/>
  <c r="AE72" i="107"/>
  <c r="AD72" i="107"/>
  <c r="W72" i="107"/>
  <c r="S72" i="107"/>
  <c r="Q72" i="107"/>
  <c r="AM71" i="107"/>
  <c r="AL71" i="107"/>
  <c r="AE71" i="107"/>
  <c r="AD71" i="107"/>
  <c r="W71" i="107"/>
  <c r="S71" i="107"/>
  <c r="Q71" i="107"/>
  <c r="AM70" i="107"/>
  <c r="AL70" i="107"/>
  <c r="AE70" i="107"/>
  <c r="AD70" i="107"/>
  <c r="W70" i="107"/>
  <c r="S70" i="107"/>
  <c r="Q70" i="107"/>
  <c r="AM69" i="107"/>
  <c r="AL69" i="107"/>
  <c r="AE69" i="107"/>
  <c r="AD69" i="107"/>
  <c r="W69" i="107"/>
  <c r="S69" i="107"/>
  <c r="Q69" i="107"/>
  <c r="AM68" i="107"/>
  <c r="AL68" i="107"/>
  <c r="AE68" i="107"/>
  <c r="AD68" i="107"/>
  <c r="W68" i="107"/>
  <c r="S68" i="107"/>
  <c r="Q68" i="107"/>
  <c r="AM67" i="107"/>
  <c r="AL67" i="107"/>
  <c r="AE67" i="107"/>
  <c r="AD67" i="107"/>
  <c r="W67" i="107"/>
  <c r="S67" i="107"/>
  <c r="Q67" i="107"/>
  <c r="AM66" i="107"/>
  <c r="AL66" i="107"/>
  <c r="AE66" i="107"/>
  <c r="AD66" i="107"/>
  <c r="W66" i="107"/>
  <c r="S66" i="107"/>
  <c r="Q66" i="107"/>
  <c r="AM65" i="107"/>
  <c r="AL65" i="107"/>
  <c r="AE65" i="107"/>
  <c r="AD65" i="107"/>
  <c r="W65" i="107"/>
  <c r="S65" i="107"/>
  <c r="Q65" i="107"/>
  <c r="AM64" i="107"/>
  <c r="AL64" i="107"/>
  <c r="AE64" i="107"/>
  <c r="AD64" i="107"/>
  <c r="W64" i="107"/>
  <c r="S64" i="107"/>
  <c r="Q64" i="107"/>
  <c r="AM63" i="107"/>
  <c r="AL63" i="107"/>
  <c r="AE63" i="107"/>
  <c r="AD63" i="107"/>
  <c r="W63" i="107"/>
  <c r="S63" i="107"/>
  <c r="Q63" i="107"/>
  <c r="AM62" i="107"/>
  <c r="AL62" i="107"/>
  <c r="AE62" i="107"/>
  <c r="AD62" i="107"/>
  <c r="W62" i="107"/>
  <c r="S62" i="107"/>
  <c r="Q62" i="107"/>
  <c r="AM61" i="107"/>
  <c r="AL61" i="107"/>
  <c r="AE61" i="107"/>
  <c r="AD61" i="107"/>
  <c r="W61" i="107"/>
  <c r="S61" i="107"/>
  <c r="Q61" i="107"/>
  <c r="AM60" i="107"/>
  <c r="AL60" i="107"/>
  <c r="AE60" i="107"/>
  <c r="AD60" i="107"/>
  <c r="W60" i="107"/>
  <c r="S60" i="107"/>
  <c r="Q60" i="107"/>
  <c r="AM59" i="107"/>
  <c r="AL59" i="107"/>
  <c r="AE59" i="107"/>
  <c r="AD59" i="107"/>
  <c r="W59" i="107"/>
  <c r="S59" i="107"/>
  <c r="Q59" i="107"/>
  <c r="AM58" i="107"/>
  <c r="AL58" i="107"/>
  <c r="AE58" i="107"/>
  <c r="AD58" i="107"/>
  <c r="W58" i="107"/>
  <c r="S58" i="107"/>
  <c r="Q58" i="107"/>
  <c r="AM57" i="107"/>
  <c r="AL57" i="107"/>
  <c r="AE57" i="107"/>
  <c r="AD57" i="107"/>
  <c r="W57" i="107"/>
  <c r="S57" i="107"/>
  <c r="Q57" i="107"/>
  <c r="AM56" i="107"/>
  <c r="AL56" i="107"/>
  <c r="AE56" i="107"/>
  <c r="AD56" i="107"/>
  <c r="W56" i="107"/>
  <c r="S56" i="107"/>
  <c r="Q56" i="107"/>
  <c r="AM55" i="107"/>
  <c r="AL55" i="107"/>
  <c r="AE55" i="107"/>
  <c r="AD55" i="107"/>
  <c r="W55" i="107"/>
  <c r="S55" i="107"/>
  <c r="Q55" i="107"/>
  <c r="AM54" i="107"/>
  <c r="AL54" i="107"/>
  <c r="AE54" i="107"/>
  <c r="AD54" i="107"/>
  <c r="W54" i="107"/>
  <c r="S54" i="107"/>
  <c r="Q54" i="107"/>
  <c r="AM53" i="107"/>
  <c r="AL53" i="107"/>
  <c r="AE53" i="107"/>
  <c r="AD53" i="107"/>
  <c r="W53" i="107"/>
  <c r="S53" i="107"/>
  <c r="Q53" i="107"/>
  <c r="AM52" i="107"/>
  <c r="AL52" i="107"/>
  <c r="AE52" i="107"/>
  <c r="AD52" i="107"/>
  <c r="W52" i="107"/>
  <c r="S52" i="107"/>
  <c r="Q52" i="107"/>
  <c r="AM51" i="107"/>
  <c r="AL51" i="107"/>
  <c r="AE51" i="107"/>
  <c r="AD51" i="107"/>
  <c r="W51" i="107"/>
  <c r="S51" i="107"/>
  <c r="Q51" i="107"/>
  <c r="AM50" i="107"/>
  <c r="AL50" i="107"/>
  <c r="AE50" i="107"/>
  <c r="AD50" i="107"/>
  <c r="W50" i="107"/>
  <c r="S50" i="107"/>
  <c r="Q50" i="107"/>
  <c r="AM49" i="107"/>
  <c r="AL49" i="107"/>
  <c r="AE49" i="107"/>
  <c r="AD49" i="107"/>
  <c r="W49" i="107"/>
  <c r="S49" i="107"/>
  <c r="Q49" i="107"/>
  <c r="AM48" i="107"/>
  <c r="AL48" i="107"/>
  <c r="AE48" i="107"/>
  <c r="AD48" i="107"/>
  <c r="W48" i="107"/>
  <c r="S48" i="107"/>
  <c r="Q48" i="107"/>
  <c r="AM47" i="107"/>
  <c r="AL47" i="107"/>
  <c r="AE47" i="107"/>
  <c r="AD47" i="107"/>
  <c r="W47" i="107"/>
  <c r="S47" i="107"/>
  <c r="Q47" i="107"/>
  <c r="AM46" i="107"/>
  <c r="AL46" i="107"/>
  <c r="AE46" i="107"/>
  <c r="AD46" i="107"/>
  <c r="W46" i="107"/>
  <c r="S46" i="107"/>
  <c r="Q46" i="107"/>
  <c r="AM45" i="107"/>
  <c r="AL45" i="107"/>
  <c r="AE45" i="107"/>
  <c r="AD45" i="107"/>
  <c r="W45" i="107"/>
  <c r="S45" i="107"/>
  <c r="Q45" i="107"/>
  <c r="AM44" i="107"/>
  <c r="AL44" i="107"/>
  <c r="AE44" i="107"/>
  <c r="AD44" i="107"/>
  <c r="W44" i="107"/>
  <c r="S44" i="107"/>
  <c r="Q44" i="107"/>
  <c r="AM43" i="107"/>
  <c r="AL43" i="107"/>
  <c r="AE43" i="107"/>
  <c r="AD43" i="107"/>
  <c r="W43" i="107"/>
  <c r="S43" i="107"/>
  <c r="Q43" i="107"/>
  <c r="AM42" i="107"/>
  <c r="AL42" i="107"/>
  <c r="AE42" i="107"/>
  <c r="AD42" i="107"/>
  <c r="W42" i="107"/>
  <c r="S42" i="107"/>
  <c r="Q42" i="107"/>
  <c r="AM41" i="107"/>
  <c r="AL41" i="107"/>
  <c r="AE41" i="107"/>
  <c r="AD41" i="107"/>
  <c r="W41" i="107"/>
  <c r="S41" i="107"/>
  <c r="Q41" i="107"/>
  <c r="AM40" i="107"/>
  <c r="AL40" i="107"/>
  <c r="AE40" i="107"/>
  <c r="AD40" i="107"/>
  <c r="W40" i="107"/>
  <c r="S40" i="107"/>
  <c r="Q40" i="107"/>
  <c r="AM39" i="107"/>
  <c r="AL39" i="107"/>
  <c r="AE39" i="107"/>
  <c r="AD39" i="107"/>
  <c r="W39" i="107"/>
  <c r="S39" i="107"/>
  <c r="Q39" i="107"/>
  <c r="AM38" i="107"/>
  <c r="AL38" i="107"/>
  <c r="AE38" i="107"/>
  <c r="AD38" i="107"/>
  <c r="W38" i="107"/>
  <c r="S38" i="107"/>
  <c r="Q38" i="107"/>
  <c r="AM37" i="107"/>
  <c r="AL37" i="107"/>
  <c r="AE37" i="107"/>
  <c r="AD37" i="107"/>
  <c r="W37" i="107"/>
  <c r="S37" i="107"/>
  <c r="Q37" i="107"/>
  <c r="AM36" i="107"/>
  <c r="AL36" i="107"/>
  <c r="AE36" i="107"/>
  <c r="AD36" i="107"/>
  <c r="W36" i="107"/>
  <c r="S36" i="107"/>
  <c r="Q36" i="107"/>
  <c r="AM35" i="107"/>
  <c r="AL35" i="107"/>
  <c r="AE35" i="107"/>
  <c r="AD35" i="107"/>
  <c r="W35" i="107"/>
  <c r="S35" i="107"/>
  <c r="Q35" i="107"/>
  <c r="AM34" i="107"/>
  <c r="AL34" i="107"/>
  <c r="AE34" i="107"/>
  <c r="AD34" i="107"/>
  <c r="W34" i="107"/>
  <c r="S34" i="107"/>
  <c r="Q34" i="107"/>
  <c r="AM33" i="107"/>
  <c r="AL33" i="107"/>
  <c r="AE33" i="107"/>
  <c r="AD33" i="107"/>
  <c r="W33" i="107"/>
  <c r="S33" i="107"/>
  <c r="Q33" i="107"/>
  <c r="AM32" i="107"/>
  <c r="AL32" i="107"/>
  <c r="AE32" i="107"/>
  <c r="AD32" i="107"/>
  <c r="W32" i="107"/>
  <c r="S32" i="107"/>
  <c r="Q32" i="107"/>
  <c r="AM31" i="107"/>
  <c r="AL31" i="107"/>
  <c r="AE31" i="107"/>
  <c r="AD31" i="107"/>
  <c r="W31" i="107"/>
  <c r="S31" i="107"/>
  <c r="Q31" i="107"/>
  <c r="AM30" i="107"/>
  <c r="AL30" i="107"/>
  <c r="AE30" i="107"/>
  <c r="AD30" i="107"/>
  <c r="W30" i="107"/>
  <c r="S30" i="107"/>
  <c r="Q30" i="107"/>
  <c r="AM29" i="107"/>
  <c r="AL29" i="107"/>
  <c r="AE29" i="107"/>
  <c r="AD29" i="107"/>
  <c r="W29" i="107"/>
  <c r="S29" i="107"/>
  <c r="Q29" i="107"/>
  <c r="AM28" i="107"/>
  <c r="AL28" i="107"/>
  <c r="AE28" i="107"/>
  <c r="AD28" i="107"/>
  <c r="W28" i="107"/>
  <c r="S28" i="107"/>
  <c r="Q28" i="107"/>
  <c r="AM27" i="107"/>
  <c r="AL27" i="107"/>
  <c r="AE27" i="107"/>
  <c r="AD27" i="107"/>
  <c r="W27" i="107"/>
  <c r="S27" i="107"/>
  <c r="Q27" i="107"/>
  <c r="AM26" i="107"/>
  <c r="AL26" i="107"/>
  <c r="AE26" i="107"/>
  <c r="AD26" i="107"/>
  <c r="W26" i="107"/>
  <c r="S26" i="107"/>
  <c r="Q26" i="107"/>
  <c r="AM25" i="107"/>
  <c r="AL25" i="107"/>
  <c r="AE25" i="107"/>
  <c r="AD25" i="107"/>
  <c r="W25" i="107"/>
  <c r="S25" i="107"/>
  <c r="Q25" i="107"/>
  <c r="AM24" i="107"/>
  <c r="AL24" i="107"/>
  <c r="AE24" i="107"/>
  <c r="AD24" i="107"/>
  <c r="W24" i="107"/>
  <c r="S24" i="107"/>
  <c r="Q24" i="107"/>
  <c r="AM23" i="107"/>
  <c r="AL23" i="107"/>
  <c r="AE23" i="107"/>
  <c r="AD23" i="107"/>
  <c r="W23" i="107"/>
  <c r="S23" i="107"/>
  <c r="Q23" i="107"/>
  <c r="AM22" i="107"/>
  <c r="AL22" i="107"/>
  <c r="AE22" i="107"/>
  <c r="AD22" i="107"/>
  <c r="W22" i="107"/>
  <c r="S22" i="107"/>
  <c r="Q22" i="107"/>
  <c r="AM21" i="107"/>
  <c r="AL21" i="107"/>
  <c r="AE21" i="107"/>
  <c r="AD21" i="107"/>
  <c r="W21" i="107"/>
  <c r="S21" i="107"/>
  <c r="Q21" i="107"/>
  <c r="AM20" i="107"/>
  <c r="AL20" i="107"/>
  <c r="AE20" i="107"/>
  <c r="AD20" i="107"/>
  <c r="W20" i="107"/>
  <c r="S20" i="107"/>
  <c r="Q20" i="107"/>
  <c r="AM19" i="107"/>
  <c r="AL19" i="107"/>
  <c r="AE19" i="107"/>
  <c r="AD19" i="107"/>
  <c r="W19" i="107"/>
  <c r="S19" i="107"/>
  <c r="Q19" i="107"/>
  <c r="AM18" i="107"/>
  <c r="AL18" i="107"/>
  <c r="AE18" i="107"/>
  <c r="AD18" i="107"/>
  <c r="W18" i="107"/>
  <c r="S18" i="107"/>
  <c r="Q18" i="107"/>
  <c r="AM17" i="107"/>
  <c r="AL17" i="107"/>
  <c r="AE17" i="107"/>
  <c r="AD17" i="107"/>
  <c r="W17" i="107"/>
  <c r="S17" i="107"/>
  <c r="Q17" i="107"/>
  <c r="AM16" i="107"/>
  <c r="AL16" i="107"/>
  <c r="AE16" i="107"/>
  <c r="AD16" i="107"/>
  <c r="W16" i="107"/>
  <c r="S16" i="107"/>
  <c r="Q16" i="107"/>
  <c r="AM15" i="107"/>
  <c r="AL15" i="107"/>
  <c r="AE15" i="107"/>
  <c r="AD15" i="107"/>
  <c r="W15" i="107"/>
  <c r="S15" i="107"/>
  <c r="Q15" i="107"/>
  <c r="AM14" i="107"/>
  <c r="AL14" i="107"/>
  <c r="AE14" i="107"/>
  <c r="AD14" i="107"/>
  <c r="W14" i="107"/>
  <c r="S14" i="107"/>
  <c r="Q14" i="107"/>
  <c r="AM13" i="107"/>
  <c r="AL13" i="107"/>
  <c r="AE13" i="107"/>
  <c r="AD13" i="107"/>
  <c r="W13" i="107"/>
  <c r="S13" i="107"/>
  <c r="Q13" i="107"/>
  <c r="AM12" i="107"/>
  <c r="AL12" i="107"/>
  <c r="AE12" i="107"/>
  <c r="AD12" i="107"/>
  <c r="W12" i="107"/>
  <c r="S12" i="107"/>
  <c r="Q12" i="107"/>
  <c r="AM11" i="107"/>
  <c r="AL11" i="107"/>
  <c r="AE11" i="107"/>
  <c r="AD11" i="107"/>
  <c r="W11" i="107"/>
  <c r="S11" i="107"/>
  <c r="Q11" i="107"/>
  <c r="AM10" i="107"/>
  <c r="AL10" i="107"/>
  <c r="AE10" i="107"/>
  <c r="AD10" i="107"/>
  <c r="W10" i="107"/>
  <c r="S10" i="107"/>
  <c r="Q10" i="107"/>
  <c r="AM9" i="107"/>
  <c r="AL9" i="107"/>
  <c r="AE9" i="107"/>
  <c r="AD9" i="107"/>
  <c r="W9" i="107"/>
  <c r="S9" i="107"/>
  <c r="Q9" i="107"/>
  <c r="AM8" i="107"/>
  <c r="AL8" i="107"/>
  <c r="AE8" i="107"/>
  <c r="AD8" i="107"/>
  <c r="W8" i="107"/>
  <c r="S8" i="107"/>
  <c r="Q8" i="107"/>
  <c r="AM7" i="107"/>
  <c r="AL7" i="107"/>
  <c r="AE7" i="107"/>
  <c r="AD7" i="107"/>
  <c r="W7" i="107"/>
  <c r="S7" i="107"/>
  <c r="Q7" i="107"/>
  <c r="AM6" i="107"/>
  <c r="AL6" i="107"/>
  <c r="AE6" i="107"/>
  <c r="AD6" i="107"/>
  <c r="W6" i="107"/>
  <c r="S6" i="107"/>
  <c r="Q6" i="107"/>
  <c r="AM5" i="107"/>
  <c r="AL5" i="107"/>
  <c r="AE5" i="107"/>
  <c r="AD5" i="107"/>
  <c r="W5" i="107"/>
  <c r="S5" i="107"/>
  <c r="Q5" i="107"/>
  <c r="AM4" i="107"/>
  <c r="AL4" i="107"/>
  <c r="AE4" i="107"/>
  <c r="AD4" i="107"/>
  <c r="W4" i="107"/>
  <c r="S4" i="107"/>
  <c r="Q4" i="107"/>
  <c r="AM3" i="107"/>
  <c r="AL3" i="107"/>
  <c r="AE3" i="107"/>
  <c r="AD3" i="107"/>
  <c r="W3" i="107"/>
  <c r="S3" i="107"/>
  <c r="Q3" i="107"/>
  <c r="AG69" i="107" l="1"/>
  <c r="AN144" i="107"/>
  <c r="AG143" i="107"/>
  <c r="AH110" i="107"/>
  <c r="AD179" i="107"/>
  <c r="Q179" i="107"/>
  <c r="AV176" i="107"/>
  <c r="AN176" i="107"/>
  <c r="AJ176" i="107"/>
  <c r="AH176" i="107"/>
  <c r="AI176" i="107" s="1"/>
  <c r="AG176" i="107"/>
  <c r="AC176" i="107"/>
  <c r="AV175" i="107"/>
  <c r="AN175" i="107"/>
  <c r="AJ175" i="107"/>
  <c r="AH175" i="107"/>
  <c r="AI175" i="107" s="1"/>
  <c r="AG175" i="107"/>
  <c r="AC175" i="107"/>
  <c r="AV174" i="107"/>
  <c r="AN174" i="107"/>
  <c r="AJ174" i="107"/>
  <c r="AH174" i="107"/>
  <c r="AI174" i="107" s="1"/>
  <c r="AG174" i="107"/>
  <c r="AC174" i="107"/>
  <c r="AV173" i="107"/>
  <c r="AN173" i="107"/>
  <c r="AJ173" i="107"/>
  <c r="AH173" i="107"/>
  <c r="AI173" i="107" s="1"/>
  <c r="AG173" i="107"/>
  <c r="AC173" i="107"/>
  <c r="AV172" i="107"/>
  <c r="AN172" i="107"/>
  <c r="AJ172" i="107"/>
  <c r="AH172" i="107"/>
  <c r="AI172" i="107" s="1"/>
  <c r="AG172" i="107"/>
  <c r="AC172" i="107"/>
  <c r="AV171" i="107"/>
  <c r="AN171" i="107"/>
  <c r="AJ171" i="107"/>
  <c r="AH171" i="107"/>
  <c r="AI171" i="107" s="1"/>
  <c r="AG171" i="107"/>
  <c r="AC171" i="107"/>
  <c r="AV170" i="107"/>
  <c r="AN170" i="107"/>
  <c r="AJ170" i="107"/>
  <c r="AH170" i="107"/>
  <c r="AI170" i="107" s="1"/>
  <c r="AG170" i="107"/>
  <c r="AC170" i="107"/>
  <c r="AV169" i="107"/>
  <c r="AN169" i="107"/>
  <c r="AJ169" i="107"/>
  <c r="AH169" i="107"/>
  <c r="AI169" i="107" s="1"/>
  <c r="AG169" i="107"/>
  <c r="AC169" i="107"/>
  <c r="AV168" i="107"/>
  <c r="AN168" i="107"/>
  <c r="AJ168" i="107"/>
  <c r="AH168" i="107"/>
  <c r="AI168" i="107" s="1"/>
  <c r="AG168" i="107"/>
  <c r="AC168" i="107"/>
  <c r="AV167" i="107"/>
  <c r="AN167" i="107"/>
  <c r="AJ167" i="107"/>
  <c r="AH167" i="107"/>
  <c r="AI167" i="107" s="1"/>
  <c r="AG167" i="107"/>
  <c r="AC167" i="107"/>
  <c r="AV166" i="107"/>
  <c r="AN166" i="107"/>
  <c r="AJ166" i="107"/>
  <c r="AH166" i="107"/>
  <c r="AI166" i="107" s="1"/>
  <c r="AG166" i="107"/>
  <c r="AC166" i="107"/>
  <c r="AV165" i="107"/>
  <c r="AN165" i="107"/>
  <c r="AJ165" i="107"/>
  <c r="AH165" i="107"/>
  <c r="AI165" i="107" s="1"/>
  <c r="AG165" i="107"/>
  <c r="AC165" i="107"/>
  <c r="AV164" i="107"/>
  <c r="AN164" i="107"/>
  <c r="AJ164" i="107"/>
  <c r="AH164" i="107"/>
  <c r="AI164" i="107" s="1"/>
  <c r="AG164" i="107"/>
  <c r="AC164" i="107"/>
  <c r="AV163" i="107"/>
  <c r="AN163" i="107"/>
  <c r="AJ163" i="107"/>
  <c r="AH163" i="107"/>
  <c r="AI163" i="107" s="1"/>
  <c r="AG163" i="107"/>
  <c r="AC163" i="107"/>
  <c r="AV162" i="107"/>
  <c r="AN162" i="107"/>
  <c r="AJ162" i="107"/>
  <c r="AH162" i="107"/>
  <c r="AI162" i="107" s="1"/>
  <c r="AG162" i="107"/>
  <c r="AC162" i="107"/>
  <c r="AV161" i="107"/>
  <c r="AN161" i="107"/>
  <c r="AJ161" i="107"/>
  <c r="AH161" i="107"/>
  <c r="AI161" i="107" s="1"/>
  <c r="AG161" i="107"/>
  <c r="AC161" i="107"/>
  <c r="AV160" i="107"/>
  <c r="AN160" i="107"/>
  <c r="AJ160" i="107"/>
  <c r="AH160" i="107"/>
  <c r="AI160" i="107" s="1"/>
  <c r="AG160" i="107"/>
  <c r="AC160" i="107"/>
  <c r="AV159" i="107"/>
  <c r="AN159" i="107"/>
  <c r="AJ159" i="107"/>
  <c r="AH159" i="107"/>
  <c r="AI159" i="107" s="1"/>
  <c r="AG159" i="107"/>
  <c r="AC159" i="107"/>
  <c r="AV158" i="107"/>
  <c r="AN158" i="107"/>
  <c r="AJ158" i="107"/>
  <c r="AH158" i="107"/>
  <c r="AI158" i="107" s="1"/>
  <c r="AG158" i="107"/>
  <c r="AC158" i="107"/>
  <c r="AV157" i="107"/>
  <c r="AN157" i="107"/>
  <c r="AJ157" i="107"/>
  <c r="AH157" i="107"/>
  <c r="AI157" i="107" s="1"/>
  <c r="AG157" i="107"/>
  <c r="AC157" i="107"/>
  <c r="AV156" i="107"/>
  <c r="AN156" i="107"/>
  <c r="AJ156" i="107"/>
  <c r="AH156" i="107"/>
  <c r="AI156" i="107" s="1"/>
  <c r="AG156" i="107"/>
  <c r="AC156" i="107"/>
  <c r="AV155" i="107"/>
  <c r="AN155" i="107"/>
  <c r="AJ155" i="107"/>
  <c r="AH155" i="107"/>
  <c r="AI155" i="107" s="1"/>
  <c r="AG155" i="107"/>
  <c r="AC155" i="107"/>
  <c r="AV154" i="107"/>
  <c r="AN154" i="107"/>
  <c r="AJ154" i="107"/>
  <c r="AH154" i="107"/>
  <c r="AI154" i="107" s="1"/>
  <c r="AG154" i="107"/>
  <c r="AC154" i="107"/>
  <c r="AV153" i="107"/>
  <c r="AN153" i="107"/>
  <c r="AJ153" i="107"/>
  <c r="AH153" i="107"/>
  <c r="AI153" i="107" s="1"/>
  <c r="AG153" i="107"/>
  <c r="AC153" i="107"/>
  <c r="AV152" i="107"/>
  <c r="AN152" i="107"/>
  <c r="AJ152" i="107"/>
  <c r="AH152" i="107"/>
  <c r="AI152" i="107" s="1"/>
  <c r="AG152" i="107"/>
  <c r="AC152" i="107"/>
  <c r="AV151" i="107"/>
  <c r="AN151" i="107"/>
  <c r="AJ151" i="107"/>
  <c r="AH151" i="107"/>
  <c r="AI151" i="107" s="1"/>
  <c r="AG151" i="107"/>
  <c r="AC151" i="107"/>
  <c r="AV150" i="107"/>
  <c r="AN150" i="107"/>
  <c r="AJ150" i="107"/>
  <c r="AH150" i="107"/>
  <c r="AI150" i="107" s="1"/>
  <c r="AG150" i="107"/>
  <c r="AC150" i="107"/>
  <c r="AV149" i="107"/>
  <c r="AN149" i="107"/>
  <c r="AJ149" i="107"/>
  <c r="AH149" i="107"/>
  <c r="AI149" i="107" s="1"/>
  <c r="AG149" i="107"/>
  <c r="AC149" i="107"/>
  <c r="AV148" i="107"/>
  <c r="AN148" i="107"/>
  <c r="AJ148" i="107"/>
  <c r="AH148" i="107"/>
  <c r="AI148" i="107" s="1"/>
  <c r="AG148" i="107"/>
  <c r="AC148" i="107"/>
  <c r="AV147" i="107"/>
  <c r="AN147" i="107"/>
  <c r="AJ147" i="107"/>
  <c r="AH147" i="107"/>
  <c r="AI147" i="107" s="1"/>
  <c r="AG147" i="107"/>
  <c r="AC147" i="107"/>
  <c r="AV146" i="107"/>
  <c r="AN146" i="107"/>
  <c r="AJ146" i="107"/>
  <c r="AH146" i="107"/>
  <c r="AI146" i="107" s="1"/>
  <c r="AG146" i="107"/>
  <c r="AC146" i="107"/>
  <c r="AV145" i="107"/>
  <c r="AN145" i="107"/>
  <c r="AJ145" i="107"/>
  <c r="AH145" i="107"/>
  <c r="AI145" i="107" s="1"/>
  <c r="AG145" i="107"/>
  <c r="AC145" i="107"/>
  <c r="AV144" i="107"/>
  <c r="AJ144" i="107"/>
  <c r="AH144" i="107"/>
  <c r="AI144" i="107" s="1"/>
  <c r="AG144" i="107"/>
  <c r="AC144" i="107"/>
  <c r="AV143" i="107"/>
  <c r="AN143" i="107"/>
  <c r="AH143" i="107"/>
  <c r="AI143" i="107" s="1"/>
  <c r="AJ142" i="107"/>
  <c r="AH142" i="107"/>
  <c r="AI142" i="107" s="1"/>
  <c r="AC142" i="107"/>
  <c r="AG141" i="107"/>
  <c r="AV140" i="107"/>
  <c r="AG140" i="107"/>
  <c r="AV139" i="107"/>
  <c r="AH139" i="107"/>
  <c r="AI139" i="107" s="1"/>
  <c r="AC139" i="107"/>
  <c r="AV138" i="107"/>
  <c r="AG138" i="107"/>
  <c r="AN137" i="107"/>
  <c r="AJ137" i="107"/>
  <c r="AH137" i="107"/>
  <c r="AI137" i="107" s="1"/>
  <c r="AC137" i="107"/>
  <c r="AV136" i="107"/>
  <c r="AH136" i="107"/>
  <c r="AI136" i="107" s="1"/>
  <c r="AC136" i="107"/>
  <c r="AN135" i="107"/>
  <c r="AG135" i="107"/>
  <c r="AN134" i="107"/>
  <c r="AJ134" i="107"/>
  <c r="AH134" i="107"/>
  <c r="AI134" i="107" s="1"/>
  <c r="AC134" i="107"/>
  <c r="AN133" i="107"/>
  <c r="AJ133" i="107"/>
  <c r="AH133" i="107"/>
  <c r="AI133" i="107" s="1"/>
  <c r="AN132" i="107"/>
  <c r="AG132" i="107"/>
  <c r="AN131" i="107"/>
  <c r="AJ131" i="107"/>
  <c r="AG131" i="107"/>
  <c r="AN130" i="107"/>
  <c r="AJ130" i="107"/>
  <c r="AH130" i="107"/>
  <c r="AI130" i="107" s="1"/>
  <c r="AC130" i="107"/>
  <c r="AN129" i="107"/>
  <c r="AG129" i="107"/>
  <c r="AV128" i="107"/>
  <c r="AN128" i="107"/>
  <c r="AG128" i="107"/>
  <c r="AN127" i="107"/>
  <c r="AJ127" i="107"/>
  <c r="AH127" i="107"/>
  <c r="AI127" i="107" s="1"/>
  <c r="AC127" i="107"/>
  <c r="AV126" i="107"/>
  <c r="AN126" i="107"/>
  <c r="AJ126" i="107"/>
  <c r="AH126" i="107"/>
  <c r="AI126" i="107" s="1"/>
  <c r="AG126" i="107"/>
  <c r="AC126" i="107"/>
  <c r="AV125" i="107"/>
  <c r="AJ125" i="107"/>
  <c r="AH125" i="107"/>
  <c r="AI125" i="107" s="1"/>
  <c r="AG125" i="107"/>
  <c r="AV124" i="107"/>
  <c r="AJ124" i="107"/>
  <c r="AH124" i="107"/>
  <c r="AI124" i="107" s="1"/>
  <c r="AC124" i="107"/>
  <c r="AV123" i="107"/>
  <c r="AJ123" i="107"/>
  <c r="AH123" i="107"/>
  <c r="AI123" i="107" s="1"/>
  <c r="AC123" i="107"/>
  <c r="AN122" i="107"/>
  <c r="AG122" i="107"/>
  <c r="AV121" i="107"/>
  <c r="AG121" i="107"/>
  <c r="AN120" i="107"/>
  <c r="AJ120" i="107"/>
  <c r="AH120" i="107"/>
  <c r="AI120" i="107" s="1"/>
  <c r="AC120" i="107"/>
  <c r="AN119" i="107"/>
  <c r="AJ119" i="107"/>
  <c r="AH119" i="107"/>
  <c r="AI119" i="107" s="1"/>
  <c r="AC119" i="107"/>
  <c r="AN118" i="107"/>
  <c r="AG118" i="107"/>
  <c r="AN117" i="107"/>
  <c r="AJ117" i="107"/>
  <c r="AH117" i="107"/>
  <c r="AI117" i="107" s="1"/>
  <c r="AC117" i="107"/>
  <c r="AN116" i="107"/>
  <c r="AJ116" i="107"/>
  <c r="AH116" i="107"/>
  <c r="AI116" i="107" s="1"/>
  <c r="AC116" i="107"/>
  <c r="AN115" i="107"/>
  <c r="AJ115" i="107"/>
  <c r="AH115" i="107"/>
  <c r="AI115" i="107" s="1"/>
  <c r="AC115" i="107"/>
  <c r="AN114" i="107"/>
  <c r="AJ114" i="107"/>
  <c r="AG114" i="107"/>
  <c r="AN113" i="107"/>
  <c r="AG113" i="107"/>
  <c r="AN112" i="107"/>
  <c r="AJ112" i="107"/>
  <c r="AH112" i="107"/>
  <c r="AI112" i="107" s="1"/>
  <c r="AC112" i="107"/>
  <c r="AN111" i="107"/>
  <c r="AG111" i="107"/>
  <c r="AV110" i="107"/>
  <c r="AI110" i="107"/>
  <c r="AG110" i="107"/>
  <c r="AC110" i="107"/>
  <c r="AN109" i="107"/>
  <c r="AJ109" i="107"/>
  <c r="AH109" i="107"/>
  <c r="AI109" i="107" s="1"/>
  <c r="AC109" i="107"/>
  <c r="AV108" i="107"/>
  <c r="AG108" i="107"/>
  <c r="AN107" i="107"/>
  <c r="AJ107" i="107"/>
  <c r="AH107" i="107"/>
  <c r="AI107" i="107" s="1"/>
  <c r="AC107" i="107"/>
  <c r="AN106" i="107"/>
  <c r="AJ106" i="107"/>
  <c r="AH106" i="107"/>
  <c r="AI106" i="107" s="1"/>
  <c r="AC106" i="107"/>
  <c r="AN105" i="107"/>
  <c r="AJ105" i="107"/>
  <c r="AH105" i="107"/>
  <c r="AI105" i="107" s="1"/>
  <c r="AC105" i="107"/>
  <c r="AN104" i="107"/>
  <c r="AJ104" i="107"/>
  <c r="AH104" i="107"/>
  <c r="AI104" i="107" s="1"/>
  <c r="AC104" i="107"/>
  <c r="AV103" i="107"/>
  <c r="AG103" i="107"/>
  <c r="AN102" i="107"/>
  <c r="AG102" i="107"/>
  <c r="AV101" i="107"/>
  <c r="AJ101" i="107"/>
  <c r="AG101" i="107"/>
  <c r="AN100" i="107"/>
  <c r="AG100" i="107"/>
  <c r="AN99" i="107"/>
  <c r="AJ99" i="107"/>
  <c r="AH99" i="107"/>
  <c r="AI99" i="107" s="1"/>
  <c r="AN98" i="107"/>
  <c r="AJ98" i="107"/>
  <c r="AG98" i="107"/>
  <c r="AG97" i="107"/>
  <c r="AV96" i="107"/>
  <c r="AG96" i="107"/>
  <c r="AN95" i="107"/>
  <c r="AJ95" i="107"/>
  <c r="AH95" i="107"/>
  <c r="AI95" i="107" s="1"/>
  <c r="AC95" i="107"/>
  <c r="AV94" i="107"/>
  <c r="AJ94" i="107"/>
  <c r="AH94" i="107"/>
  <c r="AI94" i="107" s="1"/>
  <c r="AC94" i="107"/>
  <c r="AN93" i="107"/>
  <c r="AG93" i="107"/>
  <c r="AN92" i="107"/>
  <c r="AJ92" i="107"/>
  <c r="AH92" i="107"/>
  <c r="AI92" i="107" s="1"/>
  <c r="AC92" i="107"/>
  <c r="AN91" i="107"/>
  <c r="AJ91" i="107"/>
  <c r="AH91" i="107"/>
  <c r="AI91" i="107" s="1"/>
  <c r="AC91" i="107"/>
  <c r="AN90" i="107"/>
  <c r="AJ90" i="107"/>
  <c r="AG90" i="107"/>
  <c r="AN89" i="107"/>
  <c r="AJ89" i="107"/>
  <c r="AH89" i="107"/>
  <c r="AI89" i="107" s="1"/>
  <c r="AV88" i="107"/>
  <c r="AJ88" i="107"/>
  <c r="AH88" i="107"/>
  <c r="AI88" i="107" s="1"/>
  <c r="AC88" i="107"/>
  <c r="AN87" i="107"/>
  <c r="AJ87" i="107"/>
  <c r="AH87" i="107"/>
  <c r="AI87" i="107" s="1"/>
  <c r="AC87" i="107"/>
  <c r="AN86" i="107"/>
  <c r="AH86" i="107"/>
  <c r="AI86" i="107" s="1"/>
  <c r="AG86" i="107"/>
  <c r="AN85" i="107"/>
  <c r="AJ85" i="107"/>
  <c r="AH85" i="107"/>
  <c r="AI85" i="107" s="1"/>
  <c r="AC85" i="107"/>
  <c r="AN84" i="107"/>
  <c r="AG84" i="107"/>
  <c r="AV83" i="107"/>
  <c r="AJ83" i="107"/>
  <c r="AH83" i="107"/>
  <c r="AI83" i="107" s="1"/>
  <c r="AC83" i="107"/>
  <c r="AN82" i="107"/>
  <c r="AJ82" i="107"/>
  <c r="AH82" i="107"/>
  <c r="AI82" i="107" s="1"/>
  <c r="AC82" i="107"/>
  <c r="AV81" i="107"/>
  <c r="AJ81" i="107"/>
  <c r="AH81" i="107"/>
  <c r="AI81" i="107" s="1"/>
  <c r="AC81" i="107"/>
  <c r="AN80" i="107"/>
  <c r="AJ80" i="107"/>
  <c r="AH80" i="107"/>
  <c r="AI80" i="107" s="1"/>
  <c r="AC80" i="107"/>
  <c r="AN79" i="107"/>
  <c r="AJ79" i="107"/>
  <c r="AH79" i="107"/>
  <c r="AI79" i="107" s="1"/>
  <c r="AC79" i="107"/>
  <c r="AV78" i="107"/>
  <c r="AN78" i="107"/>
  <c r="AC78" i="107"/>
  <c r="AN77" i="107"/>
  <c r="AJ77" i="107"/>
  <c r="AH77" i="107"/>
  <c r="AI77" i="107" s="1"/>
  <c r="AC77" i="107"/>
  <c r="AV76" i="107"/>
  <c r="AJ76" i="107"/>
  <c r="AG76" i="107"/>
  <c r="AN75" i="107"/>
  <c r="AJ75" i="107"/>
  <c r="AH75" i="107"/>
  <c r="AI75" i="107" s="1"/>
  <c r="AC75" i="107"/>
  <c r="AV74" i="107"/>
  <c r="AJ74" i="107"/>
  <c r="AH74" i="107"/>
  <c r="AI74" i="107" s="1"/>
  <c r="AC74" i="107"/>
  <c r="AN73" i="107"/>
  <c r="AH73" i="107"/>
  <c r="AI73" i="107" s="1"/>
  <c r="AN72" i="107"/>
  <c r="AJ72" i="107"/>
  <c r="AG72" i="107"/>
  <c r="AN71" i="107"/>
  <c r="AJ71" i="107"/>
  <c r="AH71" i="107"/>
  <c r="AI71" i="107" s="1"/>
  <c r="AC71" i="107"/>
  <c r="AN70" i="107"/>
  <c r="AJ70" i="107"/>
  <c r="AH70" i="107"/>
  <c r="AI70" i="107" s="1"/>
  <c r="AN69" i="107"/>
  <c r="AV67" i="107"/>
  <c r="AJ67" i="107"/>
  <c r="AG67" i="107"/>
  <c r="AN66" i="107"/>
  <c r="AH66" i="107"/>
  <c r="AI66" i="107" s="1"/>
  <c r="AC66" i="107"/>
  <c r="AN65" i="107"/>
  <c r="AG65" i="107"/>
  <c r="AV64" i="107"/>
  <c r="AG64" i="107"/>
  <c r="AV63" i="107"/>
  <c r="AJ63" i="107"/>
  <c r="AH63" i="107"/>
  <c r="AI63" i="107" s="1"/>
  <c r="AN62" i="107"/>
  <c r="AJ62" i="107"/>
  <c r="AH62" i="107"/>
  <c r="AI62" i="107" s="1"/>
  <c r="AC62" i="107"/>
  <c r="AV61" i="107"/>
  <c r="AJ61" i="107"/>
  <c r="AH61" i="107"/>
  <c r="AI61" i="107" s="1"/>
  <c r="AC61" i="107"/>
  <c r="AV60" i="107"/>
  <c r="AG60" i="107"/>
  <c r="AV59" i="107"/>
  <c r="AJ59" i="107"/>
  <c r="AC59" i="107"/>
  <c r="AV58" i="107"/>
  <c r="AJ58" i="107"/>
  <c r="AG58" i="107"/>
  <c r="AV57" i="107"/>
  <c r="AJ57" i="107"/>
  <c r="AH57" i="107"/>
  <c r="AI57" i="107" s="1"/>
  <c r="AC57" i="107"/>
  <c r="AN56" i="107"/>
  <c r="AJ56" i="107"/>
  <c r="AH56" i="107"/>
  <c r="AI56" i="107" s="1"/>
  <c r="AC56" i="107"/>
  <c r="AN55" i="107"/>
  <c r="AJ55" i="107"/>
  <c r="AH55" i="107"/>
  <c r="AI55" i="107" s="1"/>
  <c r="AN54" i="107"/>
  <c r="AG54" i="107"/>
  <c r="AV53" i="107"/>
  <c r="AJ53" i="107"/>
  <c r="AH53" i="107"/>
  <c r="AI53" i="107" s="1"/>
  <c r="AC53" i="107"/>
  <c r="AN52" i="107"/>
  <c r="AJ52" i="107"/>
  <c r="AH52" i="107"/>
  <c r="AI52" i="107" s="1"/>
  <c r="AC52" i="107"/>
  <c r="AN51" i="107"/>
  <c r="AJ51" i="107"/>
  <c r="AH51" i="107"/>
  <c r="AI51" i="107" s="1"/>
  <c r="AC51" i="107"/>
  <c r="AV50" i="107"/>
  <c r="AJ50" i="107"/>
  <c r="AH50" i="107"/>
  <c r="AI50" i="107" s="1"/>
  <c r="AC50" i="107"/>
  <c r="AV49" i="107"/>
  <c r="AJ49" i="107"/>
  <c r="AH49" i="107"/>
  <c r="AI49" i="107" s="1"/>
  <c r="AV48" i="107"/>
  <c r="AJ48" i="107"/>
  <c r="AH48" i="107"/>
  <c r="AI48" i="107" s="1"/>
  <c r="AG48" i="107"/>
  <c r="AN47" i="107"/>
  <c r="AJ47" i="107"/>
  <c r="AH47" i="107"/>
  <c r="AI47" i="107" s="1"/>
  <c r="AG47" i="107"/>
  <c r="AN46" i="107"/>
  <c r="AC46" i="107"/>
  <c r="AV45" i="107"/>
  <c r="AJ45" i="107"/>
  <c r="AH45" i="107"/>
  <c r="AI45" i="107" s="1"/>
  <c r="AC45" i="107"/>
  <c r="AV44" i="107"/>
  <c r="AJ44" i="107"/>
  <c r="AG44" i="107"/>
  <c r="AN43" i="107"/>
  <c r="AJ43" i="107"/>
  <c r="AH43" i="107"/>
  <c r="AI43" i="107" s="1"/>
  <c r="AC43" i="107"/>
  <c r="AN42" i="107"/>
  <c r="AG42" i="107"/>
  <c r="AN41" i="107"/>
  <c r="AJ41" i="107"/>
  <c r="AH41" i="107"/>
  <c r="AI41" i="107" s="1"/>
  <c r="AC41" i="107"/>
  <c r="AN40" i="107"/>
  <c r="AG40" i="107"/>
  <c r="AN39" i="107"/>
  <c r="AJ39" i="107"/>
  <c r="AH39" i="107"/>
  <c r="AI39" i="107" s="1"/>
  <c r="AC39" i="107"/>
  <c r="AN38" i="107"/>
  <c r="AJ38" i="107"/>
  <c r="AH38" i="107"/>
  <c r="AI38" i="107" s="1"/>
  <c r="AC38" i="107"/>
  <c r="AN37" i="107"/>
  <c r="AG37" i="107"/>
  <c r="AV36" i="107"/>
  <c r="AJ36" i="107"/>
  <c r="AH36" i="107"/>
  <c r="AI36" i="107" s="1"/>
  <c r="AC36" i="107"/>
  <c r="AV35" i="107"/>
  <c r="AJ35" i="107"/>
  <c r="AH35" i="107"/>
  <c r="AI35" i="107" s="1"/>
  <c r="AC35" i="107"/>
  <c r="AV34" i="107"/>
  <c r="AJ34" i="107"/>
  <c r="AH34" i="107"/>
  <c r="AI34" i="107" s="1"/>
  <c r="AV33" i="107"/>
  <c r="AJ33" i="107"/>
  <c r="AH33" i="107"/>
  <c r="AI33" i="107" s="1"/>
  <c r="AC33" i="107"/>
  <c r="AN32" i="107"/>
  <c r="AJ32" i="107"/>
  <c r="AH32" i="107"/>
  <c r="AI32" i="107" s="1"/>
  <c r="AC32" i="107"/>
  <c r="AN31" i="107"/>
  <c r="AG31" i="107"/>
  <c r="AN30" i="107"/>
  <c r="AJ30" i="107"/>
  <c r="AH30" i="107"/>
  <c r="AI30" i="107" s="1"/>
  <c r="AC30" i="107"/>
  <c r="AN29" i="107"/>
  <c r="AC29" i="107"/>
  <c r="AJ28" i="107"/>
  <c r="AH28" i="107"/>
  <c r="AI28" i="107" s="1"/>
  <c r="AC28" i="107"/>
  <c r="AC27" i="107"/>
  <c r="AN26" i="107"/>
  <c r="AJ26" i="107"/>
  <c r="AH26" i="107"/>
  <c r="AI26" i="107" s="1"/>
  <c r="AN25" i="107"/>
  <c r="AJ25" i="107"/>
  <c r="AH25" i="107"/>
  <c r="AI25" i="107" s="1"/>
  <c r="AC25" i="107"/>
  <c r="AV24" i="107"/>
  <c r="AJ24" i="107"/>
  <c r="AH24" i="107"/>
  <c r="AI24" i="107" s="1"/>
  <c r="AC24" i="107"/>
  <c r="AN23" i="107"/>
  <c r="AJ23" i="107"/>
  <c r="AH23" i="107"/>
  <c r="AI23" i="107" s="1"/>
  <c r="AC23" i="107"/>
  <c r="AN22" i="107"/>
  <c r="AJ22" i="107"/>
  <c r="AH22" i="107"/>
  <c r="AI22" i="107" s="1"/>
  <c r="AC22" i="107"/>
  <c r="AV21" i="107"/>
  <c r="AH21" i="107"/>
  <c r="AI21" i="107" s="1"/>
  <c r="AG21" i="107"/>
  <c r="AV20" i="107"/>
  <c r="AN20" i="107"/>
  <c r="AJ20" i="107"/>
  <c r="AH20" i="107"/>
  <c r="AI20" i="107" s="1"/>
  <c r="AG20" i="107"/>
  <c r="AC20" i="107"/>
  <c r="AV19" i="107"/>
  <c r="AJ19" i="107"/>
  <c r="AC19" i="107"/>
  <c r="AN18" i="107"/>
  <c r="AH18" i="107"/>
  <c r="AI18" i="107" s="1"/>
  <c r="AC18" i="107"/>
  <c r="AV17" i="107"/>
  <c r="AJ17" i="107"/>
  <c r="AH17" i="107"/>
  <c r="AI17" i="107" s="1"/>
  <c r="AC17" i="107"/>
  <c r="AV16" i="107"/>
  <c r="AC16" i="107"/>
  <c r="AN15" i="107"/>
  <c r="AG15" i="107"/>
  <c r="AN14" i="107"/>
  <c r="AJ14" i="107"/>
  <c r="AH14" i="107"/>
  <c r="AI14" i="107" s="1"/>
  <c r="AC14" i="107"/>
  <c r="AN13" i="107"/>
  <c r="AG13" i="107"/>
  <c r="AN12" i="107"/>
  <c r="AJ12" i="107"/>
  <c r="AH12" i="107"/>
  <c r="AI12" i="107" s="1"/>
  <c r="AC12" i="107"/>
  <c r="AV11" i="107"/>
  <c r="AH11" i="107"/>
  <c r="AI11" i="107" s="1"/>
  <c r="AC11" i="107"/>
  <c r="AV10" i="107"/>
  <c r="AJ10" i="107"/>
  <c r="AH10" i="107"/>
  <c r="AI10" i="107" s="1"/>
  <c r="AC10" i="107"/>
  <c r="AV9" i="107"/>
  <c r="AG9" i="107"/>
  <c r="AN8" i="107"/>
  <c r="AJ8" i="107"/>
  <c r="AH8" i="107"/>
  <c r="AI8" i="107" s="1"/>
  <c r="AC8" i="107"/>
  <c r="AN7" i="107"/>
  <c r="AJ7" i="107"/>
  <c r="AH7" i="107"/>
  <c r="AI7" i="107" s="1"/>
  <c r="AC7" i="107"/>
  <c r="AN6" i="107"/>
  <c r="AJ6" i="107"/>
  <c r="AH6" i="107"/>
  <c r="AI6" i="107" s="1"/>
  <c r="AV5" i="107"/>
  <c r="AG5" i="107"/>
  <c r="AV4" i="107"/>
  <c r="AH4" i="107"/>
  <c r="AI4" i="107" s="1"/>
  <c r="AC4" i="107"/>
  <c r="AN3" i="107"/>
  <c r="AJ3" i="107"/>
  <c r="AH3" i="107"/>
  <c r="AI3" i="107" s="1"/>
  <c r="AC3" i="107"/>
  <c r="AJ143" i="107"/>
  <c r="AC143" i="107"/>
  <c r="AV142" i="107"/>
  <c r="AN142" i="107"/>
  <c r="AG142" i="107"/>
  <c r="AV141" i="107"/>
  <c r="AN141" i="107"/>
  <c r="AJ141" i="107"/>
  <c r="AH141" i="107"/>
  <c r="AI141" i="107" s="1"/>
  <c r="AC141" i="107"/>
  <c r="AN140" i="107"/>
  <c r="AJ140" i="107"/>
  <c r="AH140" i="107"/>
  <c r="AI140" i="107" s="1"/>
  <c r="AC140" i="107"/>
  <c r="AN139" i="107"/>
  <c r="AJ139" i="107"/>
  <c r="AG139" i="107"/>
  <c r="AN138" i="107"/>
  <c r="AJ138" i="107"/>
  <c r="AH138" i="107"/>
  <c r="AI138" i="107" s="1"/>
  <c r="AC138" i="107"/>
  <c r="AV137" i="107"/>
  <c r="AG137" i="107"/>
  <c r="AN136" i="107"/>
  <c r="AJ136" i="107"/>
  <c r="AG136" i="107"/>
  <c r="AV135" i="107"/>
  <c r="AJ135" i="107"/>
  <c r="AH135" i="107"/>
  <c r="AI135" i="107" s="1"/>
  <c r="AC135" i="107"/>
  <c r="AV134" i="107"/>
  <c r="AG134" i="107"/>
  <c r="AV133" i="107"/>
  <c r="AG133" i="107"/>
  <c r="AC133" i="107"/>
  <c r="AV132" i="107"/>
  <c r="AJ132" i="107"/>
  <c r="AH132" i="107"/>
  <c r="AI132" i="107" s="1"/>
  <c r="AC132" i="107"/>
  <c r="AV131" i="107"/>
  <c r="AH131" i="107"/>
  <c r="AI131" i="107" s="1"/>
  <c r="AC131" i="107"/>
  <c r="AV130" i="107"/>
  <c r="AG130" i="107"/>
  <c r="AV129" i="107"/>
  <c r="AJ129" i="107"/>
  <c r="AH129" i="107"/>
  <c r="AI129" i="107" s="1"/>
  <c r="AC129" i="107"/>
  <c r="AJ128" i="107"/>
  <c r="AH128" i="107"/>
  <c r="AI128" i="107" s="1"/>
  <c r="AC128" i="107"/>
  <c r="AV127" i="107"/>
  <c r="AG127" i="107"/>
  <c r="AN125" i="107"/>
  <c r="AC125" i="107"/>
  <c r="AN124" i="107"/>
  <c r="AG124" i="107"/>
  <c r="AN123" i="107"/>
  <c r="AG123" i="107"/>
  <c r="AV122" i="107"/>
  <c r="AJ122" i="107"/>
  <c r="AH122" i="107"/>
  <c r="AI122" i="107" s="1"/>
  <c r="AC122" i="107"/>
  <c r="AN121" i="107"/>
  <c r="AJ121" i="107"/>
  <c r="AH121" i="107"/>
  <c r="AI121" i="107" s="1"/>
  <c r="AC121" i="107"/>
  <c r="AV120" i="107"/>
  <c r="AG120" i="107"/>
  <c r="AV119" i="107"/>
  <c r="AG119" i="107"/>
  <c r="AV118" i="107"/>
  <c r="AJ118" i="107"/>
  <c r="AH118" i="107"/>
  <c r="AI118" i="107" s="1"/>
  <c r="AC118" i="107"/>
  <c r="AV117" i="107"/>
  <c r="AG117" i="107"/>
  <c r="AV116" i="107"/>
  <c r="AG116" i="107"/>
  <c r="AV115" i="107"/>
  <c r="AG115" i="107"/>
  <c r="AV114" i="107"/>
  <c r="AH114" i="107"/>
  <c r="AI114" i="107" s="1"/>
  <c r="AC114" i="107"/>
  <c r="AV113" i="107"/>
  <c r="AJ113" i="107"/>
  <c r="AH113" i="107"/>
  <c r="AI113" i="107" s="1"/>
  <c r="AC113" i="107"/>
  <c r="AV112" i="107"/>
  <c r="AG112" i="107"/>
  <c r="AV111" i="107"/>
  <c r="AJ111" i="107"/>
  <c r="AH111" i="107"/>
  <c r="AI111" i="107" s="1"/>
  <c r="AC111" i="107"/>
  <c r="AN110" i="107"/>
  <c r="AJ110" i="107"/>
  <c r="AV109" i="107"/>
  <c r="AG109" i="107"/>
  <c r="AN108" i="107"/>
  <c r="AJ108" i="107"/>
  <c r="AH108" i="107"/>
  <c r="AI108" i="107" s="1"/>
  <c r="AC108" i="107"/>
  <c r="AV107" i="107"/>
  <c r="AG107" i="107"/>
  <c r="AV106" i="107"/>
  <c r="AG106" i="107"/>
  <c r="AV105" i="107"/>
  <c r="AG105" i="107"/>
  <c r="AV104" i="107"/>
  <c r="AG104" i="107"/>
  <c r="AN103" i="107"/>
  <c r="AJ103" i="107"/>
  <c r="AH103" i="107"/>
  <c r="AI103" i="107" s="1"/>
  <c r="AC103" i="107"/>
  <c r="AV102" i="107"/>
  <c r="AJ102" i="107"/>
  <c r="AH102" i="107"/>
  <c r="AI102" i="107" s="1"/>
  <c r="AC102" i="107"/>
  <c r="AN101" i="107"/>
  <c r="AH101" i="107"/>
  <c r="AI101" i="107" s="1"/>
  <c r="AC101" i="107"/>
  <c r="AV100" i="107"/>
  <c r="AJ100" i="107"/>
  <c r="AH100" i="107"/>
  <c r="AI100" i="107" s="1"/>
  <c r="AC100" i="107"/>
  <c r="AV99" i="107"/>
  <c r="AG99" i="107"/>
  <c r="AC99" i="107"/>
  <c r="AV98" i="107"/>
  <c r="AH98" i="107"/>
  <c r="AI98" i="107" s="1"/>
  <c r="AC98" i="107"/>
  <c r="AV97" i="107"/>
  <c r="AN97" i="107"/>
  <c r="AJ97" i="107"/>
  <c r="AH97" i="107"/>
  <c r="AI97" i="107" s="1"/>
  <c r="AC97" i="107"/>
  <c r="AN96" i="107"/>
  <c r="AJ96" i="107"/>
  <c r="AH96" i="107"/>
  <c r="AI96" i="107" s="1"/>
  <c r="AC96" i="107"/>
  <c r="AV95" i="107"/>
  <c r="AG95" i="107"/>
  <c r="AN94" i="107"/>
  <c r="AG94" i="107"/>
  <c r="AV93" i="107"/>
  <c r="AJ93" i="107"/>
  <c r="AH93" i="107"/>
  <c r="AI93" i="107" s="1"/>
  <c r="AC93" i="107"/>
  <c r="AV92" i="107"/>
  <c r="AG92" i="107"/>
  <c r="AV91" i="107"/>
  <c r="AG91" i="107"/>
  <c r="AV90" i="107"/>
  <c r="AH90" i="107"/>
  <c r="AI90" i="107" s="1"/>
  <c r="AC90" i="107"/>
  <c r="AV89" i="107"/>
  <c r="AG89" i="107"/>
  <c r="AC89" i="107"/>
  <c r="AN88" i="107"/>
  <c r="AG88" i="107"/>
  <c r="AV87" i="107"/>
  <c r="AG87" i="107"/>
  <c r="AV86" i="107"/>
  <c r="AJ86" i="107"/>
  <c r="AC86" i="107"/>
  <c r="AV85" i="107"/>
  <c r="AG85" i="107"/>
  <c r="AV84" i="107"/>
  <c r="AJ84" i="107"/>
  <c r="AH84" i="107"/>
  <c r="AI84" i="107" s="1"/>
  <c r="AC84" i="107"/>
  <c r="AN83" i="107"/>
  <c r="AG83" i="107"/>
  <c r="AV82" i="107"/>
  <c r="AG82" i="107"/>
  <c r="AN81" i="107"/>
  <c r="AG81" i="107"/>
  <c r="AV80" i="107"/>
  <c r="AG80" i="107"/>
  <c r="AV79" i="107"/>
  <c r="AG79" i="107"/>
  <c r="AJ78" i="107"/>
  <c r="AH78" i="107"/>
  <c r="AI78" i="107" s="1"/>
  <c r="AG78" i="107"/>
  <c r="AV77" i="107"/>
  <c r="AG77" i="107"/>
  <c r="AN76" i="107"/>
  <c r="AH76" i="107"/>
  <c r="AI76" i="107" s="1"/>
  <c r="AC76" i="107"/>
  <c r="AV75" i="107"/>
  <c r="AG75" i="107"/>
  <c r="AN74" i="107"/>
  <c r="AG74" i="107"/>
  <c r="AV73" i="107"/>
  <c r="AJ73" i="107"/>
  <c r="AG73" i="107"/>
  <c r="AC73" i="107"/>
  <c r="AV72" i="107"/>
  <c r="AH72" i="107"/>
  <c r="AI72" i="107" s="1"/>
  <c r="AC72" i="107"/>
  <c r="AV71" i="107"/>
  <c r="AG71" i="107"/>
  <c r="AV70" i="107"/>
  <c r="AG70" i="107"/>
  <c r="AC70" i="107"/>
  <c r="AV69" i="107"/>
  <c r="AJ69" i="107"/>
  <c r="AH69" i="107"/>
  <c r="AI69" i="107" s="1"/>
  <c r="AC69" i="107"/>
  <c r="AV68" i="107"/>
  <c r="AN68" i="107"/>
  <c r="AJ68" i="107"/>
  <c r="AH68" i="107"/>
  <c r="AI68" i="107" s="1"/>
  <c r="AG68" i="107"/>
  <c r="AC68" i="107"/>
  <c r="AN67" i="107"/>
  <c r="AH67" i="107"/>
  <c r="AI67" i="107" s="1"/>
  <c r="AC67" i="107"/>
  <c r="AV66" i="107"/>
  <c r="AJ66" i="107"/>
  <c r="AG66" i="107"/>
  <c r="AV65" i="107"/>
  <c r="AJ65" i="107"/>
  <c r="AH65" i="107"/>
  <c r="AI65" i="107" s="1"/>
  <c r="AC65" i="107"/>
  <c r="AN64" i="107"/>
  <c r="AJ64" i="107"/>
  <c r="AH64" i="107"/>
  <c r="AI64" i="107" s="1"/>
  <c r="AC64" i="107"/>
  <c r="AN63" i="107"/>
  <c r="AG63" i="107"/>
  <c r="AC63" i="107"/>
  <c r="AV62" i="107"/>
  <c r="AG62" i="107"/>
  <c r="AN61" i="107"/>
  <c r="AG61" i="107"/>
  <c r="AN60" i="107"/>
  <c r="AJ60" i="107"/>
  <c r="AH60" i="107"/>
  <c r="AI60" i="107" s="1"/>
  <c r="AC60" i="107"/>
  <c r="AN59" i="107"/>
  <c r="AH59" i="107"/>
  <c r="AI59" i="107" s="1"/>
  <c r="AG59" i="107"/>
  <c r="AN58" i="107"/>
  <c r="AH58" i="107"/>
  <c r="AI58" i="107" s="1"/>
  <c r="AC58" i="107"/>
  <c r="AN57" i="107"/>
  <c r="AG57" i="107"/>
  <c r="AV56" i="107"/>
  <c r="AG56" i="107"/>
  <c r="AV55" i="107"/>
  <c r="AG55" i="107"/>
  <c r="AC55" i="107"/>
  <c r="AV54" i="107"/>
  <c r="AJ54" i="107"/>
  <c r="AH54" i="107"/>
  <c r="AI54" i="107" s="1"/>
  <c r="AC54" i="107"/>
  <c r="AN53" i="107"/>
  <c r="AG53" i="107"/>
  <c r="AV52" i="107"/>
  <c r="AG52" i="107"/>
  <c r="AV51" i="107"/>
  <c r="AG51" i="107"/>
  <c r="AN50" i="107"/>
  <c r="AG50" i="107"/>
  <c r="AN49" i="107"/>
  <c r="AG49" i="107"/>
  <c r="AC49" i="107"/>
  <c r="AN48" i="107"/>
  <c r="AC48" i="107"/>
  <c r="AV47" i="107"/>
  <c r="AC47" i="107"/>
  <c r="AV46" i="107"/>
  <c r="AJ46" i="107"/>
  <c r="AH46" i="107"/>
  <c r="AI46" i="107" s="1"/>
  <c r="AG46" i="107"/>
  <c r="AN45" i="107"/>
  <c r="AG45" i="107"/>
  <c r="AN44" i="107"/>
  <c r="AH44" i="107"/>
  <c r="AI44" i="107" s="1"/>
  <c r="AC44" i="107"/>
  <c r="AV43" i="107"/>
  <c r="AG43" i="107"/>
  <c r="AV42" i="107"/>
  <c r="AJ42" i="107"/>
  <c r="AH42" i="107"/>
  <c r="AI42" i="107" s="1"/>
  <c r="AC42" i="107"/>
  <c r="AV41" i="107"/>
  <c r="AG41" i="107"/>
  <c r="AV40" i="107"/>
  <c r="AJ40" i="107"/>
  <c r="AH40" i="107"/>
  <c r="AI40" i="107" s="1"/>
  <c r="AC40" i="107"/>
  <c r="AV39" i="107"/>
  <c r="AG39" i="107"/>
  <c r="AV38" i="107"/>
  <c r="AG38" i="107"/>
  <c r="AV37" i="107"/>
  <c r="AJ37" i="107"/>
  <c r="AH37" i="107"/>
  <c r="AI37" i="107" s="1"/>
  <c r="AC37" i="107"/>
  <c r="AN36" i="107"/>
  <c r="AG36" i="107"/>
  <c r="AN35" i="107"/>
  <c r="AG35" i="107"/>
  <c r="AN34" i="107"/>
  <c r="AG34" i="107"/>
  <c r="AC34" i="107"/>
  <c r="AN33" i="107"/>
  <c r="AG33" i="107"/>
  <c r="AV32" i="107"/>
  <c r="AG32" i="107"/>
  <c r="AV31" i="107"/>
  <c r="AJ31" i="107"/>
  <c r="AH31" i="107"/>
  <c r="AI31" i="107" s="1"/>
  <c r="AC31" i="107"/>
  <c r="AV30" i="107"/>
  <c r="AG30" i="107"/>
  <c r="AV29" i="107"/>
  <c r="AJ29" i="107"/>
  <c r="AH29" i="107"/>
  <c r="AI29" i="107" s="1"/>
  <c r="AG29" i="107"/>
  <c r="AV28" i="107"/>
  <c r="AN28" i="107"/>
  <c r="AG28" i="107"/>
  <c r="AV27" i="107"/>
  <c r="AN27" i="107"/>
  <c r="AJ27" i="107"/>
  <c r="AH27" i="107"/>
  <c r="AI27" i="107" s="1"/>
  <c r="AG27" i="107"/>
  <c r="AV26" i="107"/>
  <c r="AG26" i="107"/>
  <c r="AC26" i="107"/>
  <c r="AV25" i="107"/>
  <c r="AG25" i="107"/>
  <c r="AN24" i="107"/>
  <c r="AG24" i="107"/>
  <c r="AV23" i="107"/>
  <c r="AG23" i="107"/>
  <c r="AV22" i="107"/>
  <c r="AG22" i="107"/>
  <c r="AN21" i="107"/>
  <c r="AJ21" i="107"/>
  <c r="AC21" i="107"/>
  <c r="AN19" i="107"/>
  <c r="AH19" i="107"/>
  <c r="AI19" i="107" s="1"/>
  <c r="AG19" i="107"/>
  <c r="AV18" i="107"/>
  <c r="AJ18" i="107"/>
  <c r="AG18" i="107"/>
  <c r="AN17" i="107"/>
  <c r="AG17" i="107"/>
  <c r="AN16" i="107"/>
  <c r="AJ16" i="107"/>
  <c r="AH16" i="107"/>
  <c r="AI16" i="107" s="1"/>
  <c r="AG16" i="107"/>
  <c r="AV15" i="107"/>
  <c r="AJ15" i="107"/>
  <c r="AH15" i="107"/>
  <c r="AI15" i="107" s="1"/>
  <c r="AC15" i="107"/>
  <c r="AV14" i="107"/>
  <c r="AG14" i="107"/>
  <c r="AV13" i="107"/>
  <c r="AJ13" i="107"/>
  <c r="AH13" i="107"/>
  <c r="AI13" i="107" s="1"/>
  <c r="AC13" i="107"/>
  <c r="AV12" i="107"/>
  <c r="AG12" i="107"/>
  <c r="AN11" i="107"/>
  <c r="AJ11" i="107"/>
  <c r="AG11" i="107"/>
  <c r="AN10" i="107"/>
  <c r="AG10" i="107"/>
  <c r="AN9" i="107"/>
  <c r="AJ9" i="107"/>
  <c r="AH9" i="107"/>
  <c r="AI9" i="107" s="1"/>
  <c r="AC9" i="107"/>
  <c r="AV8" i="107"/>
  <c r="AG8" i="107"/>
  <c r="AV7" i="107"/>
  <c r="AG7" i="107"/>
  <c r="AV6" i="107"/>
  <c r="AG6" i="107"/>
  <c r="AC6" i="107"/>
  <c r="AN5" i="107"/>
  <c r="AJ5" i="107"/>
  <c r="AH5" i="107"/>
  <c r="AI5" i="107" s="1"/>
  <c r="AC5" i="107"/>
  <c r="AN4" i="107"/>
  <c r="AJ4" i="107"/>
  <c r="AG4" i="107"/>
  <c r="AV3" i="107"/>
  <c r="AG3" i="107"/>
  <c r="AK176" i="107" l="1"/>
  <c r="A176" i="107"/>
  <c r="AK175" i="107"/>
  <c r="A175" i="107"/>
  <c r="AK174" i="107"/>
  <c r="A174" i="107"/>
  <c r="AK173" i="107"/>
  <c r="A173" i="107"/>
  <c r="AK172" i="107"/>
  <c r="A172" i="107"/>
  <c r="AK171" i="107"/>
  <c r="A171" i="107"/>
  <c r="AK170" i="107"/>
  <c r="A170" i="107"/>
  <c r="AK169" i="107"/>
  <c r="A169" i="107"/>
  <c r="AK168" i="107"/>
  <c r="A168" i="107"/>
  <c r="AK167" i="107"/>
  <c r="A167" i="107"/>
  <c r="AK166" i="107"/>
  <c r="A166" i="107"/>
  <c r="AK165" i="107"/>
  <c r="A165" i="107"/>
  <c r="AK164" i="107"/>
  <c r="A164" i="107"/>
  <c r="AK163" i="107"/>
  <c r="A163" i="107"/>
  <c r="AK162" i="107"/>
  <c r="A162" i="107"/>
  <c r="AK161" i="107"/>
  <c r="A161" i="107"/>
  <c r="AK160" i="107"/>
  <c r="A160" i="107"/>
  <c r="AK159" i="107"/>
  <c r="A159" i="107"/>
  <c r="AK158" i="107"/>
  <c r="A158" i="107"/>
  <c r="AK157" i="107"/>
  <c r="A157" i="107"/>
  <c r="AK156" i="107"/>
  <c r="A156" i="107"/>
  <c r="AK155" i="107"/>
  <c r="A155" i="107"/>
  <c r="AK154" i="107"/>
  <c r="A154" i="107"/>
  <c r="AK153" i="107"/>
  <c r="A153" i="107"/>
  <c r="AK152" i="107"/>
  <c r="A152" i="107"/>
  <c r="AK151" i="107"/>
  <c r="A151" i="107"/>
  <c r="AK150" i="107"/>
  <c r="A150" i="107"/>
  <c r="AK149" i="107"/>
  <c r="A149" i="107"/>
  <c r="AK148" i="107"/>
  <c r="A148" i="107"/>
  <c r="AK147" i="107"/>
  <c r="A147" i="107"/>
  <c r="AK146" i="107"/>
  <c r="A146" i="107"/>
  <c r="AK145" i="107"/>
  <c r="A145" i="107"/>
  <c r="AK144" i="107"/>
  <c r="A144" i="107"/>
  <c r="AK142" i="107"/>
  <c r="A142" i="107"/>
  <c r="AK139" i="107"/>
  <c r="A139" i="107"/>
  <c r="A137" i="107"/>
  <c r="AK137" i="107"/>
  <c r="AK136" i="107"/>
  <c r="A136" i="107"/>
  <c r="AK134" i="107"/>
  <c r="A134" i="107"/>
  <c r="AK130" i="107"/>
  <c r="A130" i="107"/>
  <c r="AK127" i="107"/>
  <c r="A127" i="107"/>
  <c r="AK126" i="107"/>
  <c r="A126" i="107"/>
  <c r="A124" i="107"/>
  <c r="AK124" i="107"/>
  <c r="AK123" i="107"/>
  <c r="A123" i="107"/>
  <c r="A120" i="107"/>
  <c r="AK120" i="107"/>
  <c r="AK119" i="107"/>
  <c r="A119" i="107"/>
  <c r="AK117" i="107"/>
  <c r="A117" i="107"/>
  <c r="AK116" i="107"/>
  <c r="A116" i="107"/>
  <c r="AK115" i="107"/>
  <c r="A115" i="107"/>
  <c r="AK112" i="107"/>
  <c r="A112" i="107"/>
  <c r="AK110" i="107"/>
  <c r="A110" i="107"/>
  <c r="A109" i="107"/>
  <c r="AK109" i="107"/>
  <c r="A107" i="107"/>
  <c r="AK107" i="107"/>
  <c r="A106" i="107"/>
  <c r="AK106" i="107"/>
  <c r="A105" i="107"/>
  <c r="AK105" i="107"/>
  <c r="AK104" i="107"/>
  <c r="A104" i="107"/>
  <c r="A95" i="107"/>
  <c r="AK95" i="107"/>
  <c r="AK94" i="107"/>
  <c r="A94" i="107"/>
  <c r="A92" i="107"/>
  <c r="AK92" i="107"/>
  <c r="AK91" i="107"/>
  <c r="A91" i="107"/>
  <c r="A88" i="107"/>
  <c r="AK88" i="107"/>
  <c r="AK87" i="107"/>
  <c r="A87" i="107"/>
  <c r="AK85" i="107"/>
  <c r="A85" i="107"/>
  <c r="AK83" i="107"/>
  <c r="A83" i="107"/>
  <c r="A82" i="107"/>
  <c r="AK82" i="107"/>
  <c r="A81" i="107"/>
  <c r="AK81" i="107"/>
  <c r="A80" i="107"/>
  <c r="AK80" i="107"/>
  <c r="AK79" i="107"/>
  <c r="A79" i="107"/>
  <c r="AK78" i="107"/>
  <c r="A78" i="107"/>
  <c r="A77" i="107"/>
  <c r="AK77" i="107"/>
  <c r="A75" i="107"/>
  <c r="AK75" i="107"/>
  <c r="A74" i="107"/>
  <c r="AK74" i="107"/>
  <c r="A71" i="107"/>
  <c r="AK71" i="107"/>
  <c r="A66" i="107"/>
  <c r="AK66" i="107"/>
  <c r="A62" i="107"/>
  <c r="AK62" i="107"/>
  <c r="AK61" i="107"/>
  <c r="A61" i="107"/>
  <c r="A59" i="107"/>
  <c r="AK59" i="107"/>
  <c r="A57" i="107"/>
  <c r="AK57" i="107"/>
  <c r="AK56" i="107"/>
  <c r="A56" i="107"/>
  <c r="A53" i="107"/>
  <c r="AK53" i="107"/>
  <c r="A52" i="107"/>
  <c r="AK52" i="107"/>
  <c r="AK51" i="107"/>
  <c r="A51" i="107"/>
  <c r="AK50" i="107"/>
  <c r="A50" i="107"/>
  <c r="AK46" i="107"/>
  <c r="A46" i="107"/>
  <c r="AK45" i="107"/>
  <c r="A45" i="107"/>
  <c r="A43" i="107"/>
  <c r="AK43" i="107"/>
  <c r="A41" i="107"/>
  <c r="AK41" i="107"/>
  <c r="A39" i="107"/>
  <c r="AK39" i="107"/>
  <c r="AK38" i="107"/>
  <c r="A38" i="107"/>
  <c r="A36" i="107"/>
  <c r="AK36" i="107"/>
  <c r="A35" i="107"/>
  <c r="AK35" i="107"/>
  <c r="A33" i="107"/>
  <c r="AK33" i="107"/>
  <c r="AK32" i="107"/>
  <c r="A32" i="107"/>
  <c r="A30" i="107"/>
  <c r="AK30" i="107"/>
  <c r="AK29" i="107"/>
  <c r="A29" i="107"/>
  <c r="AK28" i="107"/>
  <c r="A28" i="107"/>
  <c r="AK27" i="107"/>
  <c r="A27" i="107"/>
  <c r="A25" i="107"/>
  <c r="AK25" i="107"/>
  <c r="AK24" i="107"/>
  <c r="A24" i="107"/>
  <c r="AK23" i="107"/>
  <c r="A23" i="107"/>
  <c r="A22" i="107"/>
  <c r="AK22" i="107"/>
  <c r="AK20" i="107"/>
  <c r="A20" i="107"/>
  <c r="AK19" i="107"/>
  <c r="A19" i="107"/>
  <c r="A18" i="107"/>
  <c r="AK18" i="107"/>
  <c r="A17" i="107"/>
  <c r="AK17" i="107"/>
  <c r="AK16" i="107"/>
  <c r="A16" i="107"/>
  <c r="AK14" i="107"/>
  <c r="A14" i="107"/>
  <c r="A12" i="107"/>
  <c r="AK12" i="107"/>
  <c r="AK11" i="107"/>
  <c r="A11" i="107"/>
  <c r="A10" i="107"/>
  <c r="AK10" i="107"/>
  <c r="A8" i="107"/>
  <c r="AK8" i="107"/>
  <c r="A7" i="107"/>
  <c r="AK7" i="107"/>
  <c r="AK4" i="107"/>
  <c r="A4" i="107"/>
  <c r="AC179" i="107"/>
  <c r="AB183" i="107" s="1"/>
  <c r="AK3" i="107"/>
  <c r="A3" i="107"/>
  <c r="AK143" i="107"/>
  <c r="A143" i="107"/>
  <c r="AK141" i="107"/>
  <c r="A141" i="107"/>
  <c r="AK140" i="107"/>
  <c r="A140" i="107"/>
  <c r="A138" i="107"/>
  <c r="AK138" i="107"/>
  <c r="AK135" i="107"/>
  <c r="A135" i="107"/>
  <c r="AK133" i="107"/>
  <c r="A133" i="107"/>
  <c r="AK132" i="107"/>
  <c r="A132" i="107"/>
  <c r="AK131" i="107"/>
  <c r="A131" i="107"/>
  <c r="A129" i="107"/>
  <c r="AK129" i="107"/>
  <c r="A128" i="107"/>
  <c r="AK128" i="107"/>
  <c r="AK125" i="107"/>
  <c r="A125" i="107"/>
  <c r="A122" i="107"/>
  <c r="AK122" i="107"/>
  <c r="A121" i="107"/>
  <c r="AK121" i="107"/>
  <c r="AK118" i="107"/>
  <c r="A118" i="107"/>
  <c r="AK114" i="107"/>
  <c r="A114" i="107"/>
  <c r="AK113" i="107"/>
  <c r="A113" i="107"/>
  <c r="AK111" i="107"/>
  <c r="A111" i="107"/>
  <c r="A108" i="107"/>
  <c r="AK108" i="107"/>
  <c r="A103" i="107"/>
  <c r="AK103" i="107"/>
  <c r="AK102" i="107"/>
  <c r="A102" i="107"/>
  <c r="AK101" i="107"/>
  <c r="A101" i="107"/>
  <c r="AK100" i="107"/>
  <c r="A100" i="107"/>
  <c r="AK99" i="107"/>
  <c r="A99" i="107"/>
  <c r="AK98" i="107"/>
  <c r="A98" i="107"/>
  <c r="A97" i="107"/>
  <c r="AK97" i="107"/>
  <c r="A96" i="107"/>
  <c r="AK96" i="107"/>
  <c r="AK93" i="107"/>
  <c r="A93" i="107"/>
  <c r="AK90" i="107"/>
  <c r="A90" i="107"/>
  <c r="AK89" i="107"/>
  <c r="A89" i="107"/>
  <c r="A86" i="107"/>
  <c r="AK86" i="107"/>
  <c r="A84" i="107"/>
  <c r="AK84" i="107"/>
  <c r="AK76" i="107"/>
  <c r="A76" i="107"/>
  <c r="AK73" i="107"/>
  <c r="A73" i="107"/>
  <c r="AK72" i="107"/>
  <c r="A72" i="107"/>
  <c r="AK70" i="107"/>
  <c r="A70" i="107"/>
  <c r="AK69" i="107"/>
  <c r="A69" i="107"/>
  <c r="AK68" i="107"/>
  <c r="A68" i="107"/>
  <c r="AK67" i="107"/>
  <c r="A67" i="107"/>
  <c r="AK65" i="107"/>
  <c r="A65" i="107"/>
  <c r="A64" i="107"/>
  <c r="AK64" i="107"/>
  <c r="AK63" i="107"/>
  <c r="A63" i="107"/>
  <c r="AK60" i="107"/>
  <c r="A60" i="107"/>
  <c r="AK58" i="107"/>
  <c r="A58" i="107"/>
  <c r="AK55" i="107"/>
  <c r="A55" i="107"/>
  <c r="AK54" i="107"/>
  <c r="A54" i="107"/>
  <c r="AK49" i="107"/>
  <c r="A49" i="107"/>
  <c r="AK48" i="107"/>
  <c r="A48" i="107"/>
  <c r="AK47" i="107"/>
  <c r="A47" i="107"/>
  <c r="AK44" i="107"/>
  <c r="A44" i="107"/>
  <c r="A42" i="107"/>
  <c r="AK42" i="107"/>
  <c r="AK40" i="107"/>
  <c r="A40" i="107"/>
  <c r="AK37" i="107"/>
  <c r="A37" i="107"/>
  <c r="AK34" i="107"/>
  <c r="A34" i="107"/>
  <c r="AK31" i="107"/>
  <c r="A31" i="107"/>
  <c r="AK26" i="107"/>
  <c r="A26" i="107"/>
  <c r="A21" i="107"/>
  <c r="AK21" i="107"/>
  <c r="AK15" i="107"/>
  <c r="A15" i="107"/>
  <c r="AK13" i="107"/>
  <c r="A13" i="107"/>
  <c r="A9" i="107"/>
  <c r="AK9" i="107"/>
  <c r="AK6" i="107"/>
  <c r="A6" i="107"/>
  <c r="AK5" i="107"/>
  <c r="A5" i="107"/>
</calcChain>
</file>

<file path=xl/sharedStrings.xml><?xml version="1.0" encoding="utf-8"?>
<sst xmlns="http://schemas.openxmlformats.org/spreadsheetml/2006/main" count="2834" uniqueCount="627">
  <si>
    <t>MONTH</t>
  </si>
  <si>
    <t>FILE CHARGE</t>
  </si>
  <si>
    <t>EMI AMOUNT</t>
  </si>
  <si>
    <t>WED</t>
  </si>
  <si>
    <t>TUE</t>
  </si>
  <si>
    <t>FRI</t>
  </si>
  <si>
    <t>MON</t>
  </si>
  <si>
    <t>THU</t>
  </si>
  <si>
    <t>PL 36</t>
  </si>
  <si>
    <t>PL 37</t>
  </si>
  <si>
    <t>JULY'26</t>
  </si>
  <si>
    <t>Branch Name</t>
  </si>
  <si>
    <t>BM Name</t>
  </si>
  <si>
    <t>Father/HUSBAND  Name</t>
  </si>
  <si>
    <t>LOAN AMOUNT</t>
  </si>
  <si>
    <t>FINAL DISBURSEMENT AMT.</t>
  </si>
  <si>
    <t>PENDING AMT.</t>
  </si>
  <si>
    <t>DUE EMI</t>
  </si>
  <si>
    <t>TOTAL EMI</t>
  </si>
  <si>
    <t>PAID EMI</t>
  </si>
  <si>
    <t>PENDING EMI</t>
  </si>
  <si>
    <t>ADVANCE</t>
  </si>
  <si>
    <t>TOTAL RECEIVED AMOUNT</t>
  </si>
  <si>
    <t>Ledger Balance</t>
  </si>
  <si>
    <t>Meeting Day</t>
  </si>
  <si>
    <t>PENTALITY OF NUMBERS/total days</t>
  </si>
  <si>
    <t>PER PENTALITY OF AMOUNT</t>
  </si>
  <si>
    <t>TOTAL AMOUNT OF PENALITY</t>
  </si>
  <si>
    <t>DPD</t>
  </si>
  <si>
    <t>Days_Delinquent Bracket_At Ist</t>
  </si>
  <si>
    <t>NPA</t>
  </si>
  <si>
    <t>Current Ledger Bal of Gr.+Penalty</t>
  </si>
  <si>
    <t>Total Mem. Outstanding</t>
  </si>
  <si>
    <t>PER EMI INTEREST</t>
  </si>
  <si>
    <t>CASH DB DATE</t>
  </si>
  <si>
    <t xml:space="preserve">Case Status </t>
  </si>
  <si>
    <t>CLOSE DATE</t>
  </si>
  <si>
    <t>PENDING</t>
  </si>
  <si>
    <t>PL 01</t>
  </si>
  <si>
    <t>PL 02</t>
  </si>
  <si>
    <t>PL 03</t>
  </si>
  <si>
    <t>PL 04</t>
  </si>
  <si>
    <t>AUG'26</t>
  </si>
  <si>
    <t>PL 05</t>
  </si>
  <si>
    <t>SANDEEP</t>
  </si>
  <si>
    <t>PL 06</t>
  </si>
  <si>
    <t>PL 07</t>
  </si>
  <si>
    <t>PL 08</t>
  </si>
  <si>
    <t>PL 09</t>
  </si>
  <si>
    <t>PL 10</t>
  </si>
  <si>
    <t>PL 11</t>
  </si>
  <si>
    <t>PL 12</t>
  </si>
  <si>
    <t>PL 13</t>
  </si>
  <si>
    <t>PL 14</t>
  </si>
  <si>
    <t>PL 15</t>
  </si>
  <si>
    <t>PL 16</t>
  </si>
  <si>
    <t>PL 17</t>
  </si>
  <si>
    <t>PL 18</t>
  </si>
  <si>
    <t>PL 19</t>
  </si>
  <si>
    <t>PL 20</t>
  </si>
  <si>
    <t>PL 21</t>
  </si>
  <si>
    <t>PL 22</t>
  </si>
  <si>
    <t>PL 23</t>
  </si>
  <si>
    <t>PL 24</t>
  </si>
  <si>
    <t>PL 25</t>
  </si>
  <si>
    <t>PL 26</t>
  </si>
  <si>
    <t>PL 27</t>
  </si>
  <si>
    <t>PL 28</t>
  </si>
  <si>
    <t>PL 29</t>
  </si>
  <si>
    <t>PL 30</t>
  </si>
  <si>
    <t>PL 31</t>
  </si>
  <si>
    <t>PL 32</t>
  </si>
  <si>
    <t>PL 33</t>
  </si>
  <si>
    <t>PL 34</t>
  </si>
  <si>
    <t>PL 35</t>
  </si>
  <si>
    <t>OUTSTANDING</t>
  </si>
  <si>
    <t>SANTOSH</t>
  </si>
  <si>
    <t>USHA DEVI</t>
  </si>
  <si>
    <t>DEEP CHAND</t>
  </si>
  <si>
    <t>MANOJ KUMAR</t>
  </si>
  <si>
    <t>REKHA</t>
  </si>
  <si>
    <t>DEVENDRA</t>
  </si>
  <si>
    <t>PL 38</t>
  </si>
  <si>
    <t>PL 39</t>
  </si>
  <si>
    <t>PL 40</t>
  </si>
  <si>
    <t>PL 41</t>
  </si>
  <si>
    <t>PL 42</t>
  </si>
  <si>
    <t>FARJANA</t>
  </si>
  <si>
    <t>PINKI</t>
  </si>
  <si>
    <t>AADHAR NO.</t>
  </si>
  <si>
    <t>RAVI</t>
  </si>
  <si>
    <t>PRIYANKA</t>
  </si>
  <si>
    <t>PL 43</t>
  </si>
  <si>
    <t>POOJA</t>
  </si>
  <si>
    <t>PL 44</t>
  </si>
  <si>
    <t>PL 45</t>
  </si>
  <si>
    <t>SUMAN</t>
  </si>
  <si>
    <t>PL 46</t>
  </si>
  <si>
    <t>PL 47</t>
  </si>
  <si>
    <t>ADVANCE DATE</t>
  </si>
  <si>
    <t>AMIT</t>
  </si>
  <si>
    <t>GEETA</t>
  </si>
  <si>
    <t>MAMTA</t>
  </si>
  <si>
    <t>SUDESH</t>
  </si>
  <si>
    <t>JUNE'26</t>
  </si>
  <si>
    <t>MEENA</t>
  </si>
  <si>
    <t>SATISH</t>
  </si>
  <si>
    <t>KAVITA</t>
  </si>
  <si>
    <t>REENA</t>
  </si>
  <si>
    <t>ANIL</t>
  </si>
  <si>
    <t>POONAM</t>
  </si>
  <si>
    <t>KAMLESH</t>
  </si>
  <si>
    <t>SUBHASH</t>
  </si>
  <si>
    <t>SEEMA</t>
  </si>
  <si>
    <t>RAJKUMAR</t>
  </si>
  <si>
    <t>SUNITA</t>
  </si>
  <si>
    <t>SUMIT</t>
  </si>
  <si>
    <t>NEELAM</t>
  </si>
  <si>
    <t>PL 48</t>
  </si>
  <si>
    <t>PL 49</t>
  </si>
  <si>
    <t>PL 50</t>
  </si>
  <si>
    <t>JOGINDRA</t>
  </si>
  <si>
    <t>PL 51</t>
  </si>
  <si>
    <t>PL 52</t>
  </si>
  <si>
    <t>PL 53</t>
  </si>
  <si>
    <t>VARSHA</t>
  </si>
  <si>
    <t>PL 54</t>
  </si>
  <si>
    <t>PL 55</t>
  </si>
  <si>
    <t>PL 56</t>
  </si>
  <si>
    <t>SONU</t>
  </si>
  <si>
    <t>PL 57</t>
  </si>
  <si>
    <t>PL 58</t>
  </si>
  <si>
    <t>PL 59</t>
  </si>
  <si>
    <t>RAKESH</t>
  </si>
  <si>
    <t>PL 60</t>
  </si>
  <si>
    <t>PL 61</t>
  </si>
  <si>
    <t>PL 62</t>
  </si>
  <si>
    <t>PL 63</t>
  </si>
  <si>
    <t>PL 64</t>
  </si>
  <si>
    <t>PL 65</t>
  </si>
  <si>
    <t>ANITA</t>
  </si>
  <si>
    <t>PL 66</t>
  </si>
  <si>
    <t>PRAVEEN</t>
  </si>
  <si>
    <t>PL 67</t>
  </si>
  <si>
    <t>PL 68</t>
  </si>
  <si>
    <t>PARVEEN</t>
  </si>
  <si>
    <t>PL 69</t>
  </si>
  <si>
    <t>KOMAL</t>
  </si>
  <si>
    <t>PL 70</t>
  </si>
  <si>
    <t>RAJESH</t>
  </si>
  <si>
    <t>PL 71</t>
  </si>
  <si>
    <t>PL 72</t>
  </si>
  <si>
    <t>PL 73</t>
  </si>
  <si>
    <t>PL 74</t>
  </si>
  <si>
    <t>GUDIYA</t>
  </si>
  <si>
    <t>PL 75</t>
  </si>
  <si>
    <t>AAKASH</t>
  </si>
  <si>
    <t>PL 76</t>
  </si>
  <si>
    <t>PL 77</t>
  </si>
  <si>
    <t>AMIT KUMAR</t>
  </si>
  <si>
    <t>PL 78</t>
  </si>
  <si>
    <t>SAVITRI</t>
  </si>
  <si>
    <t>MONU</t>
  </si>
  <si>
    <t>PL 79</t>
  </si>
  <si>
    <t>PL 80</t>
  </si>
  <si>
    <t>PL 81</t>
  </si>
  <si>
    <t>PL 82</t>
  </si>
  <si>
    <t>PL 83</t>
  </si>
  <si>
    <t>PL 84</t>
  </si>
  <si>
    <t>PL 85</t>
  </si>
  <si>
    <t>PL 86</t>
  </si>
  <si>
    <t>PL 87</t>
  </si>
  <si>
    <t>PL 88</t>
  </si>
  <si>
    <t>PREETI</t>
  </si>
  <si>
    <t>PL 89</t>
  </si>
  <si>
    <t>PL 90</t>
  </si>
  <si>
    <t>PL 91</t>
  </si>
  <si>
    <t>PL 92</t>
  </si>
  <si>
    <t>PL 93</t>
  </si>
  <si>
    <t>PL 94</t>
  </si>
  <si>
    <t>PL 95</t>
  </si>
  <si>
    <t>PL 96</t>
  </si>
  <si>
    <t>PL 97</t>
  </si>
  <si>
    <t>SAPNA</t>
  </si>
  <si>
    <t>PL 98</t>
  </si>
  <si>
    <t>ANJU</t>
  </si>
  <si>
    <t>PL 99</t>
  </si>
  <si>
    <t>PL 100</t>
  </si>
  <si>
    <t>PL 101</t>
  </si>
  <si>
    <t>PL 102</t>
  </si>
  <si>
    <t>HARIDWAR NEW SL MF DASHBOARD</t>
  </si>
  <si>
    <t>Gr. Status</t>
  </si>
  <si>
    <t>Dist.</t>
  </si>
  <si>
    <t>AM Name</t>
  </si>
  <si>
    <t>FO Name</t>
  </si>
  <si>
    <t xml:space="preserve">clustar no </t>
  </si>
  <si>
    <t>VILLAGE</t>
  </si>
  <si>
    <t>center number</t>
  </si>
  <si>
    <t>MEMBER</t>
  </si>
  <si>
    <t>MOBILE NO.</t>
  </si>
  <si>
    <t>SHORT AMT.</t>
  </si>
  <si>
    <t xml:space="preserve">TOTAL INTEREST </t>
  </si>
  <si>
    <t>DIS. DATE</t>
  </si>
  <si>
    <t xml:space="preserve">FIRST EMI </t>
  </si>
  <si>
    <t>RM Name</t>
  </si>
  <si>
    <t>RM Status</t>
  </si>
  <si>
    <t>HARIDWAR</t>
  </si>
  <si>
    <t>SUNIL YOGI</t>
  </si>
  <si>
    <t>SUNIL KUMAR YOGI</t>
  </si>
  <si>
    <t xml:space="preserve">                                                               </t>
  </si>
  <si>
    <t>AA2 01</t>
  </si>
  <si>
    <t>SALEMPUR</t>
  </si>
  <si>
    <t>BALESH DEVI</t>
  </si>
  <si>
    <t>BABU</t>
  </si>
  <si>
    <t>ACTIVE</t>
  </si>
  <si>
    <t xml:space="preserve">ACTIVE </t>
  </si>
  <si>
    <t>SACHIN</t>
  </si>
  <si>
    <t>MORNA</t>
  </si>
  <si>
    <t>AMITA DEVI</t>
  </si>
  <si>
    <t>SUNDAR LAL</t>
  </si>
  <si>
    <t>HIMANSHU</t>
  </si>
  <si>
    <t>GOSAI GALI</t>
  </si>
  <si>
    <t>SHIVANI</t>
  </si>
  <si>
    <t>PRTIMA</t>
  </si>
  <si>
    <t>RAVINDRA</t>
  </si>
  <si>
    <t>PANWDHOI</t>
  </si>
  <si>
    <t>JEENAT</t>
  </si>
  <si>
    <t>KALA</t>
  </si>
  <si>
    <t>JAMALPUR</t>
  </si>
  <si>
    <t xml:space="preserve">AMITA </t>
  </si>
  <si>
    <t>SANJEEV</t>
  </si>
  <si>
    <t>MANOJ DEVI</t>
  </si>
  <si>
    <t>SUNEEL KUMAR</t>
  </si>
  <si>
    <t>DILSHANA</t>
  </si>
  <si>
    <t>ARIF</t>
  </si>
  <si>
    <t>BAHADURPUR  JAT</t>
  </si>
  <si>
    <t>BABITA</t>
  </si>
  <si>
    <t>RAMPAL SINGH</t>
  </si>
  <si>
    <t>MANGI DEVI</t>
  </si>
  <si>
    <t>ILAM CHAND</t>
  </si>
  <si>
    <t>SEEMLI</t>
  </si>
  <si>
    <t>RAVINDER SHARMA</t>
  </si>
  <si>
    <t>SHRI RAM COLONY</t>
  </si>
  <si>
    <t>RAJNI SHAH</t>
  </si>
  <si>
    <t>VIJAY SHAH</t>
  </si>
  <si>
    <t>JAMALPUR KALAN</t>
  </si>
  <si>
    <t>RAJNI</t>
  </si>
  <si>
    <t>POORAN CHAND</t>
  </si>
  <si>
    <t>DEVPURA</t>
  </si>
  <si>
    <t>MINAKSHI</t>
  </si>
  <si>
    <t>HIRDESH</t>
  </si>
  <si>
    <t>BRAHAMPURI</t>
  </si>
  <si>
    <t>USHA</t>
  </si>
  <si>
    <t>RAMVEER</t>
  </si>
  <si>
    <t>PUSHPA</t>
  </si>
  <si>
    <t>MUKESH KUMAR</t>
  </si>
  <si>
    <t>KAINAL COLONY</t>
  </si>
  <si>
    <t>SHALU</t>
  </si>
  <si>
    <t>AZAD</t>
  </si>
  <si>
    <t>NISHU DEVI</t>
  </si>
  <si>
    <t>ANUJ KUMAR</t>
  </si>
  <si>
    <t>MAYAPUR</t>
  </si>
  <si>
    <t>CHANDRA SHEKHAR</t>
  </si>
  <si>
    <t>KASHIPUR COLONY</t>
  </si>
  <si>
    <t>SEEMA DEVI</t>
  </si>
  <si>
    <t>BHISMPAL</t>
  </si>
  <si>
    <t>BABAR COLONY JWALAPUR</t>
  </si>
  <si>
    <t>IRAM RAIN</t>
  </si>
  <si>
    <t>SHOBI RAIN</t>
  </si>
  <si>
    <t>TELIYAN JWALAPUR</t>
  </si>
  <si>
    <t>SANJAY KUMAR</t>
  </si>
  <si>
    <t>HARILOK COLONY</t>
  </si>
  <si>
    <t>MANJEET</t>
  </si>
  <si>
    <t>VIKAS COLONY</t>
  </si>
  <si>
    <t>ASHA</t>
  </si>
  <si>
    <t>HARISH</t>
  </si>
  <si>
    <t>BHUPATWALA</t>
  </si>
  <si>
    <t>LAXMI</t>
  </si>
  <si>
    <t>PARMOD</t>
  </si>
  <si>
    <t>GHOSIYAN JAWALAPUR</t>
  </si>
  <si>
    <t>RAVITA</t>
  </si>
  <si>
    <t>KANKHAL</t>
  </si>
  <si>
    <t>CHARANJEET</t>
  </si>
  <si>
    <t>GURMINDAR</t>
  </si>
  <si>
    <t>SUKHRASA</t>
  </si>
  <si>
    <t>BIJENDER KUMAR</t>
  </si>
  <si>
    <t>NEHA RANI</t>
  </si>
  <si>
    <t>RAJAT</t>
  </si>
  <si>
    <t>MAIDANIYAN JWALAPUR</t>
  </si>
  <si>
    <t>GULFSHA</t>
  </si>
  <si>
    <t>SHAHID</t>
  </si>
  <si>
    <t>HAJJAWAN</t>
  </si>
  <si>
    <t>BUSHARA PRAVEEN</t>
  </si>
  <si>
    <t>MAHAJUDEEN</t>
  </si>
  <si>
    <t>SUSADI KHURD</t>
  </si>
  <si>
    <t>MENKA</t>
  </si>
  <si>
    <t>ASHU KUMAR</t>
  </si>
  <si>
    <t>SANDESH NAGAR KHANKHAL</t>
  </si>
  <si>
    <t>AMIT KHURANA</t>
  </si>
  <si>
    <t>RUDRA VIHAR</t>
  </si>
  <si>
    <t>ARTI DHIMAN</t>
  </si>
  <si>
    <t>PRAMOD DHIMAN</t>
  </si>
  <si>
    <t>PRIYA KASHYAP</t>
  </si>
  <si>
    <t>DHEERAJ SHARMA</t>
  </si>
  <si>
    <t>MOHAN ENCLAVE</t>
  </si>
  <si>
    <t>RINA DEVI</t>
  </si>
  <si>
    <t>LAKHAN KUMAR</t>
  </si>
  <si>
    <t>ASMIN</t>
  </si>
  <si>
    <t>VASIM</t>
  </si>
  <si>
    <t>DADUPUR GOVINDPUR</t>
  </si>
  <si>
    <t>VASIMA</t>
  </si>
  <si>
    <t>VAJID HASAN</t>
  </si>
  <si>
    <t>ISLAM NAGAR</t>
  </si>
  <si>
    <t>RUBI</t>
  </si>
  <si>
    <t>KATARPUR</t>
  </si>
  <si>
    <t>MANGI</t>
  </si>
  <si>
    <t>SHYAM KUMAR</t>
  </si>
  <si>
    <t>SANTOSH SAXENA</t>
  </si>
  <si>
    <t>SHUBHASH</t>
  </si>
  <si>
    <t>CAINAL COLONY</t>
  </si>
  <si>
    <t>PALLAVI</t>
  </si>
  <si>
    <t>RAHUL SHARMA</t>
  </si>
  <si>
    <t>PARBHAT NAGAR</t>
  </si>
  <si>
    <t>PAVAN</t>
  </si>
  <si>
    <t>GIRYA</t>
  </si>
  <si>
    <t>DATE 20</t>
  </si>
  <si>
    <t>DADUPURA</t>
  </si>
  <si>
    <t>BHUSHAN LAL</t>
  </si>
  <si>
    <t>BAHADARABAD</t>
  </si>
  <si>
    <t>RAGHUVIR SINGH</t>
  </si>
  <si>
    <t>JAGJEETPUR</t>
  </si>
  <si>
    <t>NEELU THAPA</t>
  </si>
  <si>
    <t>VIVEK VIHAR</t>
  </si>
  <si>
    <t>PREETI AGGARWAL</t>
  </si>
  <si>
    <t>AVNISH AGRAWAL</t>
  </si>
  <si>
    <t>SITAPUR MAZRA</t>
  </si>
  <si>
    <t>PANW DHOI</t>
  </si>
  <si>
    <t>GULSHAMA</t>
  </si>
  <si>
    <t>ASRAF ALI</t>
  </si>
  <si>
    <t>TELIYAN SHARIF</t>
  </si>
  <si>
    <t>HARISH KUMAR</t>
  </si>
  <si>
    <t>PAWNDHOI</t>
  </si>
  <si>
    <t>PINKI RANI</t>
  </si>
  <si>
    <t>SUSHIL KUMAR</t>
  </si>
  <si>
    <t>VISHNULOK COLONY</t>
  </si>
  <si>
    <t>KAMAL</t>
  </si>
  <si>
    <t>DILJEET SINGH</t>
  </si>
  <si>
    <t>KOTARWAN</t>
  </si>
  <si>
    <t>ASWANI</t>
  </si>
  <si>
    <t>INDIRA BASTI</t>
  </si>
  <si>
    <t>RAJ VIHAR COLONY</t>
  </si>
  <si>
    <t>VIJENDER SINGH</t>
  </si>
  <si>
    <t>MILIYAN</t>
  </si>
  <si>
    <t>RINKY</t>
  </si>
  <si>
    <t>PRAVEEN KUMAR</t>
  </si>
  <si>
    <t>KASHIPURA</t>
  </si>
  <si>
    <t>SUMITRA</t>
  </si>
  <si>
    <t>INDRA BASTI</t>
  </si>
  <si>
    <t>RANDHEER</t>
  </si>
  <si>
    <t>BAHADRABAD</t>
  </si>
  <si>
    <t>MEENAKSHI</t>
  </si>
  <si>
    <t>RAVI LAL</t>
  </si>
  <si>
    <t>CHHAWNI</t>
  </si>
  <si>
    <t>ARTI</t>
  </si>
  <si>
    <t>SAMREEN</t>
  </si>
  <si>
    <t>KALIM</t>
  </si>
  <si>
    <t>RANI</t>
  </si>
  <si>
    <t>LALIT</t>
  </si>
  <si>
    <t>REKHA CHABDA</t>
  </si>
  <si>
    <t>PURABIYA BASTI</t>
  </si>
  <si>
    <t>SARIN</t>
  </si>
  <si>
    <t>NOORBAKAS</t>
  </si>
  <si>
    <t>OMPLESH</t>
  </si>
  <si>
    <t>KASSAVAN</t>
  </si>
  <si>
    <t>RAHIL</t>
  </si>
  <si>
    <t>MOHD. NASEEM</t>
  </si>
  <si>
    <t>PAVDHOI</t>
  </si>
  <si>
    <t>SUDHA</t>
  </si>
  <si>
    <t>SHYAM SINGH</t>
  </si>
  <si>
    <t>SONIYA BASTI</t>
  </si>
  <si>
    <t>NARGIS</t>
  </si>
  <si>
    <t>SHAHJAFAR</t>
  </si>
  <si>
    <t>MOHALLA KASSAVAN</t>
  </si>
  <si>
    <t>JULEKHAN</t>
  </si>
  <si>
    <t>SALMAN</t>
  </si>
  <si>
    <t>MAHI</t>
  </si>
  <si>
    <t>MANISH</t>
  </si>
  <si>
    <t>VALMIKI BASTI</t>
  </si>
  <si>
    <t>ALKA</t>
  </si>
  <si>
    <t>ARVIND</t>
  </si>
  <si>
    <t>NEW BASTI RISHIKUL</t>
  </si>
  <si>
    <t>LATOWALI KHANKHAL</t>
  </si>
  <si>
    <t>VISHNU SHARMA</t>
  </si>
  <si>
    <t>AMBEDKAR NAGAR</t>
  </si>
  <si>
    <t>MALA</t>
  </si>
  <si>
    <t>RANIPUR MORE</t>
  </si>
  <si>
    <t>MAMTA JOSHI</t>
  </si>
  <si>
    <t>PUSPENDRA JOSHI</t>
  </si>
  <si>
    <t>DILEEP KUMAR</t>
  </si>
  <si>
    <t>GANESH DHAM COLONY</t>
  </si>
  <si>
    <t>BHARAT KUMAR</t>
  </si>
  <si>
    <t>ZAINAB</t>
  </si>
  <si>
    <t>MOHD. AASIF</t>
  </si>
  <si>
    <t>SALEMPUR MAHDOOD</t>
  </si>
  <si>
    <t>GUDDO</t>
  </si>
  <si>
    <t>SHAMEENA</t>
  </si>
  <si>
    <t>MOHD. ANWAR</t>
  </si>
  <si>
    <t>GOVINDPURAM</t>
  </si>
  <si>
    <t>GULISTA</t>
  </si>
  <si>
    <t>TAHSEEN</t>
  </si>
  <si>
    <t>SHAHIN</t>
  </si>
  <si>
    <t>SARAFAT</t>
  </si>
  <si>
    <t>ISRAR</t>
  </si>
  <si>
    <t>SHANTI PURAM COLONY</t>
  </si>
  <si>
    <t>RENU SAXENA</t>
  </si>
  <si>
    <t>MUKESH SAXENA</t>
  </si>
  <si>
    <t>JATBADA PUL</t>
  </si>
  <si>
    <t>DAMYANTI</t>
  </si>
  <si>
    <t>DINESH KUMAR</t>
  </si>
  <si>
    <t>SITAPUR</t>
  </si>
  <si>
    <t>PREMVATI</t>
  </si>
  <si>
    <t>RUPCHAND</t>
  </si>
  <si>
    <t>RISHIKUL</t>
  </si>
  <si>
    <t>MAYA</t>
  </si>
  <si>
    <t>JANESH</t>
  </si>
  <si>
    <t>NEAR BANGALI CLINIC</t>
  </si>
  <si>
    <t>BHAGWANDAS</t>
  </si>
  <si>
    <t>SATI GHAT</t>
  </si>
  <si>
    <t>TEENA</t>
  </si>
  <si>
    <t>SHASHI KUMAR</t>
  </si>
  <si>
    <t>MITHLESH</t>
  </si>
  <si>
    <t>ARUN</t>
  </si>
  <si>
    <t>RAJIYA</t>
  </si>
  <si>
    <t>MOHD MUMTAZ</t>
  </si>
  <si>
    <t>NAJIYA KHAN</t>
  </si>
  <si>
    <t>MUDASSIR ALI</t>
  </si>
  <si>
    <t>SINCHAI VIBHAG</t>
  </si>
  <si>
    <t>TANVI</t>
  </si>
  <si>
    <t>MOHAN LAL</t>
  </si>
  <si>
    <t>PREMWATI</t>
  </si>
  <si>
    <t>RAJU</t>
  </si>
  <si>
    <t>PURVI NATH</t>
  </si>
  <si>
    <t>BABLI DEVI</t>
  </si>
  <si>
    <t>NARESH KUMAR</t>
  </si>
  <si>
    <t>GOVINDPUR</t>
  </si>
  <si>
    <t>HAJARA</t>
  </si>
  <si>
    <t>JAHID ALI</t>
  </si>
  <si>
    <t>RAHAMANI</t>
  </si>
  <si>
    <t>MUNAVVAR ALI</t>
  </si>
  <si>
    <t>RAMA VIHAR COLONY</t>
  </si>
  <si>
    <t>PL 103</t>
  </si>
  <si>
    <t>SONI VERMA</t>
  </si>
  <si>
    <t>RITURAJ</t>
  </si>
  <si>
    <t>SALEM MAHDOOD</t>
  </si>
  <si>
    <t>PL 104</t>
  </si>
  <si>
    <t>RESMA</t>
  </si>
  <si>
    <t>RAO RASHID</t>
  </si>
  <si>
    <t>PL 105</t>
  </si>
  <si>
    <t>SHALINI KATHORI</t>
  </si>
  <si>
    <t>SHRIKANT KATHARIA</t>
  </si>
  <si>
    <t>PL 106</t>
  </si>
  <si>
    <t>MANJITA</t>
  </si>
  <si>
    <t>TILAK RAM</t>
  </si>
  <si>
    <t>PL 107</t>
  </si>
  <si>
    <t>ANKUR</t>
  </si>
  <si>
    <t xml:space="preserve">RAM NAGAR </t>
  </si>
  <si>
    <t>PL 108</t>
  </si>
  <si>
    <t>RAJENDER</t>
  </si>
  <si>
    <t>PL 109</t>
  </si>
  <si>
    <t>KHUSHNASIV</t>
  </si>
  <si>
    <t>MOBEEN</t>
  </si>
  <si>
    <t>CHAUUHNAN</t>
  </si>
  <si>
    <t>PL 110</t>
  </si>
  <si>
    <t>BANO</t>
  </si>
  <si>
    <t>MIR HASAN</t>
  </si>
  <si>
    <t>PL 111</t>
  </si>
  <si>
    <t>KAUSHAR</t>
  </si>
  <si>
    <t>MUSTAKEEM AHMAD</t>
  </si>
  <si>
    <t>PL 112</t>
  </si>
  <si>
    <t>MAUSAM</t>
  </si>
  <si>
    <t>SONIT KUMAR</t>
  </si>
  <si>
    <t>JWALAPUR</t>
  </si>
  <si>
    <t>PL 113</t>
  </si>
  <si>
    <t>GEETA SAHU</t>
  </si>
  <si>
    <t>ANIL SAHU</t>
  </si>
  <si>
    <t>PL 114</t>
  </si>
  <si>
    <t>ARUNA</t>
  </si>
  <si>
    <t>LALI KUMAR</t>
  </si>
  <si>
    <t>RAJGHAT</t>
  </si>
  <si>
    <t>PL 115</t>
  </si>
  <si>
    <t>KALPANA</t>
  </si>
  <si>
    <t>SEETA RAM</t>
  </si>
  <si>
    <t>PL 116</t>
  </si>
  <si>
    <t>SUMIT SHARMA</t>
  </si>
  <si>
    <t>BALMIKI BASTI</t>
  </si>
  <si>
    <t>PL 117</t>
  </si>
  <si>
    <t>YASHODA</t>
  </si>
  <si>
    <t>BITTU</t>
  </si>
  <si>
    <t>PL 118</t>
  </si>
  <si>
    <t>SAKSHI</t>
  </si>
  <si>
    <t>NAND VIHAR</t>
  </si>
  <si>
    <t>PL 119</t>
  </si>
  <si>
    <t>NIDHI</t>
  </si>
  <si>
    <t>PL 120</t>
  </si>
  <si>
    <t>KISHANPAL</t>
  </si>
  <si>
    <t>SHASTRI NAGAR</t>
  </si>
  <si>
    <t>PL 121</t>
  </si>
  <si>
    <t>SATENDRA</t>
  </si>
  <si>
    <t>PL 122</t>
  </si>
  <si>
    <t>DEEPIKA</t>
  </si>
  <si>
    <t>ROBIN</t>
  </si>
  <si>
    <t>PL 123</t>
  </si>
  <si>
    <t>DAYARAM</t>
  </si>
  <si>
    <t>PL 124</t>
  </si>
  <si>
    <t>UMA</t>
  </si>
  <si>
    <t>PL 125</t>
  </si>
  <si>
    <t xml:space="preserve">DEEPAK </t>
  </si>
  <si>
    <t>PL 126</t>
  </si>
  <si>
    <t>PL 127</t>
  </si>
  <si>
    <t>SHEETAL</t>
  </si>
  <si>
    <t>LOHA MANDI</t>
  </si>
  <si>
    <t>PL 128</t>
  </si>
  <si>
    <t>PL 129</t>
  </si>
  <si>
    <t>MONIKA</t>
  </si>
  <si>
    <t>ANKIT</t>
  </si>
  <si>
    <t>PL 130</t>
  </si>
  <si>
    <t>PL 131</t>
  </si>
  <si>
    <t>PERMA</t>
  </si>
  <si>
    <t>RAIPUR MORE</t>
  </si>
  <si>
    <t>PL 132</t>
  </si>
  <si>
    <t>SHOBHA</t>
  </si>
  <si>
    <t>VISHNU</t>
  </si>
  <si>
    <t>PL 133</t>
  </si>
  <si>
    <t>DEEPALI</t>
  </si>
  <si>
    <t>PL 134</t>
  </si>
  <si>
    <t>AAYESHA</t>
  </si>
  <si>
    <t>SAKET</t>
  </si>
  <si>
    <t>JAWALAPUR</t>
  </si>
  <si>
    <t>PL 135</t>
  </si>
  <si>
    <t>SHAHSI SHARMA</t>
  </si>
  <si>
    <t>GULSHAN</t>
  </si>
  <si>
    <t>PL 136</t>
  </si>
  <si>
    <t>BRIJESH</t>
  </si>
  <si>
    <t>TARACHAND</t>
  </si>
  <si>
    <t>PL 137</t>
  </si>
  <si>
    <t>APAR ROAD</t>
  </si>
  <si>
    <t>PL 138</t>
  </si>
  <si>
    <t>PREMA</t>
  </si>
  <si>
    <t>PL 139</t>
  </si>
  <si>
    <t>JAMNA</t>
  </si>
  <si>
    <t>SURAJ</t>
  </si>
  <si>
    <t>PL 140</t>
  </si>
  <si>
    <t>NEHA</t>
  </si>
  <si>
    <t>ARJUN</t>
  </si>
  <si>
    <t>PL 141</t>
  </si>
  <si>
    <t>SANJAY</t>
  </si>
  <si>
    <t>PL 142</t>
  </si>
  <si>
    <t>HARSH</t>
  </si>
  <si>
    <t>DHANPURA</t>
  </si>
  <si>
    <t>PL 143</t>
  </si>
  <si>
    <t>PL 144</t>
  </si>
  <si>
    <t>PL 145</t>
  </si>
  <si>
    <t>PL 146</t>
  </si>
  <si>
    <t>PL 147</t>
  </si>
  <si>
    <t>LAJO</t>
  </si>
  <si>
    <t>PL 148</t>
  </si>
  <si>
    <t>IMRAN KHAN</t>
  </si>
  <si>
    <t>PL 149</t>
  </si>
  <si>
    <t>NITU</t>
  </si>
  <si>
    <t xml:space="preserve">PRADEEP </t>
  </si>
  <si>
    <t>PL 150</t>
  </si>
  <si>
    <t>JAYA</t>
  </si>
  <si>
    <t>PL 151</t>
  </si>
  <si>
    <t>SARAI</t>
  </si>
  <si>
    <t>PL 152</t>
  </si>
  <si>
    <t>SHABANA</t>
  </si>
  <si>
    <t>GULZAR</t>
  </si>
  <si>
    <t>PL 153</t>
  </si>
  <si>
    <t>RINA</t>
  </si>
  <si>
    <t>PL 154</t>
  </si>
  <si>
    <t>LOVE</t>
  </si>
  <si>
    <t>KHANNA NAGAR</t>
  </si>
  <si>
    <t>PL 155</t>
  </si>
  <si>
    <t>NANDINI</t>
  </si>
  <si>
    <t>PL 156</t>
  </si>
  <si>
    <t>RESHMA</t>
  </si>
  <si>
    <t>SHOKEEN</t>
  </si>
  <si>
    <t>PL 157</t>
  </si>
  <si>
    <t>RADHA</t>
  </si>
  <si>
    <t>INDRAWATI BASTI</t>
  </si>
  <si>
    <t>PL 158</t>
  </si>
  <si>
    <t>RANO</t>
  </si>
  <si>
    <t>AMARDEEP</t>
  </si>
  <si>
    <t>PL 159</t>
  </si>
  <si>
    <t>NIJAKAT</t>
  </si>
  <si>
    <t>PL 160</t>
  </si>
  <si>
    <t>PUNAM</t>
  </si>
  <si>
    <t>PL 161</t>
  </si>
  <si>
    <t>LATOWALI</t>
  </si>
  <si>
    <t>PL 162</t>
  </si>
  <si>
    <t>REENU</t>
  </si>
  <si>
    <t>BHANUPRATAP</t>
  </si>
  <si>
    <t>PL 163</t>
  </si>
  <si>
    <t>SONIYA</t>
  </si>
  <si>
    <t>PL 164</t>
  </si>
  <si>
    <t>RAJENDRA</t>
  </si>
  <si>
    <t>PL 165</t>
  </si>
  <si>
    <t>TELIYAN MOHALLA</t>
  </si>
  <si>
    <t>PL 166</t>
  </si>
  <si>
    <t>HANUMAN GARHI</t>
  </si>
  <si>
    <t>PL 167</t>
  </si>
  <si>
    <t>PL 168</t>
  </si>
  <si>
    <t>PL 169</t>
  </si>
  <si>
    <t>ASRUN NISHA</t>
  </si>
  <si>
    <t>ISTIYAK ANSARI</t>
  </si>
  <si>
    <t>PL 170</t>
  </si>
  <si>
    <t>VIJAY KUMAR</t>
  </si>
  <si>
    <t>PL 171</t>
  </si>
  <si>
    <t>PL 172</t>
  </si>
  <si>
    <t>NASREEN</t>
  </si>
  <si>
    <t>AASIF</t>
  </si>
  <si>
    <t>PL 173</t>
  </si>
  <si>
    <t>BIMLA</t>
  </si>
  <si>
    <t>NITESH</t>
  </si>
  <si>
    <t>LODHA MANDI</t>
  </si>
  <si>
    <t>PL 174</t>
  </si>
  <si>
    <t>MANISHA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</si>
</sst>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</font>
    <font>
      <b/>
      <sz val="36"/>
      <color theme="1"/>
      <name val="Calibri"/>
      <family val="2"/>
    </font>
    <font>
      <b/>
      <sz val="10"/>
      <color theme="1"/>
      <name val="Calibri"/>
      <family val="2"/>
    </font>
    <font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FFFF00"/>
      </patternFill>
    </fill>
    <fill>
      <patternFill patternType="solid">
        <fgColor theme="2" tint="-9.9978637043366805E-2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1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2" fillId="6" borderId="1" xfId="1" applyFont="1" applyFill="1" applyBorder="1" applyAlignment="1">
      <alignment horizontal="center" vertical="center" wrapText="1"/>
    </xf>
    <xf numFmtId="0" fontId="2" fillId="6" borderId="1" xfId="1" applyNumberFormat="1" applyFont="1" applyFill="1" applyBorder="1" applyAlignment="1">
      <alignment horizontal="center" vertical="center" wrapText="1"/>
    </xf>
    <xf numFmtId="164" fontId="2" fillId="5" borderId="1" xfId="1" applyFont="1" applyFill="1" applyBorder="1" applyAlignment="1">
      <alignment horizontal="center" vertical="center" wrapText="1"/>
    </xf>
    <xf numFmtId="165" fontId="2" fillId="5" borderId="1" xfId="1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8" fillId="0" borderId="0" xfId="0" applyFont="1"/>
    <xf numFmtId="0" fontId="3" fillId="3" borderId="0" xfId="0" applyFont="1" applyFill="1"/>
    <xf numFmtId="14" fontId="2" fillId="0" borderId="0" xfId="0" applyNumberFormat="1" applyFont="1" applyAlignment="1">
      <alignment horizontal="center" vertical="center"/>
    </xf>
    <xf numFmtId="0" fontId="9" fillId="3" borderId="1" xfId="0" applyFont="1" applyFill="1" applyBorder="1"/>
    <xf numFmtId="0" fontId="5" fillId="0" borderId="0" xfId="0" applyFont="1" applyAlignment="1">
      <alignment horizontal="center" vertical="center"/>
    </xf>
    <xf numFmtId="16" fontId="10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5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</cellXfs>
  <cellStyles count="2">
    <cellStyle name="Comma 3" xfId="1" xr:uid="{343CBD46-0B18-4A31-B362-14F706E7BCCE}"/>
    <cellStyle name="Normal" xfId="0" builtinId="0"/>
  </cellStyles>
  <dxfs count="2"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D1E5-DC96-4E14-8EAF-45CD6E69476C}">
  <dimension ref="A1:AV184"/>
  <sheetViews>
    <sheetView tabSelected="1" workbookViewId="0">
      <selection activeCell="E11" sqref="E11"/>
    </sheetView>
  </sheetViews>
  <sheetFormatPr defaultRowHeight="15" x14ac:dyDescent="0.25"/>
  <cols>
    <col min="1" max="1" width="11" style="3" bestFit="1" customWidth="1"/>
    <col min="2" max="2" width="18.140625" style="3" customWidth="1"/>
    <col min="3" max="3" width="14.85546875" style="3" bestFit="1" customWidth="1"/>
    <col min="4" max="4" width="11.5703125" style="3" bestFit="1" customWidth="1"/>
    <col min="5" max="6" width="28.7109375" style="3" customWidth="1"/>
    <col min="7" max="7" width="19.85546875" style="3" customWidth="1"/>
    <col min="8" max="8" width="11.42578125" style="3" bestFit="1" customWidth="1"/>
    <col min="9" max="9" width="12.5703125" style="3" bestFit="1" customWidth="1"/>
    <col min="10" max="10" width="25.7109375" style="3" customWidth="1"/>
    <col min="11" max="11" width="21.7109375" style="3" customWidth="1"/>
    <col min="12" max="12" width="19.28515625" style="3" bestFit="1" customWidth="1"/>
    <col min="13" max="13" width="22.140625" style="3" bestFit="1" customWidth="1"/>
    <col min="14" max="14" width="15" style="3" bestFit="1" customWidth="1"/>
    <col min="15" max="15" width="14.140625" style="3" customWidth="1"/>
    <col min="16" max="16" width="13.42578125" style="3" customWidth="1"/>
    <col min="17" max="17" width="17.7109375" style="3" customWidth="1"/>
    <col min="18" max="18" width="13" style="3" customWidth="1"/>
    <col min="19" max="19" width="13.85546875" style="3" customWidth="1"/>
    <col min="20" max="20" width="13.140625" style="3" customWidth="1"/>
    <col min="21" max="21" width="11.140625" style="3" customWidth="1"/>
    <col min="22" max="22" width="13.7109375" style="3" customWidth="1"/>
    <col min="23" max="23" width="13.85546875" style="3" customWidth="1"/>
    <col min="24" max="24" width="11.42578125" style="3" customWidth="1"/>
    <col min="25" max="26" width="13.28515625" style="3" customWidth="1"/>
    <col min="27" max="27" width="13.140625" style="3" customWidth="1"/>
    <col min="28" max="28" width="15.7109375" style="3" customWidth="1"/>
    <col min="29" max="29" width="19.42578125" style="3" customWidth="1"/>
    <col min="30" max="30" width="13.7109375" style="3" customWidth="1"/>
    <col min="31" max="31" width="18.140625" style="3" bestFit="1" customWidth="1"/>
    <col min="32" max="32" width="18" style="3" bestFit="1" customWidth="1"/>
    <col min="33" max="33" width="16.85546875" style="3" bestFit="1" customWidth="1"/>
    <col min="34" max="34" width="9.7109375" style="3" bestFit="1" customWidth="1"/>
    <col min="35" max="35" width="17.85546875" style="3" bestFit="1" customWidth="1"/>
    <col min="36" max="36" width="9.85546875" style="3" bestFit="1" customWidth="1"/>
    <col min="37" max="37" width="17" style="3" bestFit="1" customWidth="1"/>
    <col min="38" max="38" width="16.42578125" style="3" bestFit="1" customWidth="1"/>
    <col min="39" max="40" width="12.5703125" style="3" bestFit="1" customWidth="1"/>
    <col min="41" max="41" width="12.85546875" style="3" bestFit="1" customWidth="1"/>
    <col min="42" max="42" width="15.5703125" style="3" customWidth="1"/>
    <col min="43" max="43" width="16.42578125" style="43" customWidth="1"/>
    <col min="44" max="44" width="9.140625" style="3"/>
    <col min="45" max="45" width="17.28515625" style="3" customWidth="1"/>
    <col min="46" max="46" width="18.85546875" style="3" customWidth="1"/>
    <col min="47" max="47" width="9.140625" style="3"/>
    <col min="48" max="48" width="9.28515625" style="3" bestFit="1" customWidth="1"/>
    <col min="49" max="16384" width="9.140625" style="3"/>
  </cols>
  <sheetData>
    <row r="1" spans="1:48" ht="46.5" x14ac:dyDescent="0.25">
      <c r="A1" s="4" t="s">
        <v>190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</row>
    <row r="2" spans="1:48" ht="72" customHeight="1" x14ac:dyDescent="0.25">
      <c r="A2" s="7" t="s">
        <v>191</v>
      </c>
      <c r="B2" s="8" t="s">
        <v>192</v>
      </c>
      <c r="C2" s="8" t="s">
        <v>193</v>
      </c>
      <c r="D2" s="8" t="s">
        <v>11</v>
      </c>
      <c r="E2" s="8" t="s">
        <v>12</v>
      </c>
      <c r="F2" s="8" t="s">
        <v>89</v>
      </c>
      <c r="G2" s="8" t="s">
        <v>194</v>
      </c>
      <c r="H2" s="8" t="s">
        <v>195</v>
      </c>
      <c r="I2" s="8" t="s">
        <v>0</v>
      </c>
      <c r="J2" s="8" t="s">
        <v>196</v>
      </c>
      <c r="K2" s="9" t="s">
        <v>197</v>
      </c>
      <c r="L2" s="10" t="s">
        <v>198</v>
      </c>
      <c r="M2" s="10" t="s">
        <v>13</v>
      </c>
      <c r="N2" s="10" t="s">
        <v>199</v>
      </c>
      <c r="O2" s="10" t="s">
        <v>14</v>
      </c>
      <c r="P2" s="10" t="s">
        <v>1</v>
      </c>
      <c r="Q2" s="10" t="s">
        <v>15</v>
      </c>
      <c r="R2" s="10" t="s">
        <v>2</v>
      </c>
      <c r="S2" s="11" t="s">
        <v>16</v>
      </c>
      <c r="T2" s="11" t="s">
        <v>17</v>
      </c>
      <c r="U2" s="10" t="s">
        <v>18</v>
      </c>
      <c r="V2" s="10" t="s">
        <v>19</v>
      </c>
      <c r="W2" s="10" t="s">
        <v>20</v>
      </c>
      <c r="X2" s="10" t="s">
        <v>200</v>
      </c>
      <c r="Y2" s="10" t="s">
        <v>21</v>
      </c>
      <c r="Z2" s="10" t="s">
        <v>99</v>
      </c>
      <c r="AA2" s="8" t="s">
        <v>24</v>
      </c>
      <c r="AB2" s="9" t="s">
        <v>197</v>
      </c>
      <c r="AC2" s="12" t="s">
        <v>23</v>
      </c>
      <c r="AD2" s="12" t="s">
        <v>22</v>
      </c>
      <c r="AE2" s="13" t="s">
        <v>25</v>
      </c>
      <c r="AF2" s="12" t="s">
        <v>26</v>
      </c>
      <c r="AG2" s="12" t="s">
        <v>27</v>
      </c>
      <c r="AH2" s="12" t="s">
        <v>28</v>
      </c>
      <c r="AI2" s="14" t="s">
        <v>29</v>
      </c>
      <c r="AJ2" s="12" t="s">
        <v>30</v>
      </c>
      <c r="AK2" s="12" t="s">
        <v>31</v>
      </c>
      <c r="AL2" s="15" t="s">
        <v>32</v>
      </c>
      <c r="AM2" s="16" t="s">
        <v>201</v>
      </c>
      <c r="AN2" s="16" t="s">
        <v>33</v>
      </c>
      <c r="AO2" s="16" t="s">
        <v>202</v>
      </c>
      <c r="AP2" s="16" t="s">
        <v>34</v>
      </c>
      <c r="AQ2" s="17" t="s">
        <v>203</v>
      </c>
      <c r="AR2" s="14" t="s">
        <v>35</v>
      </c>
      <c r="AS2" s="15" t="s">
        <v>204</v>
      </c>
      <c r="AT2" s="15" t="s">
        <v>205</v>
      </c>
      <c r="AU2" s="18" t="s">
        <v>36</v>
      </c>
      <c r="AV2" s="19" t="s">
        <v>37</v>
      </c>
    </row>
    <row r="3" spans="1:48" x14ac:dyDescent="0.25">
      <c r="A3" s="1" t="str">
        <f>IF(AC3=0,"CLOSE","ACTIVE")</f>
        <v>ACTIVE</v>
      </c>
      <c r="B3" s="2" t="s">
        <v>206</v>
      </c>
      <c r="C3" s="2" t="s">
        <v>207</v>
      </c>
      <c r="D3" s="2" t="s">
        <v>206</v>
      </c>
      <c r="E3" s="2" t="s">
        <v>208</v>
      </c>
      <c r="F3" s="2"/>
      <c r="G3" s="1" t="s">
        <v>209</v>
      </c>
      <c r="H3" s="2" t="s">
        <v>210</v>
      </c>
      <c r="I3" s="2" t="s">
        <v>104</v>
      </c>
      <c r="J3" s="1" t="s">
        <v>211</v>
      </c>
      <c r="K3" s="2" t="s">
        <v>38</v>
      </c>
      <c r="L3" s="2" t="s">
        <v>212</v>
      </c>
      <c r="M3" s="1" t="s">
        <v>213</v>
      </c>
      <c r="N3" s="1">
        <v>8057916498</v>
      </c>
      <c r="O3" s="1">
        <v>15000</v>
      </c>
      <c r="P3" s="1">
        <v>1000</v>
      </c>
      <c r="Q3" s="2">
        <f t="shared" ref="Q3:Q66" si="0">O3-P3</f>
        <v>14000</v>
      </c>
      <c r="R3" s="1">
        <v>820</v>
      </c>
      <c r="S3" s="20">
        <f>T3*R3</f>
        <v>0</v>
      </c>
      <c r="T3" s="20"/>
      <c r="U3" s="1">
        <v>25</v>
      </c>
      <c r="V3" s="21">
        <v>8</v>
      </c>
      <c r="W3" s="1">
        <f t="shared" ref="W3:W66" si="1">U3-V3-T3</f>
        <v>17</v>
      </c>
      <c r="X3" s="1"/>
      <c r="Y3" s="21"/>
      <c r="Z3" s="22"/>
      <c r="AA3" s="1" t="s">
        <v>7</v>
      </c>
      <c r="AB3" s="2" t="s">
        <v>38</v>
      </c>
      <c r="AC3" s="21">
        <f>(T3+W3)*R3+X3-Y3</f>
        <v>13940</v>
      </c>
      <c r="AD3" s="1">
        <f>V3*R3-X3+Y3</f>
        <v>6560</v>
      </c>
      <c r="AE3" s="1">
        <f t="shared" ref="AE3:AE66" si="2">T3*7</f>
        <v>0</v>
      </c>
      <c r="AF3" s="1">
        <v>20</v>
      </c>
      <c r="AG3" s="1">
        <f t="shared" ref="AG3:AG66" si="3">AE3*AF3</f>
        <v>0</v>
      </c>
      <c r="AH3" s="1">
        <f t="shared" ref="AH3:AH66" si="4">AE3</f>
        <v>0</v>
      </c>
      <c r="AI3" s="1" t="str">
        <f t="shared" ref="AI3:AI66" si="5">IF(AH3&lt;=30,"0-30",IF(AH3&lt;=60,"31-60",IF(AH3&lt;=90,"61-90","NPA")))</f>
        <v>0-30</v>
      </c>
      <c r="AJ3" s="1" t="str">
        <f t="shared" ref="AJ3:AJ66" si="6">IF(AE3&gt;90,"YES","NO")</f>
        <v>NO</v>
      </c>
      <c r="AK3" s="1">
        <f t="shared" ref="AK3:AK66" si="7">AC3+AG3</f>
        <v>13940</v>
      </c>
      <c r="AL3" s="1">
        <f>U3*R3</f>
        <v>20500</v>
      </c>
      <c r="AM3" s="1">
        <f>U3*R3-O3</f>
        <v>5500</v>
      </c>
      <c r="AN3" s="23">
        <f t="shared" ref="AN3:AN66" si="8">AM3/U3</f>
        <v>220</v>
      </c>
      <c r="AO3" s="24">
        <v>46192</v>
      </c>
      <c r="AP3" s="25">
        <v>46196</v>
      </c>
      <c r="AQ3" s="24">
        <v>46205</v>
      </c>
      <c r="AR3" s="1" t="s">
        <v>214</v>
      </c>
      <c r="AS3" s="1" t="s">
        <v>207</v>
      </c>
      <c r="AT3" s="26" t="s">
        <v>215</v>
      </c>
      <c r="AU3" s="26"/>
      <c r="AV3" s="27">
        <f t="shared" ref="AV3:AV66" si="9">S3+X3</f>
        <v>0</v>
      </c>
    </row>
    <row r="4" spans="1:48" x14ac:dyDescent="0.25">
      <c r="A4" s="1" t="str">
        <f t="shared" ref="A4:A67" si="10">IF(AC4=0,"CLOSE","ACTIVE")</f>
        <v>ACTIVE</v>
      </c>
      <c r="B4" s="2" t="s">
        <v>206</v>
      </c>
      <c r="C4" s="2" t="s">
        <v>207</v>
      </c>
      <c r="D4" s="2" t="s">
        <v>206</v>
      </c>
      <c r="E4" s="2" t="s">
        <v>208</v>
      </c>
      <c r="F4" s="2"/>
      <c r="G4" s="1" t="s">
        <v>216</v>
      </c>
      <c r="H4" s="2" t="s">
        <v>210</v>
      </c>
      <c r="I4" s="2" t="s">
        <v>104</v>
      </c>
      <c r="J4" s="1" t="s">
        <v>217</v>
      </c>
      <c r="K4" s="2" t="s">
        <v>39</v>
      </c>
      <c r="L4" s="2" t="s">
        <v>218</v>
      </c>
      <c r="M4" s="1" t="s">
        <v>219</v>
      </c>
      <c r="N4" s="1">
        <v>8865900351</v>
      </c>
      <c r="O4" s="1">
        <v>15000</v>
      </c>
      <c r="P4" s="1">
        <v>1000</v>
      </c>
      <c r="Q4" s="2">
        <f t="shared" si="0"/>
        <v>14000</v>
      </c>
      <c r="R4" s="1">
        <v>820</v>
      </c>
      <c r="S4" s="20">
        <f>T4*R4</f>
        <v>0</v>
      </c>
      <c r="T4" s="20"/>
      <c r="U4" s="1">
        <v>25</v>
      </c>
      <c r="V4" s="21">
        <v>9</v>
      </c>
      <c r="W4" s="1">
        <f t="shared" si="1"/>
        <v>16</v>
      </c>
      <c r="X4" s="1"/>
      <c r="Y4" s="21"/>
      <c r="Z4" s="1"/>
      <c r="AA4" s="1" t="s">
        <v>4</v>
      </c>
      <c r="AB4" s="2" t="s">
        <v>39</v>
      </c>
      <c r="AC4" s="21">
        <f>(T4+W4)*R4+X4-Y4</f>
        <v>13120</v>
      </c>
      <c r="AD4" s="1">
        <f>V4*R4-X4+Y4</f>
        <v>7380</v>
      </c>
      <c r="AE4" s="1">
        <f t="shared" si="2"/>
        <v>0</v>
      </c>
      <c r="AF4" s="1">
        <v>20</v>
      </c>
      <c r="AG4" s="1">
        <f t="shared" si="3"/>
        <v>0</v>
      </c>
      <c r="AH4" s="1">
        <f t="shared" si="4"/>
        <v>0</v>
      </c>
      <c r="AI4" s="1" t="str">
        <f t="shared" si="5"/>
        <v>0-30</v>
      </c>
      <c r="AJ4" s="1" t="str">
        <f t="shared" si="6"/>
        <v>NO</v>
      </c>
      <c r="AK4" s="1">
        <f t="shared" si="7"/>
        <v>13120</v>
      </c>
      <c r="AL4" s="1">
        <f>U4*R4</f>
        <v>20500</v>
      </c>
      <c r="AM4" s="1">
        <f>U4*R4-O4</f>
        <v>5500</v>
      </c>
      <c r="AN4" s="23">
        <f t="shared" si="8"/>
        <v>220</v>
      </c>
      <c r="AO4" s="24">
        <v>46192</v>
      </c>
      <c r="AP4" s="25">
        <v>46196</v>
      </c>
      <c r="AQ4" s="24">
        <v>46203</v>
      </c>
      <c r="AR4" s="1" t="s">
        <v>214</v>
      </c>
      <c r="AS4" s="1" t="s">
        <v>207</v>
      </c>
      <c r="AT4" s="26" t="s">
        <v>215</v>
      </c>
      <c r="AU4" s="26"/>
      <c r="AV4" s="27">
        <f t="shared" si="9"/>
        <v>0</v>
      </c>
    </row>
    <row r="5" spans="1:48" x14ac:dyDescent="0.25">
      <c r="A5" s="1" t="str">
        <f t="shared" si="10"/>
        <v>ACTIVE</v>
      </c>
      <c r="B5" s="2" t="s">
        <v>206</v>
      </c>
      <c r="C5" s="2" t="s">
        <v>207</v>
      </c>
      <c r="D5" s="2" t="s">
        <v>206</v>
      </c>
      <c r="E5" s="2" t="s">
        <v>208</v>
      </c>
      <c r="F5" s="2"/>
      <c r="G5" s="1" t="s">
        <v>220</v>
      </c>
      <c r="H5" s="2" t="s">
        <v>210</v>
      </c>
      <c r="I5" s="2" t="s">
        <v>104</v>
      </c>
      <c r="J5" s="1" t="s">
        <v>221</v>
      </c>
      <c r="K5" s="2" t="s">
        <v>40</v>
      </c>
      <c r="L5" s="2" t="s">
        <v>222</v>
      </c>
      <c r="M5" s="1" t="s">
        <v>220</v>
      </c>
      <c r="N5" s="1">
        <v>7455076059</v>
      </c>
      <c r="O5" s="1">
        <v>15000</v>
      </c>
      <c r="P5" s="1">
        <v>1000</v>
      </c>
      <c r="Q5" s="2">
        <f t="shared" si="0"/>
        <v>14000</v>
      </c>
      <c r="R5" s="1">
        <v>820</v>
      </c>
      <c r="S5" s="20">
        <f>T5*R5</f>
        <v>0</v>
      </c>
      <c r="T5" s="20"/>
      <c r="U5" s="1">
        <v>25</v>
      </c>
      <c r="V5" s="21">
        <v>9</v>
      </c>
      <c r="W5" s="1">
        <f t="shared" si="1"/>
        <v>16</v>
      </c>
      <c r="X5" s="1"/>
      <c r="Y5" s="21">
        <v>820</v>
      </c>
      <c r="Z5" s="22">
        <v>46259</v>
      </c>
      <c r="AA5" s="1" t="s">
        <v>4</v>
      </c>
      <c r="AB5" s="2" t="s">
        <v>40</v>
      </c>
      <c r="AC5" s="21">
        <f>(T5+W5)*R5+X5-Y5</f>
        <v>12300</v>
      </c>
      <c r="AD5" s="1">
        <f>V5*R5-X5+Y5</f>
        <v>8200</v>
      </c>
      <c r="AE5" s="1">
        <f t="shared" si="2"/>
        <v>0</v>
      </c>
      <c r="AF5" s="1">
        <v>20</v>
      </c>
      <c r="AG5" s="1">
        <f t="shared" si="3"/>
        <v>0</v>
      </c>
      <c r="AH5" s="1">
        <f t="shared" si="4"/>
        <v>0</v>
      </c>
      <c r="AI5" s="1" t="str">
        <f t="shared" si="5"/>
        <v>0-30</v>
      </c>
      <c r="AJ5" s="1" t="str">
        <f t="shared" si="6"/>
        <v>NO</v>
      </c>
      <c r="AK5" s="1">
        <f t="shared" si="7"/>
        <v>12300</v>
      </c>
      <c r="AL5" s="1">
        <f>U5*R5</f>
        <v>20500</v>
      </c>
      <c r="AM5" s="1">
        <f>U5*R5-O5</f>
        <v>5500</v>
      </c>
      <c r="AN5" s="23">
        <f t="shared" si="8"/>
        <v>220</v>
      </c>
      <c r="AO5" s="24">
        <v>46192</v>
      </c>
      <c r="AP5" s="25">
        <v>46196</v>
      </c>
      <c r="AQ5" s="24">
        <v>46203</v>
      </c>
      <c r="AR5" s="1" t="s">
        <v>214</v>
      </c>
      <c r="AS5" s="1" t="s">
        <v>207</v>
      </c>
      <c r="AT5" s="26" t="s">
        <v>215</v>
      </c>
      <c r="AU5" s="26"/>
      <c r="AV5" s="27">
        <f t="shared" si="9"/>
        <v>0</v>
      </c>
    </row>
    <row r="6" spans="1:48" x14ac:dyDescent="0.25">
      <c r="A6" s="1" t="str">
        <f t="shared" si="10"/>
        <v>ACTIVE</v>
      </c>
      <c r="B6" s="2" t="s">
        <v>206</v>
      </c>
      <c r="C6" s="2" t="s">
        <v>207</v>
      </c>
      <c r="D6" s="2" t="s">
        <v>206</v>
      </c>
      <c r="E6" s="2" t="s">
        <v>208</v>
      </c>
      <c r="F6" s="2"/>
      <c r="G6" s="1" t="s">
        <v>220</v>
      </c>
      <c r="H6" s="2" t="s">
        <v>210</v>
      </c>
      <c r="I6" s="2" t="s">
        <v>104</v>
      </c>
      <c r="J6" s="1" t="s">
        <v>211</v>
      </c>
      <c r="K6" s="2" t="s">
        <v>41</v>
      </c>
      <c r="L6" s="2" t="s">
        <v>223</v>
      </c>
      <c r="M6" s="1" t="s">
        <v>224</v>
      </c>
      <c r="N6" s="1">
        <v>8958358636</v>
      </c>
      <c r="O6" s="1">
        <v>15000</v>
      </c>
      <c r="P6" s="1">
        <v>1000</v>
      </c>
      <c r="Q6" s="2">
        <f t="shared" si="0"/>
        <v>14000</v>
      </c>
      <c r="R6" s="1">
        <v>820</v>
      </c>
      <c r="S6" s="20">
        <f>T6*R6</f>
        <v>0</v>
      </c>
      <c r="T6" s="20"/>
      <c r="U6" s="1">
        <v>25</v>
      </c>
      <c r="V6" s="28">
        <v>8</v>
      </c>
      <c r="W6" s="1">
        <f t="shared" si="1"/>
        <v>17</v>
      </c>
      <c r="X6" s="1"/>
      <c r="Y6" s="21"/>
      <c r="Z6" s="22"/>
      <c r="AA6" s="1" t="s">
        <v>7</v>
      </c>
      <c r="AB6" s="2" t="s">
        <v>41</v>
      </c>
      <c r="AC6" s="21">
        <f>(T6+W6)*R6+X6-Y6</f>
        <v>13940</v>
      </c>
      <c r="AD6" s="1">
        <f>V6*R6-X6+Y6</f>
        <v>6560</v>
      </c>
      <c r="AE6" s="1">
        <f t="shared" si="2"/>
        <v>0</v>
      </c>
      <c r="AF6" s="1">
        <v>20</v>
      </c>
      <c r="AG6" s="1">
        <f t="shared" si="3"/>
        <v>0</v>
      </c>
      <c r="AH6" s="1">
        <f t="shared" si="4"/>
        <v>0</v>
      </c>
      <c r="AI6" s="1" t="str">
        <f t="shared" si="5"/>
        <v>0-30</v>
      </c>
      <c r="AJ6" s="1" t="str">
        <f t="shared" si="6"/>
        <v>NO</v>
      </c>
      <c r="AK6" s="1">
        <f t="shared" si="7"/>
        <v>13940</v>
      </c>
      <c r="AL6" s="1">
        <f>U6*R6</f>
        <v>20500</v>
      </c>
      <c r="AM6" s="1">
        <f>U6*R6-O6</f>
        <v>5500</v>
      </c>
      <c r="AN6" s="23">
        <f t="shared" si="8"/>
        <v>220</v>
      </c>
      <c r="AO6" s="24">
        <v>46192</v>
      </c>
      <c r="AP6" s="25">
        <v>46196</v>
      </c>
      <c r="AQ6" s="24">
        <v>46205</v>
      </c>
      <c r="AR6" s="1" t="s">
        <v>214</v>
      </c>
      <c r="AS6" s="1" t="s">
        <v>207</v>
      </c>
      <c r="AT6" s="26" t="s">
        <v>215</v>
      </c>
      <c r="AU6" s="26"/>
      <c r="AV6" s="27">
        <f t="shared" si="9"/>
        <v>0</v>
      </c>
    </row>
    <row r="7" spans="1:48" x14ac:dyDescent="0.25">
      <c r="A7" s="1" t="str">
        <f t="shared" si="10"/>
        <v>ACTIVE</v>
      </c>
      <c r="B7" s="2" t="s">
        <v>206</v>
      </c>
      <c r="C7" s="2" t="s">
        <v>207</v>
      </c>
      <c r="D7" s="2" t="s">
        <v>206</v>
      </c>
      <c r="E7" s="2" t="s">
        <v>208</v>
      </c>
      <c r="F7" s="2"/>
      <c r="G7" s="1" t="s">
        <v>220</v>
      </c>
      <c r="H7" s="2" t="s">
        <v>210</v>
      </c>
      <c r="I7" s="2" t="s">
        <v>104</v>
      </c>
      <c r="J7" s="1" t="s">
        <v>225</v>
      </c>
      <c r="K7" s="2" t="s">
        <v>43</v>
      </c>
      <c r="L7" s="2" t="s">
        <v>226</v>
      </c>
      <c r="M7" s="1" t="s">
        <v>227</v>
      </c>
      <c r="N7" s="1">
        <v>8958402001</v>
      </c>
      <c r="O7" s="1">
        <v>15000</v>
      </c>
      <c r="P7" s="1">
        <v>1000</v>
      </c>
      <c r="Q7" s="2">
        <f t="shared" si="0"/>
        <v>14000</v>
      </c>
      <c r="R7" s="1">
        <v>820</v>
      </c>
      <c r="S7" s="20">
        <f>T7*R7</f>
        <v>0</v>
      </c>
      <c r="T7" s="20"/>
      <c r="U7" s="1">
        <v>25</v>
      </c>
      <c r="V7" s="28">
        <v>9</v>
      </c>
      <c r="W7" s="1">
        <f t="shared" si="1"/>
        <v>16</v>
      </c>
      <c r="X7" s="1"/>
      <c r="Y7" s="21"/>
      <c r="Z7" s="1"/>
      <c r="AA7" s="1" t="s">
        <v>3</v>
      </c>
      <c r="AB7" s="2" t="s">
        <v>43</v>
      </c>
      <c r="AC7" s="21">
        <f>(T7+W7)*R7+X7-Y7</f>
        <v>13120</v>
      </c>
      <c r="AD7" s="1">
        <f>V7*R7-X7+Y7</f>
        <v>7380</v>
      </c>
      <c r="AE7" s="1">
        <f t="shared" si="2"/>
        <v>0</v>
      </c>
      <c r="AF7" s="1">
        <v>20</v>
      </c>
      <c r="AG7" s="1">
        <f t="shared" si="3"/>
        <v>0</v>
      </c>
      <c r="AH7" s="1">
        <f t="shared" si="4"/>
        <v>0</v>
      </c>
      <c r="AI7" s="1" t="str">
        <f t="shared" si="5"/>
        <v>0-30</v>
      </c>
      <c r="AJ7" s="1" t="str">
        <f t="shared" si="6"/>
        <v>NO</v>
      </c>
      <c r="AK7" s="1">
        <f t="shared" si="7"/>
        <v>13120</v>
      </c>
      <c r="AL7" s="1">
        <f>U7*R7</f>
        <v>20500</v>
      </c>
      <c r="AM7" s="1">
        <f>U7*R7-O7</f>
        <v>5500</v>
      </c>
      <c r="AN7" s="23">
        <f t="shared" si="8"/>
        <v>220</v>
      </c>
      <c r="AO7" s="24">
        <v>46192</v>
      </c>
      <c r="AP7" s="25">
        <v>46196</v>
      </c>
      <c r="AQ7" s="24">
        <v>46204</v>
      </c>
      <c r="AR7" s="1" t="s">
        <v>214</v>
      </c>
      <c r="AS7" s="1" t="s">
        <v>207</v>
      </c>
      <c r="AT7" s="26" t="s">
        <v>215</v>
      </c>
      <c r="AU7" s="26"/>
      <c r="AV7" s="27">
        <f t="shared" si="9"/>
        <v>0</v>
      </c>
    </row>
    <row r="8" spans="1:48" x14ac:dyDescent="0.25">
      <c r="A8" s="1" t="str">
        <f t="shared" si="10"/>
        <v>ACTIVE</v>
      </c>
      <c r="B8" s="2" t="s">
        <v>206</v>
      </c>
      <c r="C8" s="2" t="s">
        <v>207</v>
      </c>
      <c r="D8" s="2" t="s">
        <v>206</v>
      </c>
      <c r="E8" s="2" t="s">
        <v>208</v>
      </c>
      <c r="F8" s="2"/>
      <c r="G8" s="1" t="s">
        <v>220</v>
      </c>
      <c r="H8" s="2" t="s">
        <v>210</v>
      </c>
      <c r="I8" s="2" t="s">
        <v>104</v>
      </c>
      <c r="J8" s="1" t="s">
        <v>228</v>
      </c>
      <c r="K8" s="2" t="s">
        <v>45</v>
      </c>
      <c r="L8" s="2" t="s">
        <v>229</v>
      </c>
      <c r="M8" s="1" t="s">
        <v>230</v>
      </c>
      <c r="N8" s="1">
        <v>7455911150</v>
      </c>
      <c r="O8" s="1">
        <v>15000</v>
      </c>
      <c r="P8" s="1">
        <v>1000</v>
      </c>
      <c r="Q8" s="2">
        <f t="shared" si="0"/>
        <v>14000</v>
      </c>
      <c r="R8" s="1">
        <v>820</v>
      </c>
      <c r="S8" s="20">
        <f>T8*R8</f>
        <v>0</v>
      </c>
      <c r="T8" s="20"/>
      <c r="U8" s="1">
        <v>25</v>
      </c>
      <c r="V8" s="28">
        <v>9</v>
      </c>
      <c r="W8" s="1">
        <f t="shared" si="1"/>
        <v>16</v>
      </c>
      <c r="X8" s="1"/>
      <c r="Y8" s="21"/>
      <c r="Z8" s="1"/>
      <c r="AA8" s="1" t="s">
        <v>4</v>
      </c>
      <c r="AB8" s="2" t="s">
        <v>45</v>
      </c>
      <c r="AC8" s="21">
        <f>(T8+W8)*R8+X8-Y8</f>
        <v>13120</v>
      </c>
      <c r="AD8" s="1">
        <f>V8*R8-X8+Y8</f>
        <v>7380</v>
      </c>
      <c r="AE8" s="1">
        <f t="shared" si="2"/>
        <v>0</v>
      </c>
      <c r="AF8" s="1">
        <v>20</v>
      </c>
      <c r="AG8" s="1">
        <f t="shared" si="3"/>
        <v>0</v>
      </c>
      <c r="AH8" s="1">
        <f t="shared" si="4"/>
        <v>0</v>
      </c>
      <c r="AI8" s="1" t="str">
        <f t="shared" si="5"/>
        <v>0-30</v>
      </c>
      <c r="AJ8" s="1" t="str">
        <f t="shared" si="6"/>
        <v>NO</v>
      </c>
      <c r="AK8" s="1">
        <f t="shared" si="7"/>
        <v>13120</v>
      </c>
      <c r="AL8" s="1">
        <f>U8*R8</f>
        <v>20500</v>
      </c>
      <c r="AM8" s="1">
        <f>U8*R8-O8</f>
        <v>5500</v>
      </c>
      <c r="AN8" s="23">
        <f t="shared" si="8"/>
        <v>220</v>
      </c>
      <c r="AO8" s="24">
        <v>46192</v>
      </c>
      <c r="AP8" s="25">
        <v>46196</v>
      </c>
      <c r="AQ8" s="24">
        <v>46203</v>
      </c>
      <c r="AR8" s="1" t="s">
        <v>214</v>
      </c>
      <c r="AS8" s="1" t="s">
        <v>207</v>
      </c>
      <c r="AT8" s="26" t="s">
        <v>215</v>
      </c>
      <c r="AU8" s="26"/>
      <c r="AV8" s="27">
        <f t="shared" si="9"/>
        <v>0</v>
      </c>
    </row>
    <row r="9" spans="1:48" x14ac:dyDescent="0.25">
      <c r="A9" s="1" t="str">
        <f t="shared" si="10"/>
        <v>ACTIVE</v>
      </c>
      <c r="B9" s="2" t="s">
        <v>206</v>
      </c>
      <c r="C9" s="2" t="s">
        <v>207</v>
      </c>
      <c r="D9" s="2" t="s">
        <v>206</v>
      </c>
      <c r="E9" s="2" t="s">
        <v>208</v>
      </c>
      <c r="F9" s="2"/>
      <c r="G9" s="1" t="s">
        <v>220</v>
      </c>
      <c r="H9" s="2" t="s">
        <v>210</v>
      </c>
      <c r="I9" s="2" t="s">
        <v>104</v>
      </c>
      <c r="J9" s="1" t="s">
        <v>228</v>
      </c>
      <c r="K9" s="2" t="s">
        <v>46</v>
      </c>
      <c r="L9" s="2" t="s">
        <v>231</v>
      </c>
      <c r="M9" s="1" t="s">
        <v>232</v>
      </c>
      <c r="N9" s="1">
        <v>9568132087</v>
      </c>
      <c r="O9" s="1">
        <v>15000</v>
      </c>
      <c r="P9" s="1">
        <v>1000</v>
      </c>
      <c r="Q9" s="2">
        <f t="shared" si="0"/>
        <v>14000</v>
      </c>
      <c r="R9" s="1">
        <v>820</v>
      </c>
      <c r="S9" s="20">
        <f>T9*R9</f>
        <v>0</v>
      </c>
      <c r="T9" s="20"/>
      <c r="U9" s="1">
        <v>25</v>
      </c>
      <c r="V9" s="28">
        <v>9</v>
      </c>
      <c r="W9" s="1">
        <f t="shared" si="1"/>
        <v>16</v>
      </c>
      <c r="X9" s="1"/>
      <c r="Y9" s="21"/>
      <c r="Z9" s="1"/>
      <c r="AA9" s="1" t="s">
        <v>4</v>
      </c>
      <c r="AB9" s="2" t="s">
        <v>46</v>
      </c>
      <c r="AC9" s="21">
        <f>(T9+W9)*R9+X9-Y9</f>
        <v>13120</v>
      </c>
      <c r="AD9" s="1">
        <f>V9*R9-X9+Y9</f>
        <v>7380</v>
      </c>
      <c r="AE9" s="1">
        <f t="shared" si="2"/>
        <v>0</v>
      </c>
      <c r="AF9" s="1">
        <v>20</v>
      </c>
      <c r="AG9" s="1">
        <f t="shared" si="3"/>
        <v>0</v>
      </c>
      <c r="AH9" s="1">
        <f t="shared" si="4"/>
        <v>0</v>
      </c>
      <c r="AI9" s="1" t="str">
        <f t="shared" si="5"/>
        <v>0-30</v>
      </c>
      <c r="AJ9" s="1" t="str">
        <f t="shared" si="6"/>
        <v>NO</v>
      </c>
      <c r="AK9" s="1">
        <f t="shared" si="7"/>
        <v>13120</v>
      </c>
      <c r="AL9" s="1">
        <f>U9*R9</f>
        <v>20500</v>
      </c>
      <c r="AM9" s="1">
        <f>U9*R9-O9</f>
        <v>5500</v>
      </c>
      <c r="AN9" s="23">
        <f t="shared" si="8"/>
        <v>220</v>
      </c>
      <c r="AO9" s="24">
        <v>46192</v>
      </c>
      <c r="AP9" s="25">
        <v>46196</v>
      </c>
      <c r="AQ9" s="24">
        <v>46203</v>
      </c>
      <c r="AR9" s="1" t="s">
        <v>214</v>
      </c>
      <c r="AS9" s="1" t="s">
        <v>207</v>
      </c>
      <c r="AT9" s="26" t="s">
        <v>215</v>
      </c>
      <c r="AU9" s="26"/>
      <c r="AV9" s="27">
        <f t="shared" si="9"/>
        <v>0</v>
      </c>
    </row>
    <row r="10" spans="1:48" x14ac:dyDescent="0.25">
      <c r="A10" s="1" t="str">
        <f t="shared" si="10"/>
        <v>ACTIVE</v>
      </c>
      <c r="B10" s="2" t="s">
        <v>206</v>
      </c>
      <c r="C10" s="2" t="s">
        <v>207</v>
      </c>
      <c r="D10" s="2" t="s">
        <v>206</v>
      </c>
      <c r="E10" s="2" t="s">
        <v>208</v>
      </c>
      <c r="F10" s="2"/>
      <c r="G10" s="1" t="s">
        <v>220</v>
      </c>
      <c r="H10" s="2" t="s">
        <v>210</v>
      </c>
      <c r="I10" s="2" t="s">
        <v>104</v>
      </c>
      <c r="J10" s="1" t="s">
        <v>211</v>
      </c>
      <c r="K10" s="2" t="s">
        <v>47</v>
      </c>
      <c r="L10" s="2" t="s">
        <v>233</v>
      </c>
      <c r="M10" s="1" t="s">
        <v>234</v>
      </c>
      <c r="N10" s="1">
        <v>9634685668</v>
      </c>
      <c r="O10" s="1">
        <v>15000</v>
      </c>
      <c r="P10" s="1">
        <v>1000</v>
      </c>
      <c r="Q10" s="2">
        <f t="shared" si="0"/>
        <v>14000</v>
      </c>
      <c r="R10" s="1">
        <v>820</v>
      </c>
      <c r="S10" s="20">
        <f>T10*R10</f>
        <v>0</v>
      </c>
      <c r="T10" s="20"/>
      <c r="U10" s="1">
        <v>25</v>
      </c>
      <c r="V10" s="28">
        <v>8</v>
      </c>
      <c r="W10" s="1">
        <f t="shared" si="1"/>
        <v>17</v>
      </c>
      <c r="X10" s="1"/>
      <c r="Y10" s="21"/>
      <c r="Z10" s="1"/>
      <c r="AA10" s="1" t="s">
        <v>7</v>
      </c>
      <c r="AB10" s="2" t="s">
        <v>47</v>
      </c>
      <c r="AC10" s="21">
        <f>(T10+W10)*R10+X10-Y10</f>
        <v>13940</v>
      </c>
      <c r="AD10" s="1">
        <f>V10*R10-X10+Y10</f>
        <v>6560</v>
      </c>
      <c r="AE10" s="1">
        <f t="shared" si="2"/>
        <v>0</v>
      </c>
      <c r="AF10" s="1">
        <v>20</v>
      </c>
      <c r="AG10" s="1">
        <f t="shared" si="3"/>
        <v>0</v>
      </c>
      <c r="AH10" s="1">
        <f t="shared" si="4"/>
        <v>0</v>
      </c>
      <c r="AI10" s="1" t="str">
        <f t="shared" si="5"/>
        <v>0-30</v>
      </c>
      <c r="AJ10" s="1" t="str">
        <f t="shared" si="6"/>
        <v>NO</v>
      </c>
      <c r="AK10" s="1">
        <f t="shared" si="7"/>
        <v>13940</v>
      </c>
      <c r="AL10" s="1">
        <f>U10*R10</f>
        <v>20500</v>
      </c>
      <c r="AM10" s="1">
        <f>U10*R10-O10</f>
        <v>5500</v>
      </c>
      <c r="AN10" s="23">
        <f t="shared" si="8"/>
        <v>220</v>
      </c>
      <c r="AO10" s="24">
        <v>46192</v>
      </c>
      <c r="AP10" s="25">
        <v>46196</v>
      </c>
      <c r="AQ10" s="24">
        <v>46205</v>
      </c>
      <c r="AR10" s="1" t="s">
        <v>214</v>
      </c>
      <c r="AS10" s="1" t="s">
        <v>207</v>
      </c>
      <c r="AT10" s="26" t="s">
        <v>215</v>
      </c>
      <c r="AU10" s="26"/>
      <c r="AV10" s="27">
        <f t="shared" si="9"/>
        <v>0</v>
      </c>
    </row>
    <row r="11" spans="1:48" x14ac:dyDescent="0.25">
      <c r="A11" s="1" t="str">
        <f t="shared" si="10"/>
        <v>ACTIVE</v>
      </c>
      <c r="B11" s="2" t="s">
        <v>206</v>
      </c>
      <c r="C11" s="2" t="s">
        <v>207</v>
      </c>
      <c r="D11" s="2" t="s">
        <v>206</v>
      </c>
      <c r="E11" s="2" t="s">
        <v>208</v>
      </c>
      <c r="F11" s="2"/>
      <c r="G11" s="1" t="s">
        <v>216</v>
      </c>
      <c r="H11" s="2" t="s">
        <v>210</v>
      </c>
      <c r="I11" s="2" t="s">
        <v>104</v>
      </c>
      <c r="J11" s="1" t="s">
        <v>235</v>
      </c>
      <c r="K11" s="2" t="s">
        <v>48</v>
      </c>
      <c r="L11" s="2" t="s">
        <v>236</v>
      </c>
      <c r="M11" s="1" t="s">
        <v>237</v>
      </c>
      <c r="N11" s="1">
        <v>8392964724</v>
      </c>
      <c r="O11" s="1">
        <v>15000</v>
      </c>
      <c r="P11" s="1">
        <v>1000</v>
      </c>
      <c r="Q11" s="2">
        <f t="shared" si="0"/>
        <v>14000</v>
      </c>
      <c r="R11" s="1">
        <v>820</v>
      </c>
      <c r="S11" s="20">
        <f>T11*R11</f>
        <v>0</v>
      </c>
      <c r="T11" s="20"/>
      <c r="U11" s="1">
        <v>25</v>
      </c>
      <c r="V11" s="28">
        <v>8</v>
      </c>
      <c r="W11" s="1">
        <f t="shared" si="1"/>
        <v>17</v>
      </c>
      <c r="X11" s="1"/>
      <c r="Y11" s="21"/>
      <c r="Z11" s="22"/>
      <c r="AA11" s="1" t="s">
        <v>3</v>
      </c>
      <c r="AB11" s="2" t="s">
        <v>48</v>
      </c>
      <c r="AC11" s="21">
        <f>(T11+W11)*R11+X11-Y11</f>
        <v>13940</v>
      </c>
      <c r="AD11" s="1">
        <f>V11*R11-X11+Y11</f>
        <v>6560</v>
      </c>
      <c r="AE11" s="1">
        <f t="shared" si="2"/>
        <v>0</v>
      </c>
      <c r="AF11" s="1">
        <v>20</v>
      </c>
      <c r="AG11" s="1">
        <f t="shared" si="3"/>
        <v>0</v>
      </c>
      <c r="AH11" s="1">
        <f t="shared" si="4"/>
        <v>0</v>
      </c>
      <c r="AI11" s="1" t="str">
        <f t="shared" si="5"/>
        <v>0-30</v>
      </c>
      <c r="AJ11" s="1" t="str">
        <f t="shared" si="6"/>
        <v>NO</v>
      </c>
      <c r="AK11" s="1">
        <f t="shared" si="7"/>
        <v>13940</v>
      </c>
      <c r="AL11" s="1">
        <f>U11*R11</f>
        <v>20500</v>
      </c>
      <c r="AM11" s="1">
        <f>U11*R11-O11</f>
        <v>5500</v>
      </c>
      <c r="AN11" s="23">
        <f t="shared" si="8"/>
        <v>220</v>
      </c>
      <c r="AO11" s="24">
        <v>46193</v>
      </c>
      <c r="AP11" s="25">
        <v>46197</v>
      </c>
      <c r="AQ11" s="24">
        <v>46211</v>
      </c>
      <c r="AR11" s="1" t="s">
        <v>214</v>
      </c>
      <c r="AS11" s="1" t="s">
        <v>207</v>
      </c>
      <c r="AT11" s="26" t="s">
        <v>215</v>
      </c>
      <c r="AU11" s="26"/>
      <c r="AV11" s="27">
        <f t="shared" si="9"/>
        <v>0</v>
      </c>
    </row>
    <row r="12" spans="1:48" x14ac:dyDescent="0.25">
      <c r="A12" s="1" t="str">
        <f t="shared" si="10"/>
        <v>ACTIVE</v>
      </c>
      <c r="B12" s="2" t="s">
        <v>206</v>
      </c>
      <c r="C12" s="2" t="s">
        <v>207</v>
      </c>
      <c r="D12" s="2" t="s">
        <v>206</v>
      </c>
      <c r="E12" s="2" t="s">
        <v>208</v>
      </c>
      <c r="F12" s="2"/>
      <c r="G12" s="1" t="s">
        <v>220</v>
      </c>
      <c r="H12" s="2" t="s">
        <v>210</v>
      </c>
      <c r="I12" s="2" t="s">
        <v>104</v>
      </c>
      <c r="J12" s="1" t="s">
        <v>211</v>
      </c>
      <c r="K12" s="2" t="s">
        <v>49</v>
      </c>
      <c r="L12" s="2" t="s">
        <v>238</v>
      </c>
      <c r="M12" s="1" t="s">
        <v>239</v>
      </c>
      <c r="N12" s="1">
        <v>9756485264</v>
      </c>
      <c r="O12" s="1">
        <v>15000</v>
      </c>
      <c r="P12" s="1">
        <v>1000</v>
      </c>
      <c r="Q12" s="2">
        <f t="shared" si="0"/>
        <v>14000</v>
      </c>
      <c r="R12" s="1">
        <v>820</v>
      </c>
      <c r="S12" s="20">
        <f>T12*R12</f>
        <v>0</v>
      </c>
      <c r="T12" s="20"/>
      <c r="U12" s="1">
        <v>25</v>
      </c>
      <c r="V12" s="28">
        <v>8</v>
      </c>
      <c r="W12" s="1">
        <f t="shared" si="1"/>
        <v>17</v>
      </c>
      <c r="X12" s="1"/>
      <c r="Y12" s="21"/>
      <c r="Z12" s="22"/>
      <c r="AA12" s="1" t="s">
        <v>7</v>
      </c>
      <c r="AB12" s="2" t="s">
        <v>49</v>
      </c>
      <c r="AC12" s="21">
        <f>(T12+W12)*R12+X12-Y12</f>
        <v>13940</v>
      </c>
      <c r="AD12" s="1">
        <f>V12*R12-X12+Y12</f>
        <v>6560</v>
      </c>
      <c r="AE12" s="1">
        <f t="shared" si="2"/>
        <v>0</v>
      </c>
      <c r="AF12" s="1">
        <v>20</v>
      </c>
      <c r="AG12" s="1">
        <f t="shared" si="3"/>
        <v>0</v>
      </c>
      <c r="AH12" s="1">
        <f t="shared" si="4"/>
        <v>0</v>
      </c>
      <c r="AI12" s="1" t="str">
        <f t="shared" si="5"/>
        <v>0-30</v>
      </c>
      <c r="AJ12" s="1" t="str">
        <f t="shared" si="6"/>
        <v>NO</v>
      </c>
      <c r="AK12" s="1">
        <f t="shared" si="7"/>
        <v>13940</v>
      </c>
      <c r="AL12" s="1">
        <f>U12*R12</f>
        <v>20500</v>
      </c>
      <c r="AM12" s="1">
        <f>U12*R12-O12</f>
        <v>5500</v>
      </c>
      <c r="AN12" s="23">
        <f t="shared" si="8"/>
        <v>220</v>
      </c>
      <c r="AO12" s="24">
        <v>46192</v>
      </c>
      <c r="AP12" s="25">
        <v>46197</v>
      </c>
      <c r="AQ12" s="24">
        <v>46205</v>
      </c>
      <c r="AR12" s="1" t="s">
        <v>214</v>
      </c>
      <c r="AS12" s="1" t="s">
        <v>207</v>
      </c>
      <c r="AT12" s="26" t="s">
        <v>215</v>
      </c>
      <c r="AU12" s="26"/>
      <c r="AV12" s="27">
        <f t="shared" si="9"/>
        <v>0</v>
      </c>
    </row>
    <row r="13" spans="1:48" x14ac:dyDescent="0.25">
      <c r="A13" s="1" t="str">
        <f t="shared" si="10"/>
        <v>ACTIVE</v>
      </c>
      <c r="B13" s="2" t="s">
        <v>206</v>
      </c>
      <c r="C13" s="2" t="s">
        <v>207</v>
      </c>
      <c r="D13" s="2" t="s">
        <v>206</v>
      </c>
      <c r="E13" s="2" t="s">
        <v>208</v>
      </c>
      <c r="F13" s="2"/>
      <c r="G13" s="1" t="s">
        <v>216</v>
      </c>
      <c r="H13" s="2" t="s">
        <v>210</v>
      </c>
      <c r="I13" s="2" t="s">
        <v>104</v>
      </c>
      <c r="J13" s="1" t="s">
        <v>240</v>
      </c>
      <c r="K13" s="2" t="s">
        <v>50</v>
      </c>
      <c r="L13" s="2" t="s">
        <v>110</v>
      </c>
      <c r="M13" s="1" t="s">
        <v>241</v>
      </c>
      <c r="N13" s="1">
        <v>7088869269</v>
      </c>
      <c r="O13" s="1">
        <v>15000</v>
      </c>
      <c r="P13" s="1">
        <v>1000</v>
      </c>
      <c r="Q13" s="2">
        <f t="shared" si="0"/>
        <v>14000</v>
      </c>
      <c r="R13" s="1">
        <v>820</v>
      </c>
      <c r="S13" s="20">
        <f>T13*R13</f>
        <v>0</v>
      </c>
      <c r="T13" s="20"/>
      <c r="U13" s="1">
        <v>25</v>
      </c>
      <c r="V13" s="28">
        <v>8</v>
      </c>
      <c r="W13" s="1">
        <f t="shared" si="1"/>
        <v>17</v>
      </c>
      <c r="X13" s="1"/>
      <c r="Y13" s="21"/>
      <c r="Z13" s="22"/>
      <c r="AA13" s="1" t="s">
        <v>3</v>
      </c>
      <c r="AB13" s="2" t="s">
        <v>50</v>
      </c>
      <c r="AC13" s="21">
        <f>(T13+W13)*R13+X13-Y13</f>
        <v>13940</v>
      </c>
      <c r="AD13" s="1">
        <f>V13*R13-X13+Y13</f>
        <v>6560</v>
      </c>
      <c r="AE13" s="1">
        <f t="shared" si="2"/>
        <v>0</v>
      </c>
      <c r="AF13" s="1">
        <v>20</v>
      </c>
      <c r="AG13" s="1">
        <f t="shared" si="3"/>
        <v>0</v>
      </c>
      <c r="AH13" s="1">
        <f t="shared" si="4"/>
        <v>0</v>
      </c>
      <c r="AI13" s="1" t="str">
        <f t="shared" si="5"/>
        <v>0-30</v>
      </c>
      <c r="AJ13" s="1" t="str">
        <f t="shared" si="6"/>
        <v>NO</v>
      </c>
      <c r="AK13" s="1">
        <f t="shared" si="7"/>
        <v>13940</v>
      </c>
      <c r="AL13" s="1">
        <f>U13*R13</f>
        <v>20500</v>
      </c>
      <c r="AM13" s="1">
        <f>U13*R13-O13</f>
        <v>5500</v>
      </c>
      <c r="AN13" s="23">
        <f t="shared" si="8"/>
        <v>220</v>
      </c>
      <c r="AO13" s="24">
        <v>46193</v>
      </c>
      <c r="AP13" s="25">
        <v>46197</v>
      </c>
      <c r="AQ13" s="24">
        <v>46211</v>
      </c>
      <c r="AR13" s="1" t="s">
        <v>214</v>
      </c>
      <c r="AS13" s="1" t="s">
        <v>207</v>
      </c>
      <c r="AT13" s="26" t="s">
        <v>215</v>
      </c>
      <c r="AU13" s="26"/>
      <c r="AV13" s="27">
        <f t="shared" si="9"/>
        <v>0</v>
      </c>
    </row>
    <row r="14" spans="1:48" x14ac:dyDescent="0.25">
      <c r="A14" s="1" t="str">
        <f t="shared" si="10"/>
        <v>ACTIVE</v>
      </c>
      <c r="B14" s="2" t="s">
        <v>206</v>
      </c>
      <c r="C14" s="2" t="s">
        <v>207</v>
      </c>
      <c r="D14" s="2" t="s">
        <v>206</v>
      </c>
      <c r="E14" s="2" t="s">
        <v>208</v>
      </c>
      <c r="F14" s="2"/>
      <c r="G14" s="1" t="s">
        <v>216</v>
      </c>
      <c r="H14" s="2" t="s">
        <v>210</v>
      </c>
      <c r="I14" s="2" t="s">
        <v>104</v>
      </c>
      <c r="J14" s="1" t="s">
        <v>242</v>
      </c>
      <c r="K14" s="2" t="s">
        <v>51</v>
      </c>
      <c r="L14" s="2" t="s">
        <v>243</v>
      </c>
      <c r="M14" s="1" t="s">
        <v>244</v>
      </c>
      <c r="N14" s="1">
        <v>9536304171</v>
      </c>
      <c r="O14" s="1">
        <v>15000</v>
      </c>
      <c r="P14" s="1">
        <v>1000</v>
      </c>
      <c r="Q14" s="2">
        <f t="shared" si="0"/>
        <v>14000</v>
      </c>
      <c r="R14" s="1">
        <v>820</v>
      </c>
      <c r="S14" s="20">
        <f>T14*R14</f>
        <v>0</v>
      </c>
      <c r="T14" s="20"/>
      <c r="U14" s="1">
        <v>25</v>
      </c>
      <c r="V14" s="28">
        <v>8</v>
      </c>
      <c r="W14" s="1">
        <f t="shared" si="1"/>
        <v>17</v>
      </c>
      <c r="X14" s="1"/>
      <c r="Y14" s="21"/>
      <c r="Z14" s="22"/>
      <c r="AA14" s="1" t="s">
        <v>5</v>
      </c>
      <c r="AB14" s="2" t="s">
        <v>51</v>
      </c>
      <c r="AC14" s="21">
        <f>(T14+W14)*R14+X14-Y14</f>
        <v>13940</v>
      </c>
      <c r="AD14" s="1">
        <f>V14*R14-X14+Y14</f>
        <v>6560</v>
      </c>
      <c r="AE14" s="1">
        <f t="shared" si="2"/>
        <v>0</v>
      </c>
      <c r="AF14" s="1">
        <v>20</v>
      </c>
      <c r="AG14" s="1">
        <f t="shared" si="3"/>
        <v>0</v>
      </c>
      <c r="AH14" s="1">
        <f t="shared" si="4"/>
        <v>0</v>
      </c>
      <c r="AI14" s="1" t="str">
        <f t="shared" si="5"/>
        <v>0-30</v>
      </c>
      <c r="AJ14" s="1" t="str">
        <f t="shared" si="6"/>
        <v>NO</v>
      </c>
      <c r="AK14" s="1">
        <f t="shared" si="7"/>
        <v>13940</v>
      </c>
      <c r="AL14" s="1">
        <f>U14*R14</f>
        <v>20500</v>
      </c>
      <c r="AM14" s="1">
        <f>U14*R14-O14</f>
        <v>5500</v>
      </c>
      <c r="AN14" s="23">
        <f t="shared" si="8"/>
        <v>220</v>
      </c>
      <c r="AO14" s="24">
        <v>46193</v>
      </c>
      <c r="AP14" s="25">
        <v>46197</v>
      </c>
      <c r="AQ14" s="24">
        <v>46206</v>
      </c>
      <c r="AR14" s="1" t="s">
        <v>214</v>
      </c>
      <c r="AS14" s="1" t="s">
        <v>207</v>
      </c>
      <c r="AT14" s="26" t="s">
        <v>215</v>
      </c>
      <c r="AU14" s="26"/>
      <c r="AV14" s="27">
        <f t="shared" si="9"/>
        <v>0</v>
      </c>
    </row>
    <row r="15" spans="1:48" x14ac:dyDescent="0.25">
      <c r="A15" s="1" t="str">
        <f t="shared" si="10"/>
        <v>ACTIVE</v>
      </c>
      <c r="B15" s="2" t="s">
        <v>206</v>
      </c>
      <c r="C15" s="2" t="s">
        <v>207</v>
      </c>
      <c r="D15" s="2" t="s">
        <v>206</v>
      </c>
      <c r="E15" s="2" t="s">
        <v>208</v>
      </c>
      <c r="F15" s="2"/>
      <c r="G15" s="1" t="s">
        <v>220</v>
      </c>
      <c r="H15" s="2" t="s">
        <v>210</v>
      </c>
      <c r="I15" s="2" t="s">
        <v>104</v>
      </c>
      <c r="J15" s="1" t="s">
        <v>245</v>
      </c>
      <c r="K15" s="2" t="s">
        <v>52</v>
      </c>
      <c r="L15" s="2" t="s">
        <v>246</v>
      </c>
      <c r="M15" s="1" t="s">
        <v>247</v>
      </c>
      <c r="N15" s="1">
        <v>9557957432</v>
      </c>
      <c r="O15" s="1">
        <v>15000</v>
      </c>
      <c r="P15" s="1">
        <v>1000</v>
      </c>
      <c r="Q15" s="2">
        <f t="shared" si="0"/>
        <v>14000</v>
      </c>
      <c r="R15" s="1">
        <v>820</v>
      </c>
      <c r="S15" s="20">
        <f>T15*R15</f>
        <v>0</v>
      </c>
      <c r="T15" s="20"/>
      <c r="U15" s="1">
        <v>25</v>
      </c>
      <c r="V15" s="28">
        <v>9</v>
      </c>
      <c r="W15" s="1">
        <f t="shared" si="1"/>
        <v>16</v>
      </c>
      <c r="X15" s="1"/>
      <c r="Y15" s="21"/>
      <c r="Z15" s="1"/>
      <c r="AA15" s="1" t="s">
        <v>4</v>
      </c>
      <c r="AB15" s="2" t="s">
        <v>52</v>
      </c>
      <c r="AC15" s="21">
        <f>(T15+W15)*R15+X15-Y15</f>
        <v>13120</v>
      </c>
      <c r="AD15" s="1">
        <f>V15*R15-X15+Y15</f>
        <v>7380</v>
      </c>
      <c r="AE15" s="1">
        <f t="shared" si="2"/>
        <v>0</v>
      </c>
      <c r="AF15" s="1">
        <v>20</v>
      </c>
      <c r="AG15" s="1">
        <f t="shared" si="3"/>
        <v>0</v>
      </c>
      <c r="AH15" s="1">
        <f t="shared" si="4"/>
        <v>0</v>
      </c>
      <c r="AI15" s="1" t="str">
        <f t="shared" si="5"/>
        <v>0-30</v>
      </c>
      <c r="AJ15" s="1" t="str">
        <f t="shared" si="6"/>
        <v>NO</v>
      </c>
      <c r="AK15" s="1">
        <f t="shared" si="7"/>
        <v>13120</v>
      </c>
      <c r="AL15" s="1">
        <f>U15*R15</f>
        <v>20500</v>
      </c>
      <c r="AM15" s="1">
        <f>U15*R15-O15</f>
        <v>5500</v>
      </c>
      <c r="AN15" s="23">
        <f t="shared" si="8"/>
        <v>220</v>
      </c>
      <c r="AO15" s="24">
        <v>46193</v>
      </c>
      <c r="AP15" s="25">
        <v>46197</v>
      </c>
      <c r="AQ15" s="24">
        <v>46203</v>
      </c>
      <c r="AR15" s="1" t="s">
        <v>214</v>
      </c>
      <c r="AS15" s="1" t="s">
        <v>207</v>
      </c>
      <c r="AT15" s="26" t="s">
        <v>215</v>
      </c>
      <c r="AU15" s="26"/>
      <c r="AV15" s="27">
        <f t="shared" si="9"/>
        <v>0</v>
      </c>
    </row>
    <row r="16" spans="1:48" x14ac:dyDescent="0.25">
      <c r="A16" s="1" t="str">
        <f t="shared" si="10"/>
        <v>ACTIVE</v>
      </c>
      <c r="B16" s="2" t="s">
        <v>206</v>
      </c>
      <c r="C16" s="2" t="s">
        <v>207</v>
      </c>
      <c r="D16" s="2" t="s">
        <v>206</v>
      </c>
      <c r="E16" s="2" t="s">
        <v>208</v>
      </c>
      <c r="F16" s="2"/>
      <c r="G16" s="1" t="s">
        <v>220</v>
      </c>
      <c r="H16" s="2" t="s">
        <v>210</v>
      </c>
      <c r="I16" s="2" t="s">
        <v>104</v>
      </c>
      <c r="J16" s="1" t="s">
        <v>248</v>
      </c>
      <c r="K16" s="2" t="s">
        <v>53</v>
      </c>
      <c r="L16" s="2" t="s">
        <v>249</v>
      </c>
      <c r="M16" s="1" t="s">
        <v>250</v>
      </c>
      <c r="N16" s="1">
        <v>6397254569</v>
      </c>
      <c r="O16" s="1">
        <v>15000</v>
      </c>
      <c r="P16" s="1">
        <v>1000</v>
      </c>
      <c r="Q16" s="2">
        <f t="shared" si="0"/>
        <v>14000</v>
      </c>
      <c r="R16" s="1">
        <v>820</v>
      </c>
      <c r="S16" s="20">
        <f>T16*R16</f>
        <v>0</v>
      </c>
      <c r="T16" s="20"/>
      <c r="U16" s="1">
        <v>25</v>
      </c>
      <c r="V16" s="28">
        <v>8</v>
      </c>
      <c r="W16" s="1">
        <f t="shared" si="1"/>
        <v>17</v>
      </c>
      <c r="X16" s="1"/>
      <c r="Y16" s="21"/>
      <c r="Z16" s="1"/>
      <c r="AA16" s="1" t="s">
        <v>5</v>
      </c>
      <c r="AB16" s="2" t="s">
        <v>53</v>
      </c>
      <c r="AC16" s="21">
        <f>(T16+W16)*R16+X16-Y16</f>
        <v>13940</v>
      </c>
      <c r="AD16" s="1">
        <f>V16*R16-X16+Y16</f>
        <v>6560</v>
      </c>
      <c r="AE16" s="1">
        <f t="shared" si="2"/>
        <v>0</v>
      </c>
      <c r="AF16" s="1">
        <v>20</v>
      </c>
      <c r="AG16" s="1">
        <f t="shared" si="3"/>
        <v>0</v>
      </c>
      <c r="AH16" s="1">
        <f t="shared" si="4"/>
        <v>0</v>
      </c>
      <c r="AI16" s="1" t="str">
        <f t="shared" si="5"/>
        <v>0-30</v>
      </c>
      <c r="AJ16" s="1" t="str">
        <f t="shared" si="6"/>
        <v>NO</v>
      </c>
      <c r="AK16" s="1">
        <f t="shared" si="7"/>
        <v>13940</v>
      </c>
      <c r="AL16" s="1">
        <f>U16*R16</f>
        <v>20500</v>
      </c>
      <c r="AM16" s="1">
        <f>U16*R16-O16</f>
        <v>5500</v>
      </c>
      <c r="AN16" s="23">
        <f t="shared" si="8"/>
        <v>220</v>
      </c>
      <c r="AO16" s="24">
        <v>46193</v>
      </c>
      <c r="AP16" s="25">
        <v>46197</v>
      </c>
      <c r="AQ16" s="24">
        <v>46206</v>
      </c>
      <c r="AR16" s="1" t="s">
        <v>214</v>
      </c>
      <c r="AS16" s="1" t="s">
        <v>207</v>
      </c>
      <c r="AT16" s="26" t="s">
        <v>215</v>
      </c>
      <c r="AU16" s="26"/>
      <c r="AV16" s="27">
        <f t="shared" si="9"/>
        <v>0</v>
      </c>
    </row>
    <row r="17" spans="1:48" x14ac:dyDescent="0.25">
      <c r="A17" s="1" t="str">
        <f t="shared" si="10"/>
        <v>ACTIVE</v>
      </c>
      <c r="B17" s="2" t="s">
        <v>206</v>
      </c>
      <c r="C17" s="2" t="s">
        <v>207</v>
      </c>
      <c r="D17" s="2" t="s">
        <v>206</v>
      </c>
      <c r="E17" s="2" t="s">
        <v>208</v>
      </c>
      <c r="F17" s="2"/>
      <c r="G17" s="1" t="s">
        <v>216</v>
      </c>
      <c r="H17" s="2" t="s">
        <v>210</v>
      </c>
      <c r="I17" s="2" t="s">
        <v>104</v>
      </c>
      <c r="J17" s="1" t="s">
        <v>251</v>
      </c>
      <c r="K17" s="2" t="s">
        <v>54</v>
      </c>
      <c r="L17" s="2" t="s">
        <v>252</v>
      </c>
      <c r="M17" s="1" t="s">
        <v>253</v>
      </c>
      <c r="N17" s="1">
        <v>9634187017</v>
      </c>
      <c r="O17" s="1">
        <v>15000</v>
      </c>
      <c r="P17" s="1">
        <v>1000</v>
      </c>
      <c r="Q17" s="2">
        <f t="shared" si="0"/>
        <v>14000</v>
      </c>
      <c r="R17" s="1">
        <v>820</v>
      </c>
      <c r="S17" s="20">
        <f>T17*R17</f>
        <v>0</v>
      </c>
      <c r="T17" s="20"/>
      <c r="U17" s="1">
        <v>25</v>
      </c>
      <c r="V17" s="28">
        <v>8</v>
      </c>
      <c r="W17" s="1">
        <f t="shared" si="1"/>
        <v>17</v>
      </c>
      <c r="X17" s="1"/>
      <c r="Y17" s="21"/>
      <c r="Z17" s="22"/>
      <c r="AA17" s="1" t="s">
        <v>3</v>
      </c>
      <c r="AB17" s="2" t="s">
        <v>54</v>
      </c>
      <c r="AC17" s="21">
        <f>(T17+W17)*R17+X17-Y17</f>
        <v>13940</v>
      </c>
      <c r="AD17" s="1">
        <f>V17*R17-X17+Y17</f>
        <v>6560</v>
      </c>
      <c r="AE17" s="1">
        <f t="shared" si="2"/>
        <v>0</v>
      </c>
      <c r="AF17" s="1">
        <v>20</v>
      </c>
      <c r="AG17" s="1">
        <f t="shared" si="3"/>
        <v>0</v>
      </c>
      <c r="AH17" s="1">
        <f t="shared" si="4"/>
        <v>0</v>
      </c>
      <c r="AI17" s="1" t="str">
        <f t="shared" si="5"/>
        <v>0-30</v>
      </c>
      <c r="AJ17" s="1" t="str">
        <f t="shared" si="6"/>
        <v>NO</v>
      </c>
      <c r="AK17" s="1">
        <f t="shared" si="7"/>
        <v>13940</v>
      </c>
      <c r="AL17" s="1">
        <f>U17*R17</f>
        <v>20500</v>
      </c>
      <c r="AM17" s="1">
        <f>U17*R17-O17</f>
        <v>5500</v>
      </c>
      <c r="AN17" s="23">
        <f t="shared" si="8"/>
        <v>220</v>
      </c>
      <c r="AO17" s="24">
        <v>46194</v>
      </c>
      <c r="AP17" s="25">
        <v>46197</v>
      </c>
      <c r="AQ17" s="24">
        <v>46211</v>
      </c>
      <c r="AR17" s="1" t="s">
        <v>214</v>
      </c>
      <c r="AS17" s="1" t="s">
        <v>207</v>
      </c>
      <c r="AT17" s="26" t="s">
        <v>215</v>
      </c>
      <c r="AU17" s="26"/>
      <c r="AV17" s="27">
        <f t="shared" si="9"/>
        <v>0</v>
      </c>
    </row>
    <row r="18" spans="1:48" x14ac:dyDescent="0.25">
      <c r="A18" s="1" t="str">
        <f t="shared" si="10"/>
        <v>ACTIVE</v>
      </c>
      <c r="B18" s="2" t="s">
        <v>206</v>
      </c>
      <c r="C18" s="2" t="s">
        <v>207</v>
      </c>
      <c r="D18" s="2" t="s">
        <v>206</v>
      </c>
      <c r="E18" s="2" t="s">
        <v>208</v>
      </c>
      <c r="F18" s="2"/>
      <c r="G18" s="1" t="s">
        <v>216</v>
      </c>
      <c r="H18" s="2" t="s">
        <v>210</v>
      </c>
      <c r="I18" s="2" t="s">
        <v>104</v>
      </c>
      <c r="J18" s="1" t="s">
        <v>251</v>
      </c>
      <c r="K18" s="2" t="s">
        <v>55</v>
      </c>
      <c r="L18" s="2" t="s">
        <v>254</v>
      </c>
      <c r="M18" s="1" t="s">
        <v>255</v>
      </c>
      <c r="N18" s="1">
        <v>9012889496</v>
      </c>
      <c r="O18" s="1">
        <v>15000</v>
      </c>
      <c r="P18" s="1">
        <v>1000</v>
      </c>
      <c r="Q18" s="2">
        <f t="shared" si="0"/>
        <v>14000</v>
      </c>
      <c r="R18" s="1">
        <v>820</v>
      </c>
      <c r="S18" s="20">
        <f>T18*R18</f>
        <v>0</v>
      </c>
      <c r="T18" s="20"/>
      <c r="U18" s="1">
        <v>25</v>
      </c>
      <c r="V18" s="28">
        <v>8</v>
      </c>
      <c r="W18" s="1">
        <f t="shared" si="1"/>
        <v>17</v>
      </c>
      <c r="X18" s="1"/>
      <c r="Y18" s="21"/>
      <c r="Z18" s="1"/>
      <c r="AA18" s="1" t="s">
        <v>3</v>
      </c>
      <c r="AB18" s="2" t="s">
        <v>55</v>
      </c>
      <c r="AC18" s="21">
        <f>(T18+W18)*R18+X18-Y18</f>
        <v>13940</v>
      </c>
      <c r="AD18" s="1">
        <f>V18*R18-X18+Y18</f>
        <v>6560</v>
      </c>
      <c r="AE18" s="1">
        <f t="shared" si="2"/>
        <v>0</v>
      </c>
      <c r="AF18" s="1">
        <v>20</v>
      </c>
      <c r="AG18" s="1">
        <f t="shared" si="3"/>
        <v>0</v>
      </c>
      <c r="AH18" s="1">
        <f t="shared" si="4"/>
        <v>0</v>
      </c>
      <c r="AI18" s="1" t="str">
        <f t="shared" si="5"/>
        <v>0-30</v>
      </c>
      <c r="AJ18" s="1" t="str">
        <f t="shared" si="6"/>
        <v>NO</v>
      </c>
      <c r="AK18" s="1">
        <f t="shared" si="7"/>
        <v>13940</v>
      </c>
      <c r="AL18" s="1">
        <f>U18*R18</f>
        <v>20500</v>
      </c>
      <c r="AM18" s="1">
        <f>U18*R18-O18</f>
        <v>5500</v>
      </c>
      <c r="AN18" s="23">
        <f t="shared" si="8"/>
        <v>220</v>
      </c>
      <c r="AO18" s="24">
        <v>46194</v>
      </c>
      <c r="AP18" s="25">
        <v>46197</v>
      </c>
      <c r="AQ18" s="24">
        <v>46211</v>
      </c>
      <c r="AR18" s="1" t="s">
        <v>214</v>
      </c>
      <c r="AS18" s="1" t="s">
        <v>207</v>
      </c>
      <c r="AT18" s="26" t="s">
        <v>215</v>
      </c>
      <c r="AU18" s="26"/>
      <c r="AV18" s="27">
        <f t="shared" si="9"/>
        <v>0</v>
      </c>
    </row>
    <row r="19" spans="1:48" x14ac:dyDescent="0.25">
      <c r="A19" s="1" t="str">
        <f t="shared" si="10"/>
        <v>ACTIVE</v>
      </c>
      <c r="B19" s="2" t="s">
        <v>206</v>
      </c>
      <c r="C19" s="2" t="s">
        <v>207</v>
      </c>
      <c r="D19" s="2" t="s">
        <v>206</v>
      </c>
      <c r="E19" s="2" t="s">
        <v>208</v>
      </c>
      <c r="F19" s="2"/>
      <c r="G19" s="1" t="s">
        <v>216</v>
      </c>
      <c r="H19" s="2" t="s">
        <v>210</v>
      </c>
      <c r="I19" s="2" t="s">
        <v>104</v>
      </c>
      <c r="J19" s="1" t="s">
        <v>256</v>
      </c>
      <c r="K19" s="2" t="s">
        <v>56</v>
      </c>
      <c r="L19" s="2" t="s">
        <v>257</v>
      </c>
      <c r="M19" s="1" t="s">
        <v>258</v>
      </c>
      <c r="N19" s="1">
        <v>7060830550</v>
      </c>
      <c r="O19" s="1">
        <v>15000</v>
      </c>
      <c r="P19" s="1">
        <v>1000</v>
      </c>
      <c r="Q19" s="2">
        <f t="shared" si="0"/>
        <v>14000</v>
      </c>
      <c r="R19" s="1">
        <v>820</v>
      </c>
      <c r="S19" s="20">
        <f>T19*R19</f>
        <v>0</v>
      </c>
      <c r="T19" s="20"/>
      <c r="U19" s="1">
        <v>25</v>
      </c>
      <c r="V19" s="28">
        <v>8</v>
      </c>
      <c r="W19" s="1">
        <f t="shared" si="1"/>
        <v>17</v>
      </c>
      <c r="X19" s="1"/>
      <c r="Y19" s="21">
        <v>820</v>
      </c>
      <c r="Z19" s="22">
        <v>46260</v>
      </c>
      <c r="AA19" s="1" t="s">
        <v>3</v>
      </c>
      <c r="AB19" s="2" t="s">
        <v>56</v>
      </c>
      <c r="AC19" s="21">
        <f>(T19+W19)*R19+X19-Y19</f>
        <v>13120</v>
      </c>
      <c r="AD19" s="1">
        <f>V19*R19-X19+Y19</f>
        <v>7380</v>
      </c>
      <c r="AE19" s="1">
        <f t="shared" si="2"/>
        <v>0</v>
      </c>
      <c r="AF19" s="1">
        <v>20</v>
      </c>
      <c r="AG19" s="1">
        <f t="shared" si="3"/>
        <v>0</v>
      </c>
      <c r="AH19" s="1">
        <f t="shared" si="4"/>
        <v>0</v>
      </c>
      <c r="AI19" s="1" t="str">
        <f t="shared" si="5"/>
        <v>0-30</v>
      </c>
      <c r="AJ19" s="1" t="str">
        <f t="shared" si="6"/>
        <v>NO</v>
      </c>
      <c r="AK19" s="1">
        <f t="shared" si="7"/>
        <v>13120</v>
      </c>
      <c r="AL19" s="1">
        <f>U19*R19</f>
        <v>20500</v>
      </c>
      <c r="AM19" s="1">
        <f>U19*R19-O19</f>
        <v>5500</v>
      </c>
      <c r="AN19" s="23">
        <f t="shared" si="8"/>
        <v>220</v>
      </c>
      <c r="AO19" s="24">
        <v>46193</v>
      </c>
      <c r="AP19" s="25">
        <v>46197</v>
      </c>
      <c r="AQ19" s="24">
        <v>46211</v>
      </c>
      <c r="AR19" s="1" t="s">
        <v>214</v>
      </c>
      <c r="AS19" s="1" t="s">
        <v>207</v>
      </c>
      <c r="AT19" s="26" t="s">
        <v>215</v>
      </c>
      <c r="AU19" s="26"/>
      <c r="AV19" s="27">
        <f t="shared" si="9"/>
        <v>0</v>
      </c>
    </row>
    <row r="20" spans="1:48" x14ac:dyDescent="0.25">
      <c r="A20" s="1" t="str">
        <f t="shared" si="10"/>
        <v>ACTIVE</v>
      </c>
      <c r="B20" s="2" t="s">
        <v>206</v>
      </c>
      <c r="C20" s="2" t="s">
        <v>207</v>
      </c>
      <c r="D20" s="2" t="s">
        <v>206</v>
      </c>
      <c r="E20" s="2" t="s">
        <v>208</v>
      </c>
      <c r="F20" s="2"/>
      <c r="G20" s="1" t="s">
        <v>216</v>
      </c>
      <c r="H20" s="2" t="s">
        <v>210</v>
      </c>
      <c r="I20" s="2" t="s">
        <v>104</v>
      </c>
      <c r="J20" s="1" t="s">
        <v>228</v>
      </c>
      <c r="K20" s="2" t="s">
        <v>57</v>
      </c>
      <c r="L20" s="2" t="s">
        <v>259</v>
      </c>
      <c r="M20" s="1" t="s">
        <v>260</v>
      </c>
      <c r="N20" s="1">
        <v>7819058754</v>
      </c>
      <c r="O20" s="1">
        <v>15000</v>
      </c>
      <c r="P20" s="1">
        <v>1000</v>
      </c>
      <c r="Q20" s="2">
        <f t="shared" si="0"/>
        <v>14000</v>
      </c>
      <c r="R20" s="1">
        <v>820</v>
      </c>
      <c r="S20" s="20">
        <f>T20*R20</f>
        <v>0</v>
      </c>
      <c r="T20" s="20"/>
      <c r="U20" s="1">
        <v>25</v>
      </c>
      <c r="V20" s="28">
        <v>8</v>
      </c>
      <c r="W20" s="1">
        <f t="shared" si="1"/>
        <v>17</v>
      </c>
      <c r="X20" s="1"/>
      <c r="Y20" s="21">
        <v>820</v>
      </c>
      <c r="Z20" s="22">
        <v>46255</v>
      </c>
      <c r="AA20" s="1" t="s">
        <v>5</v>
      </c>
      <c r="AB20" s="2" t="s">
        <v>57</v>
      </c>
      <c r="AC20" s="21">
        <f>(T20+W20)*R20+X20-Y20</f>
        <v>13120</v>
      </c>
      <c r="AD20" s="1">
        <f>V20*R20-X20+Y20</f>
        <v>7380</v>
      </c>
      <c r="AE20" s="1">
        <f t="shared" si="2"/>
        <v>0</v>
      </c>
      <c r="AF20" s="1">
        <v>20</v>
      </c>
      <c r="AG20" s="1">
        <f t="shared" si="3"/>
        <v>0</v>
      </c>
      <c r="AH20" s="1">
        <f t="shared" si="4"/>
        <v>0</v>
      </c>
      <c r="AI20" s="1" t="str">
        <f t="shared" si="5"/>
        <v>0-30</v>
      </c>
      <c r="AJ20" s="1" t="str">
        <f t="shared" si="6"/>
        <v>NO</v>
      </c>
      <c r="AK20" s="1">
        <f t="shared" si="7"/>
        <v>13120</v>
      </c>
      <c r="AL20" s="1">
        <f>U20*R20</f>
        <v>20500</v>
      </c>
      <c r="AM20" s="1">
        <f>U20*R20-O20</f>
        <v>5500</v>
      </c>
      <c r="AN20" s="23">
        <f t="shared" si="8"/>
        <v>220</v>
      </c>
      <c r="AO20" s="24">
        <v>46193</v>
      </c>
      <c r="AP20" s="25">
        <v>46197</v>
      </c>
      <c r="AQ20" s="24">
        <v>46206</v>
      </c>
      <c r="AR20" s="1" t="s">
        <v>214</v>
      </c>
      <c r="AS20" s="1" t="s">
        <v>207</v>
      </c>
      <c r="AT20" s="26" t="s">
        <v>215</v>
      </c>
      <c r="AU20" s="26"/>
      <c r="AV20" s="27">
        <f t="shared" si="9"/>
        <v>0</v>
      </c>
    </row>
    <row r="21" spans="1:48" x14ac:dyDescent="0.25">
      <c r="A21" s="1" t="str">
        <f t="shared" si="10"/>
        <v>ACTIVE</v>
      </c>
      <c r="B21" s="2" t="s">
        <v>206</v>
      </c>
      <c r="C21" s="2" t="s">
        <v>207</v>
      </c>
      <c r="D21" s="2" t="s">
        <v>206</v>
      </c>
      <c r="E21" s="2" t="s">
        <v>208</v>
      </c>
      <c r="F21" s="2"/>
      <c r="G21" s="1" t="s">
        <v>216</v>
      </c>
      <c r="H21" s="2" t="s">
        <v>210</v>
      </c>
      <c r="I21" s="2" t="s">
        <v>104</v>
      </c>
      <c r="J21" s="1" t="s">
        <v>261</v>
      </c>
      <c r="K21" s="2" t="s">
        <v>58</v>
      </c>
      <c r="L21" s="2" t="s">
        <v>108</v>
      </c>
      <c r="M21" s="1" t="s">
        <v>262</v>
      </c>
      <c r="N21" s="1">
        <v>7060821203</v>
      </c>
      <c r="O21" s="1">
        <v>15000</v>
      </c>
      <c r="P21" s="1">
        <v>1000</v>
      </c>
      <c r="Q21" s="2">
        <f t="shared" si="0"/>
        <v>14000</v>
      </c>
      <c r="R21" s="1">
        <v>820</v>
      </c>
      <c r="S21" s="20">
        <f>T21*R21</f>
        <v>0</v>
      </c>
      <c r="T21" s="20"/>
      <c r="U21" s="1">
        <v>25</v>
      </c>
      <c r="V21" s="28">
        <v>8</v>
      </c>
      <c r="W21" s="1">
        <f t="shared" si="1"/>
        <v>17</v>
      </c>
      <c r="X21" s="1"/>
      <c r="Y21" s="21"/>
      <c r="Z21" s="22"/>
      <c r="AA21" s="1" t="s">
        <v>3</v>
      </c>
      <c r="AB21" s="2" t="s">
        <v>58</v>
      </c>
      <c r="AC21" s="21">
        <f>(T21+W21)*R21+X21-Y21</f>
        <v>13940</v>
      </c>
      <c r="AD21" s="1">
        <f>V21*R21-X21+Y21</f>
        <v>6560</v>
      </c>
      <c r="AE21" s="1">
        <f t="shared" si="2"/>
        <v>0</v>
      </c>
      <c r="AF21" s="1">
        <v>20</v>
      </c>
      <c r="AG21" s="1">
        <f t="shared" si="3"/>
        <v>0</v>
      </c>
      <c r="AH21" s="1">
        <f t="shared" si="4"/>
        <v>0</v>
      </c>
      <c r="AI21" s="1" t="str">
        <f t="shared" si="5"/>
        <v>0-30</v>
      </c>
      <c r="AJ21" s="1" t="str">
        <f t="shared" si="6"/>
        <v>NO</v>
      </c>
      <c r="AK21" s="1">
        <f t="shared" si="7"/>
        <v>13940</v>
      </c>
      <c r="AL21" s="1">
        <f>U21*R21</f>
        <v>20500</v>
      </c>
      <c r="AM21" s="1">
        <f>U21*R21-O21</f>
        <v>5500</v>
      </c>
      <c r="AN21" s="23">
        <f t="shared" si="8"/>
        <v>220</v>
      </c>
      <c r="AO21" s="24">
        <v>46193</v>
      </c>
      <c r="AP21" s="25">
        <v>46197</v>
      </c>
      <c r="AQ21" s="24">
        <v>46211</v>
      </c>
      <c r="AR21" s="1" t="s">
        <v>214</v>
      </c>
      <c r="AS21" s="1" t="s">
        <v>207</v>
      </c>
      <c r="AT21" s="26" t="s">
        <v>215</v>
      </c>
      <c r="AU21" s="26"/>
      <c r="AV21" s="27">
        <f t="shared" si="9"/>
        <v>0</v>
      </c>
    </row>
    <row r="22" spans="1:48" x14ac:dyDescent="0.25">
      <c r="A22" s="1" t="str">
        <f t="shared" si="10"/>
        <v>ACTIVE</v>
      </c>
      <c r="B22" s="2" t="s">
        <v>206</v>
      </c>
      <c r="C22" s="2" t="s">
        <v>207</v>
      </c>
      <c r="D22" s="2" t="s">
        <v>206</v>
      </c>
      <c r="E22" s="2" t="s">
        <v>208</v>
      </c>
      <c r="F22" s="2"/>
      <c r="G22" s="1" t="s">
        <v>216</v>
      </c>
      <c r="H22" s="2" t="s">
        <v>210</v>
      </c>
      <c r="I22" s="2" t="s">
        <v>104</v>
      </c>
      <c r="J22" s="1" t="s">
        <v>263</v>
      </c>
      <c r="K22" s="2" t="s">
        <v>59</v>
      </c>
      <c r="L22" s="2" t="s">
        <v>264</v>
      </c>
      <c r="M22" s="1" t="s">
        <v>265</v>
      </c>
      <c r="N22" s="1">
        <v>9897966648</v>
      </c>
      <c r="O22" s="1">
        <v>15000</v>
      </c>
      <c r="P22" s="1">
        <v>1000</v>
      </c>
      <c r="Q22" s="2">
        <f t="shared" si="0"/>
        <v>14000</v>
      </c>
      <c r="R22" s="1">
        <v>820</v>
      </c>
      <c r="S22" s="20">
        <f>T22*R22</f>
        <v>0</v>
      </c>
      <c r="T22" s="20"/>
      <c r="U22" s="1">
        <v>25</v>
      </c>
      <c r="V22" s="28">
        <v>8</v>
      </c>
      <c r="W22" s="1">
        <f t="shared" si="1"/>
        <v>17</v>
      </c>
      <c r="X22" s="1"/>
      <c r="Y22" s="21"/>
      <c r="Z22" s="1"/>
      <c r="AA22" s="1" t="s">
        <v>3</v>
      </c>
      <c r="AB22" s="2" t="s">
        <v>59</v>
      </c>
      <c r="AC22" s="21">
        <f>(T22+W22)*R22+X22-Y22</f>
        <v>13940</v>
      </c>
      <c r="AD22" s="1">
        <f>V22*R22-X22+Y22</f>
        <v>6560</v>
      </c>
      <c r="AE22" s="1">
        <f t="shared" si="2"/>
        <v>0</v>
      </c>
      <c r="AF22" s="1">
        <v>20</v>
      </c>
      <c r="AG22" s="1">
        <f t="shared" si="3"/>
        <v>0</v>
      </c>
      <c r="AH22" s="1">
        <f t="shared" si="4"/>
        <v>0</v>
      </c>
      <c r="AI22" s="1" t="str">
        <f t="shared" si="5"/>
        <v>0-30</v>
      </c>
      <c r="AJ22" s="1" t="str">
        <f t="shared" si="6"/>
        <v>NO</v>
      </c>
      <c r="AK22" s="1">
        <f t="shared" si="7"/>
        <v>13940</v>
      </c>
      <c r="AL22" s="1">
        <f>U22*R22</f>
        <v>20500</v>
      </c>
      <c r="AM22" s="1">
        <f>U22*R22-O22</f>
        <v>5500</v>
      </c>
      <c r="AN22" s="23">
        <f t="shared" si="8"/>
        <v>220</v>
      </c>
      <c r="AO22" s="24">
        <v>46194</v>
      </c>
      <c r="AP22" s="25">
        <v>46198</v>
      </c>
      <c r="AQ22" s="24">
        <v>46211</v>
      </c>
      <c r="AR22" s="1" t="s">
        <v>214</v>
      </c>
      <c r="AS22" s="1" t="s">
        <v>207</v>
      </c>
      <c r="AT22" s="26" t="s">
        <v>215</v>
      </c>
      <c r="AU22" s="26"/>
      <c r="AV22" s="27">
        <f t="shared" si="9"/>
        <v>0</v>
      </c>
    </row>
    <row r="23" spans="1:48" x14ac:dyDescent="0.25">
      <c r="A23" s="1" t="str">
        <f t="shared" si="10"/>
        <v>ACTIVE</v>
      </c>
      <c r="B23" s="2" t="s">
        <v>206</v>
      </c>
      <c r="C23" s="2" t="s">
        <v>207</v>
      </c>
      <c r="D23" s="2" t="s">
        <v>206</v>
      </c>
      <c r="E23" s="2" t="s">
        <v>208</v>
      </c>
      <c r="F23" s="2"/>
      <c r="G23" s="1" t="s">
        <v>220</v>
      </c>
      <c r="H23" s="2" t="s">
        <v>210</v>
      </c>
      <c r="I23" s="2" t="s">
        <v>104</v>
      </c>
      <c r="J23" s="1" t="s">
        <v>266</v>
      </c>
      <c r="K23" s="2" t="s">
        <v>60</v>
      </c>
      <c r="L23" s="2" t="s">
        <v>267</v>
      </c>
      <c r="M23" s="1" t="s">
        <v>268</v>
      </c>
      <c r="N23" s="1">
        <v>7579061501</v>
      </c>
      <c r="O23" s="1">
        <v>15000</v>
      </c>
      <c r="P23" s="1">
        <v>1000</v>
      </c>
      <c r="Q23" s="2">
        <f t="shared" si="0"/>
        <v>14000</v>
      </c>
      <c r="R23" s="1">
        <v>820</v>
      </c>
      <c r="S23" s="20">
        <f>T23*R23</f>
        <v>0</v>
      </c>
      <c r="T23" s="20"/>
      <c r="U23" s="1">
        <v>25</v>
      </c>
      <c r="V23" s="28">
        <v>8</v>
      </c>
      <c r="W23" s="1">
        <f t="shared" si="1"/>
        <v>17</v>
      </c>
      <c r="X23" s="1"/>
      <c r="Y23" s="21"/>
      <c r="Z23" s="1"/>
      <c r="AA23" s="1" t="s">
        <v>3</v>
      </c>
      <c r="AB23" s="2" t="s">
        <v>60</v>
      </c>
      <c r="AC23" s="21">
        <f>(T23+W23)*R23+X23-Y23</f>
        <v>13940</v>
      </c>
      <c r="AD23" s="1">
        <f>V23*R23-X23+Y23</f>
        <v>6560</v>
      </c>
      <c r="AE23" s="1">
        <f t="shared" si="2"/>
        <v>0</v>
      </c>
      <c r="AF23" s="1">
        <v>20</v>
      </c>
      <c r="AG23" s="1">
        <f t="shared" si="3"/>
        <v>0</v>
      </c>
      <c r="AH23" s="1">
        <f t="shared" si="4"/>
        <v>0</v>
      </c>
      <c r="AI23" s="1" t="str">
        <f t="shared" si="5"/>
        <v>0-30</v>
      </c>
      <c r="AJ23" s="1" t="str">
        <f t="shared" si="6"/>
        <v>NO</v>
      </c>
      <c r="AK23" s="1">
        <f t="shared" si="7"/>
        <v>13940</v>
      </c>
      <c r="AL23" s="1">
        <f>U23*R23</f>
        <v>20500</v>
      </c>
      <c r="AM23" s="1">
        <f>U23*R23-O23</f>
        <v>5500</v>
      </c>
      <c r="AN23" s="23">
        <f t="shared" si="8"/>
        <v>220</v>
      </c>
      <c r="AO23" s="24">
        <v>46196</v>
      </c>
      <c r="AP23" s="25">
        <v>46198</v>
      </c>
      <c r="AQ23" s="24">
        <v>46211</v>
      </c>
      <c r="AR23" s="1" t="s">
        <v>214</v>
      </c>
      <c r="AS23" s="1" t="s">
        <v>207</v>
      </c>
      <c r="AT23" s="26" t="s">
        <v>215</v>
      </c>
      <c r="AU23" s="26"/>
      <c r="AV23" s="27">
        <f t="shared" si="9"/>
        <v>0</v>
      </c>
    </row>
    <row r="24" spans="1:48" x14ac:dyDescent="0.25">
      <c r="A24" s="1" t="str">
        <f t="shared" si="10"/>
        <v>ACTIVE</v>
      </c>
      <c r="B24" s="2" t="s">
        <v>206</v>
      </c>
      <c r="C24" s="2" t="s">
        <v>207</v>
      </c>
      <c r="D24" s="2" t="s">
        <v>206</v>
      </c>
      <c r="E24" s="2" t="s">
        <v>208</v>
      </c>
      <c r="F24" s="2"/>
      <c r="G24" s="1" t="s">
        <v>220</v>
      </c>
      <c r="H24" s="2" t="s">
        <v>210</v>
      </c>
      <c r="I24" s="2" t="s">
        <v>104</v>
      </c>
      <c r="J24" s="1" t="s">
        <v>269</v>
      </c>
      <c r="K24" s="2" t="s">
        <v>61</v>
      </c>
      <c r="L24" s="2" t="s">
        <v>77</v>
      </c>
      <c r="M24" s="1" t="s">
        <v>270</v>
      </c>
      <c r="N24" s="1">
        <v>7618113607</v>
      </c>
      <c r="O24" s="1">
        <v>15000</v>
      </c>
      <c r="P24" s="1">
        <v>1000</v>
      </c>
      <c r="Q24" s="2">
        <f t="shared" si="0"/>
        <v>14000</v>
      </c>
      <c r="R24" s="1">
        <v>820</v>
      </c>
      <c r="S24" s="20">
        <f>T24*R24</f>
        <v>0</v>
      </c>
      <c r="T24" s="20"/>
      <c r="U24" s="1">
        <v>25</v>
      </c>
      <c r="V24" s="28">
        <v>8</v>
      </c>
      <c r="W24" s="1">
        <f t="shared" si="1"/>
        <v>17</v>
      </c>
      <c r="X24" s="1"/>
      <c r="Y24" s="21"/>
      <c r="Z24" s="1"/>
      <c r="AA24" s="1" t="s">
        <v>3</v>
      </c>
      <c r="AB24" s="2" t="s">
        <v>61</v>
      </c>
      <c r="AC24" s="21">
        <f>(T24+W24)*R24+X24-Y24</f>
        <v>13940</v>
      </c>
      <c r="AD24" s="1">
        <f>V24*R24-X24+Y24</f>
        <v>6560</v>
      </c>
      <c r="AE24" s="1">
        <f t="shared" si="2"/>
        <v>0</v>
      </c>
      <c r="AF24" s="1">
        <v>20</v>
      </c>
      <c r="AG24" s="1">
        <f t="shared" si="3"/>
        <v>0</v>
      </c>
      <c r="AH24" s="1">
        <f t="shared" si="4"/>
        <v>0</v>
      </c>
      <c r="AI24" s="1" t="str">
        <f t="shared" si="5"/>
        <v>0-30</v>
      </c>
      <c r="AJ24" s="1" t="str">
        <f t="shared" si="6"/>
        <v>NO</v>
      </c>
      <c r="AK24" s="1">
        <f t="shared" si="7"/>
        <v>13940</v>
      </c>
      <c r="AL24" s="1">
        <f>U24*R24</f>
        <v>20500</v>
      </c>
      <c r="AM24" s="1">
        <f>U24*R24-O24</f>
        <v>5500</v>
      </c>
      <c r="AN24" s="23">
        <f t="shared" si="8"/>
        <v>220</v>
      </c>
      <c r="AO24" s="24">
        <v>46196</v>
      </c>
      <c r="AP24" s="25">
        <v>46198</v>
      </c>
      <c r="AQ24" s="24">
        <v>46211</v>
      </c>
      <c r="AR24" s="1" t="s">
        <v>214</v>
      </c>
      <c r="AS24" s="1" t="s">
        <v>207</v>
      </c>
      <c r="AT24" s="26" t="s">
        <v>215</v>
      </c>
      <c r="AU24" s="26"/>
      <c r="AV24" s="27">
        <f t="shared" si="9"/>
        <v>0</v>
      </c>
    </row>
    <row r="25" spans="1:48" x14ac:dyDescent="0.25">
      <c r="A25" s="1" t="str">
        <f t="shared" si="10"/>
        <v>ACTIVE</v>
      </c>
      <c r="B25" s="2" t="s">
        <v>206</v>
      </c>
      <c r="C25" s="2" t="s">
        <v>207</v>
      </c>
      <c r="D25" s="2" t="s">
        <v>206</v>
      </c>
      <c r="E25" s="2" t="s">
        <v>208</v>
      </c>
      <c r="F25" s="2"/>
      <c r="G25" s="1" t="s">
        <v>220</v>
      </c>
      <c r="H25" s="2" t="s">
        <v>210</v>
      </c>
      <c r="I25" s="2" t="s">
        <v>104</v>
      </c>
      <c r="J25" s="1" t="s">
        <v>271</v>
      </c>
      <c r="K25" s="2" t="s">
        <v>62</v>
      </c>
      <c r="L25" s="2" t="s">
        <v>272</v>
      </c>
      <c r="M25" s="1" t="s">
        <v>116</v>
      </c>
      <c r="N25" s="1">
        <v>6397630844</v>
      </c>
      <c r="O25" s="1">
        <v>15000</v>
      </c>
      <c r="P25" s="1">
        <v>1000</v>
      </c>
      <c r="Q25" s="2">
        <f t="shared" si="0"/>
        <v>14000</v>
      </c>
      <c r="R25" s="1">
        <v>820</v>
      </c>
      <c r="S25" s="20">
        <f>T25*R25</f>
        <v>0</v>
      </c>
      <c r="T25" s="20"/>
      <c r="U25" s="1">
        <v>25</v>
      </c>
      <c r="V25" s="28">
        <v>8</v>
      </c>
      <c r="W25" s="1">
        <f t="shared" si="1"/>
        <v>17</v>
      </c>
      <c r="X25" s="1"/>
      <c r="Y25" s="21"/>
      <c r="Z25" s="22"/>
      <c r="AA25" s="1" t="s">
        <v>4</v>
      </c>
      <c r="AB25" s="2" t="s">
        <v>62</v>
      </c>
      <c r="AC25" s="21">
        <f>(T25+W25)*R25+X25-Y25</f>
        <v>13940</v>
      </c>
      <c r="AD25" s="1">
        <f>V25*R25-X25+Y25</f>
        <v>6560</v>
      </c>
      <c r="AE25" s="1">
        <f t="shared" si="2"/>
        <v>0</v>
      </c>
      <c r="AF25" s="1">
        <v>20</v>
      </c>
      <c r="AG25" s="1">
        <f t="shared" si="3"/>
        <v>0</v>
      </c>
      <c r="AH25" s="1">
        <f t="shared" si="4"/>
        <v>0</v>
      </c>
      <c r="AI25" s="1" t="str">
        <f t="shared" si="5"/>
        <v>0-30</v>
      </c>
      <c r="AJ25" s="1" t="str">
        <f t="shared" si="6"/>
        <v>NO</v>
      </c>
      <c r="AK25" s="1">
        <f t="shared" si="7"/>
        <v>13940</v>
      </c>
      <c r="AL25" s="1">
        <f>U25*R25</f>
        <v>20500</v>
      </c>
      <c r="AM25" s="1">
        <f>U25*R25-O25</f>
        <v>5500</v>
      </c>
      <c r="AN25" s="23">
        <f t="shared" si="8"/>
        <v>220</v>
      </c>
      <c r="AO25" s="24">
        <v>46196</v>
      </c>
      <c r="AP25" s="25">
        <v>46198</v>
      </c>
      <c r="AQ25" s="24">
        <v>46210</v>
      </c>
      <c r="AR25" s="1" t="s">
        <v>214</v>
      </c>
      <c r="AS25" s="1" t="s">
        <v>207</v>
      </c>
      <c r="AT25" s="26" t="s">
        <v>215</v>
      </c>
      <c r="AU25" s="26"/>
      <c r="AV25" s="27">
        <f t="shared" si="9"/>
        <v>0</v>
      </c>
    </row>
    <row r="26" spans="1:48" x14ac:dyDescent="0.25">
      <c r="A26" s="1" t="str">
        <f t="shared" si="10"/>
        <v>ACTIVE</v>
      </c>
      <c r="B26" s="2" t="s">
        <v>206</v>
      </c>
      <c r="C26" s="2" t="s">
        <v>207</v>
      </c>
      <c r="D26" s="2" t="s">
        <v>206</v>
      </c>
      <c r="E26" s="2" t="s">
        <v>208</v>
      </c>
      <c r="F26" s="2"/>
      <c r="G26" s="1" t="s">
        <v>220</v>
      </c>
      <c r="H26" s="2" t="s">
        <v>210</v>
      </c>
      <c r="I26" s="2" t="s">
        <v>104</v>
      </c>
      <c r="J26" s="1" t="s">
        <v>273</v>
      </c>
      <c r="K26" s="2" t="s">
        <v>63</v>
      </c>
      <c r="L26" s="2" t="s">
        <v>274</v>
      </c>
      <c r="M26" s="1" t="s">
        <v>275</v>
      </c>
      <c r="N26" s="1">
        <v>9119763912</v>
      </c>
      <c r="O26" s="1">
        <v>15000</v>
      </c>
      <c r="P26" s="1">
        <v>1000</v>
      </c>
      <c r="Q26" s="2">
        <f t="shared" si="0"/>
        <v>14000</v>
      </c>
      <c r="R26" s="1">
        <v>820</v>
      </c>
      <c r="S26" s="20">
        <f>T26*R26</f>
        <v>0</v>
      </c>
      <c r="T26" s="20"/>
      <c r="U26" s="1">
        <v>25</v>
      </c>
      <c r="V26" s="28">
        <v>8</v>
      </c>
      <c r="W26" s="1">
        <f t="shared" si="1"/>
        <v>17</v>
      </c>
      <c r="X26" s="1"/>
      <c r="Y26" s="21"/>
      <c r="Z26" s="22"/>
      <c r="AA26" s="1" t="s">
        <v>3</v>
      </c>
      <c r="AB26" s="2" t="s">
        <v>63</v>
      </c>
      <c r="AC26" s="21">
        <f>(T26+W26)*R26+X26-Y26</f>
        <v>13940</v>
      </c>
      <c r="AD26" s="1">
        <f>V26*R26-X26+Y26</f>
        <v>6560</v>
      </c>
      <c r="AE26" s="1">
        <f t="shared" si="2"/>
        <v>0</v>
      </c>
      <c r="AF26" s="1">
        <v>20</v>
      </c>
      <c r="AG26" s="1">
        <f t="shared" si="3"/>
        <v>0</v>
      </c>
      <c r="AH26" s="1">
        <f t="shared" si="4"/>
        <v>0</v>
      </c>
      <c r="AI26" s="1" t="str">
        <f t="shared" si="5"/>
        <v>0-30</v>
      </c>
      <c r="AJ26" s="1" t="str">
        <f t="shared" si="6"/>
        <v>NO</v>
      </c>
      <c r="AK26" s="1">
        <f t="shared" si="7"/>
        <v>13940</v>
      </c>
      <c r="AL26" s="1">
        <f>U26*R26</f>
        <v>20500</v>
      </c>
      <c r="AM26" s="1">
        <f>U26*R26-O26</f>
        <v>5500</v>
      </c>
      <c r="AN26" s="23">
        <f t="shared" si="8"/>
        <v>220</v>
      </c>
      <c r="AO26" s="24">
        <v>46193</v>
      </c>
      <c r="AP26" s="25">
        <v>46198</v>
      </c>
      <c r="AQ26" s="24">
        <v>46211</v>
      </c>
      <c r="AR26" s="1" t="s">
        <v>214</v>
      </c>
      <c r="AS26" s="1" t="s">
        <v>207</v>
      </c>
      <c r="AT26" s="26" t="s">
        <v>215</v>
      </c>
      <c r="AU26" s="26"/>
      <c r="AV26" s="27">
        <f t="shared" si="9"/>
        <v>0</v>
      </c>
    </row>
    <row r="27" spans="1:48" x14ac:dyDescent="0.25">
      <c r="A27" s="1" t="str">
        <f t="shared" si="10"/>
        <v>ACTIVE</v>
      </c>
      <c r="B27" s="2" t="s">
        <v>206</v>
      </c>
      <c r="C27" s="2" t="s">
        <v>207</v>
      </c>
      <c r="D27" s="2" t="s">
        <v>206</v>
      </c>
      <c r="E27" s="2" t="s">
        <v>208</v>
      </c>
      <c r="F27" s="2"/>
      <c r="G27" s="1" t="s">
        <v>216</v>
      </c>
      <c r="H27" s="2" t="s">
        <v>210</v>
      </c>
      <c r="I27" s="2" t="s">
        <v>104</v>
      </c>
      <c r="J27" s="1" t="s">
        <v>276</v>
      </c>
      <c r="K27" s="2" t="s">
        <v>64</v>
      </c>
      <c r="L27" s="2" t="s">
        <v>274</v>
      </c>
      <c r="M27" s="1" t="s">
        <v>114</v>
      </c>
      <c r="N27" s="1">
        <v>7895586579</v>
      </c>
      <c r="O27" s="1">
        <v>15000</v>
      </c>
      <c r="P27" s="1">
        <v>1000</v>
      </c>
      <c r="Q27" s="2">
        <f t="shared" si="0"/>
        <v>14000</v>
      </c>
      <c r="R27" s="1">
        <v>820</v>
      </c>
      <c r="S27" s="20">
        <f>T27*R27</f>
        <v>0</v>
      </c>
      <c r="T27" s="20"/>
      <c r="U27" s="1">
        <v>25</v>
      </c>
      <c r="V27" s="28">
        <v>8</v>
      </c>
      <c r="W27" s="1">
        <f t="shared" si="1"/>
        <v>17</v>
      </c>
      <c r="X27" s="1"/>
      <c r="Y27" s="21"/>
      <c r="Z27" s="1"/>
      <c r="AA27" s="1" t="s">
        <v>3</v>
      </c>
      <c r="AB27" s="2" t="s">
        <v>64</v>
      </c>
      <c r="AC27" s="21">
        <f>(T27+W27)*R27+X27-Y27</f>
        <v>13940</v>
      </c>
      <c r="AD27" s="1">
        <f>V27*R27-X27+Y27</f>
        <v>6560</v>
      </c>
      <c r="AE27" s="1">
        <f t="shared" si="2"/>
        <v>0</v>
      </c>
      <c r="AF27" s="1">
        <v>20</v>
      </c>
      <c r="AG27" s="1">
        <f t="shared" si="3"/>
        <v>0</v>
      </c>
      <c r="AH27" s="1">
        <f t="shared" si="4"/>
        <v>0</v>
      </c>
      <c r="AI27" s="1" t="str">
        <f t="shared" si="5"/>
        <v>0-30</v>
      </c>
      <c r="AJ27" s="1" t="str">
        <f t="shared" si="6"/>
        <v>NO</v>
      </c>
      <c r="AK27" s="1">
        <f t="shared" si="7"/>
        <v>13940</v>
      </c>
      <c r="AL27" s="1">
        <f>U27*R27</f>
        <v>20500</v>
      </c>
      <c r="AM27" s="1">
        <f>U27*R27-O27</f>
        <v>5500</v>
      </c>
      <c r="AN27" s="23">
        <f t="shared" si="8"/>
        <v>220</v>
      </c>
      <c r="AO27" s="24">
        <v>46198</v>
      </c>
      <c r="AP27" s="25">
        <v>46202</v>
      </c>
      <c r="AQ27" s="24">
        <v>46211</v>
      </c>
      <c r="AR27" s="1" t="s">
        <v>214</v>
      </c>
      <c r="AS27" s="1" t="s">
        <v>207</v>
      </c>
      <c r="AT27" s="26" t="s">
        <v>215</v>
      </c>
      <c r="AU27" s="26"/>
      <c r="AV27" s="27">
        <f t="shared" si="9"/>
        <v>0</v>
      </c>
    </row>
    <row r="28" spans="1:48" x14ac:dyDescent="0.25">
      <c r="A28" s="1" t="str">
        <f t="shared" si="10"/>
        <v>ACTIVE</v>
      </c>
      <c r="B28" s="2" t="s">
        <v>206</v>
      </c>
      <c r="C28" s="2" t="s">
        <v>207</v>
      </c>
      <c r="D28" s="2" t="s">
        <v>206</v>
      </c>
      <c r="E28" s="2" t="s">
        <v>208</v>
      </c>
      <c r="F28" s="2"/>
      <c r="G28" s="1" t="s">
        <v>220</v>
      </c>
      <c r="H28" s="2" t="s">
        <v>210</v>
      </c>
      <c r="I28" s="2" t="s">
        <v>104</v>
      </c>
      <c r="J28" s="1" t="s">
        <v>228</v>
      </c>
      <c r="K28" s="2" t="s">
        <v>65</v>
      </c>
      <c r="L28" s="2" t="s">
        <v>277</v>
      </c>
      <c r="M28" s="1" t="s">
        <v>278</v>
      </c>
      <c r="N28" s="1">
        <v>7536050059</v>
      </c>
      <c r="O28" s="1">
        <v>15000</v>
      </c>
      <c r="P28" s="1">
        <v>1000</v>
      </c>
      <c r="Q28" s="2">
        <f t="shared" si="0"/>
        <v>14000</v>
      </c>
      <c r="R28" s="1">
        <v>820</v>
      </c>
      <c r="S28" s="20">
        <f>T28*R28</f>
        <v>0</v>
      </c>
      <c r="T28" s="20"/>
      <c r="U28" s="1">
        <v>25</v>
      </c>
      <c r="V28" s="28">
        <v>7</v>
      </c>
      <c r="W28" s="1">
        <f t="shared" si="1"/>
        <v>18</v>
      </c>
      <c r="X28" s="1"/>
      <c r="Y28" s="21"/>
      <c r="Z28" s="1"/>
      <c r="AA28" s="1" t="s">
        <v>5</v>
      </c>
      <c r="AB28" s="2" t="s">
        <v>65</v>
      </c>
      <c r="AC28" s="21">
        <f>(T28+W28)*R28+X28-Y28</f>
        <v>14760</v>
      </c>
      <c r="AD28" s="1">
        <f>V28*R28-X28+Y28</f>
        <v>5740</v>
      </c>
      <c r="AE28" s="1">
        <f t="shared" si="2"/>
        <v>0</v>
      </c>
      <c r="AF28" s="1">
        <v>20</v>
      </c>
      <c r="AG28" s="1">
        <f t="shared" si="3"/>
        <v>0</v>
      </c>
      <c r="AH28" s="1">
        <f t="shared" si="4"/>
        <v>0</v>
      </c>
      <c r="AI28" s="1" t="str">
        <f t="shared" si="5"/>
        <v>0-30</v>
      </c>
      <c r="AJ28" s="1" t="str">
        <f t="shared" si="6"/>
        <v>NO</v>
      </c>
      <c r="AK28" s="1">
        <f t="shared" si="7"/>
        <v>14760</v>
      </c>
      <c r="AL28" s="1">
        <f>U28*R28</f>
        <v>20500</v>
      </c>
      <c r="AM28" s="1">
        <f>U28*R28-O28</f>
        <v>5500</v>
      </c>
      <c r="AN28" s="23">
        <f t="shared" si="8"/>
        <v>220</v>
      </c>
      <c r="AO28" s="24">
        <v>46197</v>
      </c>
      <c r="AP28" s="25">
        <v>46202</v>
      </c>
      <c r="AQ28" s="24">
        <v>46213</v>
      </c>
      <c r="AR28" s="1" t="s">
        <v>214</v>
      </c>
      <c r="AS28" s="1" t="s">
        <v>207</v>
      </c>
      <c r="AT28" s="26" t="s">
        <v>215</v>
      </c>
      <c r="AU28" s="26"/>
      <c r="AV28" s="27">
        <f t="shared" si="9"/>
        <v>0</v>
      </c>
    </row>
    <row r="29" spans="1:48" x14ac:dyDescent="0.25">
      <c r="A29" s="1" t="str">
        <f t="shared" si="10"/>
        <v>ACTIVE</v>
      </c>
      <c r="B29" s="2" t="s">
        <v>206</v>
      </c>
      <c r="C29" s="2" t="s">
        <v>207</v>
      </c>
      <c r="D29" s="2" t="s">
        <v>206</v>
      </c>
      <c r="E29" s="2" t="s">
        <v>208</v>
      </c>
      <c r="F29" s="2"/>
      <c r="G29" s="1" t="s">
        <v>220</v>
      </c>
      <c r="H29" s="2" t="s">
        <v>210</v>
      </c>
      <c r="I29" s="2" t="s">
        <v>104</v>
      </c>
      <c r="J29" s="1" t="s">
        <v>279</v>
      </c>
      <c r="K29" s="2" t="s">
        <v>66</v>
      </c>
      <c r="L29" s="2" t="s">
        <v>280</v>
      </c>
      <c r="M29" s="1" t="s">
        <v>129</v>
      </c>
      <c r="N29" s="1">
        <v>7217571648</v>
      </c>
      <c r="O29" s="1">
        <v>15000</v>
      </c>
      <c r="P29" s="1">
        <v>1000</v>
      </c>
      <c r="Q29" s="2">
        <f t="shared" si="0"/>
        <v>14000</v>
      </c>
      <c r="R29" s="1">
        <v>820</v>
      </c>
      <c r="S29" s="20">
        <f>T29*R29</f>
        <v>0</v>
      </c>
      <c r="T29" s="20"/>
      <c r="U29" s="1">
        <v>25</v>
      </c>
      <c r="V29" s="28">
        <v>8</v>
      </c>
      <c r="W29" s="1">
        <f t="shared" si="1"/>
        <v>17</v>
      </c>
      <c r="X29" s="1"/>
      <c r="Y29" s="21"/>
      <c r="Z29" s="1"/>
      <c r="AA29" s="1" t="s">
        <v>3</v>
      </c>
      <c r="AB29" s="2" t="s">
        <v>66</v>
      </c>
      <c r="AC29" s="21">
        <f>(T29+W29)*R29+X29-Y29</f>
        <v>13940</v>
      </c>
      <c r="AD29" s="1">
        <f>V29*R29-X29+Y29</f>
        <v>6560</v>
      </c>
      <c r="AE29" s="1">
        <f t="shared" si="2"/>
        <v>0</v>
      </c>
      <c r="AF29" s="1">
        <v>20</v>
      </c>
      <c r="AG29" s="1">
        <f t="shared" si="3"/>
        <v>0</v>
      </c>
      <c r="AH29" s="1">
        <f t="shared" si="4"/>
        <v>0</v>
      </c>
      <c r="AI29" s="1" t="str">
        <f t="shared" si="5"/>
        <v>0-30</v>
      </c>
      <c r="AJ29" s="1" t="str">
        <f t="shared" si="6"/>
        <v>NO</v>
      </c>
      <c r="AK29" s="1">
        <f t="shared" si="7"/>
        <v>13940</v>
      </c>
      <c r="AL29" s="1">
        <f>U29*R29</f>
        <v>20500</v>
      </c>
      <c r="AM29" s="1">
        <f>U29*R29-O29</f>
        <v>5500</v>
      </c>
      <c r="AN29" s="23">
        <f t="shared" si="8"/>
        <v>220</v>
      </c>
      <c r="AO29" s="24">
        <v>46196</v>
      </c>
      <c r="AP29" s="25">
        <v>46202</v>
      </c>
      <c r="AQ29" s="24">
        <v>46211</v>
      </c>
      <c r="AR29" s="1" t="s">
        <v>214</v>
      </c>
      <c r="AS29" s="1" t="s">
        <v>207</v>
      </c>
      <c r="AT29" s="26" t="s">
        <v>215</v>
      </c>
      <c r="AU29" s="26"/>
      <c r="AV29" s="27">
        <f t="shared" si="9"/>
        <v>0</v>
      </c>
    </row>
    <row r="30" spans="1:48" x14ac:dyDescent="0.25">
      <c r="A30" s="1" t="str">
        <f t="shared" si="10"/>
        <v>ACTIVE</v>
      </c>
      <c r="B30" s="2" t="s">
        <v>206</v>
      </c>
      <c r="C30" s="2" t="s">
        <v>207</v>
      </c>
      <c r="D30" s="2" t="s">
        <v>206</v>
      </c>
      <c r="E30" s="2" t="s">
        <v>208</v>
      </c>
      <c r="F30" s="2"/>
      <c r="G30" s="1" t="s">
        <v>220</v>
      </c>
      <c r="H30" s="2" t="s">
        <v>210</v>
      </c>
      <c r="I30" s="2" t="s">
        <v>104</v>
      </c>
      <c r="J30" s="1" t="s">
        <v>281</v>
      </c>
      <c r="K30" s="2" t="s">
        <v>67</v>
      </c>
      <c r="L30" s="2" t="s">
        <v>282</v>
      </c>
      <c r="M30" s="1" t="s">
        <v>283</v>
      </c>
      <c r="N30" s="1">
        <v>9027068072</v>
      </c>
      <c r="O30" s="1">
        <v>15000</v>
      </c>
      <c r="P30" s="1">
        <v>1000</v>
      </c>
      <c r="Q30" s="2">
        <f t="shared" si="0"/>
        <v>14000</v>
      </c>
      <c r="R30" s="1">
        <v>820</v>
      </c>
      <c r="S30" s="20">
        <f>T30*R30</f>
        <v>0</v>
      </c>
      <c r="T30" s="20"/>
      <c r="U30" s="1">
        <v>25</v>
      </c>
      <c r="V30" s="28">
        <v>7</v>
      </c>
      <c r="W30" s="1">
        <f t="shared" si="1"/>
        <v>18</v>
      </c>
      <c r="X30" s="1"/>
      <c r="Y30" s="21"/>
      <c r="Z30" s="1"/>
      <c r="AA30" s="1" t="s">
        <v>5</v>
      </c>
      <c r="AB30" s="2" t="s">
        <v>67</v>
      </c>
      <c r="AC30" s="21">
        <f>(T30+W30)*R30+X30-Y30</f>
        <v>14760</v>
      </c>
      <c r="AD30" s="1">
        <f>V30*R30-X30+Y30</f>
        <v>5740</v>
      </c>
      <c r="AE30" s="1">
        <f t="shared" si="2"/>
        <v>0</v>
      </c>
      <c r="AF30" s="1">
        <v>20</v>
      </c>
      <c r="AG30" s="1">
        <f t="shared" si="3"/>
        <v>0</v>
      </c>
      <c r="AH30" s="1">
        <f t="shared" si="4"/>
        <v>0</v>
      </c>
      <c r="AI30" s="1" t="str">
        <f t="shared" si="5"/>
        <v>0-30</v>
      </c>
      <c r="AJ30" s="1" t="str">
        <f t="shared" si="6"/>
        <v>NO</v>
      </c>
      <c r="AK30" s="1">
        <f t="shared" si="7"/>
        <v>14760</v>
      </c>
      <c r="AL30" s="1">
        <f>U30*R30</f>
        <v>20500</v>
      </c>
      <c r="AM30" s="1">
        <f>U30*R30-O30</f>
        <v>5500</v>
      </c>
      <c r="AN30" s="23">
        <f t="shared" si="8"/>
        <v>220</v>
      </c>
      <c r="AO30" s="24">
        <v>46197</v>
      </c>
      <c r="AP30" s="25">
        <v>46202</v>
      </c>
      <c r="AQ30" s="24">
        <v>46213</v>
      </c>
      <c r="AR30" s="1" t="s">
        <v>214</v>
      </c>
      <c r="AS30" s="1" t="s">
        <v>207</v>
      </c>
      <c r="AT30" s="26" t="s">
        <v>215</v>
      </c>
      <c r="AU30" s="26"/>
      <c r="AV30" s="27">
        <f t="shared" si="9"/>
        <v>0</v>
      </c>
    </row>
    <row r="31" spans="1:48" x14ac:dyDescent="0.25">
      <c r="A31" s="1" t="str">
        <f t="shared" si="10"/>
        <v>ACTIVE</v>
      </c>
      <c r="B31" s="2" t="s">
        <v>206</v>
      </c>
      <c r="C31" s="2" t="s">
        <v>207</v>
      </c>
      <c r="D31" s="2" t="s">
        <v>206</v>
      </c>
      <c r="E31" s="2" t="s">
        <v>208</v>
      </c>
      <c r="F31" s="2"/>
      <c r="G31" s="1" t="s">
        <v>216</v>
      </c>
      <c r="H31" s="2" t="s">
        <v>210</v>
      </c>
      <c r="I31" s="2" t="s">
        <v>104</v>
      </c>
      <c r="J31" s="1" t="s">
        <v>284</v>
      </c>
      <c r="K31" s="2" t="s">
        <v>68</v>
      </c>
      <c r="L31" s="2" t="s">
        <v>154</v>
      </c>
      <c r="M31" s="1" t="s">
        <v>285</v>
      </c>
      <c r="N31" s="1">
        <v>9690744010</v>
      </c>
      <c r="O31" s="1">
        <v>15000</v>
      </c>
      <c r="P31" s="1">
        <v>1000</v>
      </c>
      <c r="Q31" s="2">
        <f t="shared" si="0"/>
        <v>14000</v>
      </c>
      <c r="R31" s="1">
        <v>820</v>
      </c>
      <c r="S31" s="20">
        <f>T31*R31</f>
        <v>0</v>
      </c>
      <c r="T31" s="20"/>
      <c r="U31" s="1">
        <v>25</v>
      </c>
      <c r="V31" s="28">
        <v>7</v>
      </c>
      <c r="W31" s="1">
        <f t="shared" si="1"/>
        <v>18</v>
      </c>
      <c r="X31" s="1"/>
      <c r="Y31" s="21"/>
      <c r="Z31" s="1"/>
      <c r="AA31" s="1" t="s">
        <v>5</v>
      </c>
      <c r="AB31" s="2" t="s">
        <v>68</v>
      </c>
      <c r="AC31" s="21">
        <f>(T31+W31)*R31+X31-Y31</f>
        <v>14760</v>
      </c>
      <c r="AD31" s="1">
        <f>V31*R31-X31+Y31</f>
        <v>5740</v>
      </c>
      <c r="AE31" s="1">
        <f t="shared" si="2"/>
        <v>0</v>
      </c>
      <c r="AF31" s="1">
        <v>20</v>
      </c>
      <c r="AG31" s="1">
        <f t="shared" si="3"/>
        <v>0</v>
      </c>
      <c r="AH31" s="1">
        <f t="shared" si="4"/>
        <v>0</v>
      </c>
      <c r="AI31" s="1" t="str">
        <f t="shared" si="5"/>
        <v>0-30</v>
      </c>
      <c r="AJ31" s="1" t="str">
        <f t="shared" si="6"/>
        <v>NO</v>
      </c>
      <c r="AK31" s="1">
        <f t="shared" si="7"/>
        <v>14760</v>
      </c>
      <c r="AL31" s="1">
        <f>U31*R31</f>
        <v>20500</v>
      </c>
      <c r="AM31" s="1">
        <f>U31*R31-O31</f>
        <v>5500</v>
      </c>
      <c r="AN31" s="23">
        <f t="shared" si="8"/>
        <v>220</v>
      </c>
      <c r="AO31" s="24">
        <v>46198</v>
      </c>
      <c r="AP31" s="25">
        <v>46202</v>
      </c>
      <c r="AQ31" s="24">
        <v>46213</v>
      </c>
      <c r="AR31" s="1" t="s">
        <v>214</v>
      </c>
      <c r="AS31" s="1" t="s">
        <v>207</v>
      </c>
      <c r="AT31" s="26" t="s">
        <v>215</v>
      </c>
      <c r="AU31" s="26"/>
      <c r="AV31" s="27">
        <f t="shared" si="9"/>
        <v>0</v>
      </c>
    </row>
    <row r="32" spans="1:48" x14ac:dyDescent="0.25">
      <c r="A32" s="1" t="str">
        <f t="shared" si="10"/>
        <v>ACTIVE</v>
      </c>
      <c r="B32" s="2" t="s">
        <v>206</v>
      </c>
      <c r="C32" s="2" t="s">
        <v>207</v>
      </c>
      <c r="D32" s="2" t="s">
        <v>206</v>
      </c>
      <c r="E32" s="2" t="s">
        <v>208</v>
      </c>
      <c r="F32" s="2"/>
      <c r="G32" s="1" t="s">
        <v>220</v>
      </c>
      <c r="H32" s="2" t="s">
        <v>210</v>
      </c>
      <c r="I32" s="2" t="s">
        <v>104</v>
      </c>
      <c r="J32" s="1" t="s">
        <v>261</v>
      </c>
      <c r="K32" s="2" t="s">
        <v>69</v>
      </c>
      <c r="L32" s="2" t="s">
        <v>286</v>
      </c>
      <c r="M32" s="1" t="s">
        <v>287</v>
      </c>
      <c r="N32" s="1">
        <v>7417460834</v>
      </c>
      <c r="O32" s="1">
        <v>15000</v>
      </c>
      <c r="P32" s="1">
        <v>1000</v>
      </c>
      <c r="Q32" s="2">
        <f t="shared" si="0"/>
        <v>14000</v>
      </c>
      <c r="R32" s="1">
        <v>820</v>
      </c>
      <c r="S32" s="20">
        <f>T32*R32</f>
        <v>0</v>
      </c>
      <c r="T32" s="20"/>
      <c r="U32" s="1">
        <v>25</v>
      </c>
      <c r="V32" s="28">
        <v>8</v>
      </c>
      <c r="W32" s="1">
        <f t="shared" si="1"/>
        <v>17</v>
      </c>
      <c r="X32" s="1"/>
      <c r="Y32" s="21"/>
      <c r="Z32" s="22"/>
      <c r="AA32" s="1" t="s">
        <v>3</v>
      </c>
      <c r="AB32" s="2" t="s">
        <v>69</v>
      </c>
      <c r="AC32" s="21">
        <f>(T32+W32)*R32+X32-Y32</f>
        <v>13940</v>
      </c>
      <c r="AD32" s="1">
        <f>V32*R32-X32+Y32</f>
        <v>6560</v>
      </c>
      <c r="AE32" s="1">
        <f t="shared" si="2"/>
        <v>0</v>
      </c>
      <c r="AF32" s="1">
        <v>20</v>
      </c>
      <c r="AG32" s="1">
        <f t="shared" si="3"/>
        <v>0</v>
      </c>
      <c r="AH32" s="1">
        <f t="shared" si="4"/>
        <v>0</v>
      </c>
      <c r="AI32" s="1" t="str">
        <f t="shared" si="5"/>
        <v>0-30</v>
      </c>
      <c r="AJ32" s="1" t="str">
        <f t="shared" si="6"/>
        <v>NO</v>
      </c>
      <c r="AK32" s="1">
        <f t="shared" si="7"/>
        <v>13940</v>
      </c>
      <c r="AL32" s="1">
        <f>U32*R32</f>
        <v>20500</v>
      </c>
      <c r="AM32" s="1">
        <f>U32*R32-O32</f>
        <v>5500</v>
      </c>
      <c r="AN32" s="23">
        <f t="shared" si="8"/>
        <v>220</v>
      </c>
      <c r="AO32" s="24">
        <v>46193</v>
      </c>
      <c r="AP32" s="25">
        <v>46202</v>
      </c>
      <c r="AQ32" s="24">
        <v>46211</v>
      </c>
      <c r="AR32" s="1" t="s">
        <v>214</v>
      </c>
      <c r="AS32" s="1" t="s">
        <v>207</v>
      </c>
      <c r="AT32" s="26" t="s">
        <v>215</v>
      </c>
      <c r="AU32" s="26"/>
      <c r="AV32" s="27">
        <f t="shared" si="9"/>
        <v>0</v>
      </c>
    </row>
    <row r="33" spans="1:48" x14ac:dyDescent="0.25">
      <c r="A33" s="1" t="str">
        <f t="shared" si="10"/>
        <v>ACTIVE</v>
      </c>
      <c r="B33" s="2" t="s">
        <v>206</v>
      </c>
      <c r="C33" s="2" t="s">
        <v>207</v>
      </c>
      <c r="D33" s="2" t="s">
        <v>206</v>
      </c>
      <c r="E33" s="2" t="s">
        <v>208</v>
      </c>
      <c r="F33" s="2"/>
      <c r="G33" s="1" t="s">
        <v>220</v>
      </c>
      <c r="H33" s="2" t="s">
        <v>210</v>
      </c>
      <c r="I33" s="2" t="s">
        <v>104</v>
      </c>
      <c r="J33" s="1" t="s">
        <v>288</v>
      </c>
      <c r="K33" s="2" t="s">
        <v>70</v>
      </c>
      <c r="L33" s="2" t="s">
        <v>289</v>
      </c>
      <c r="M33" s="1" t="s">
        <v>290</v>
      </c>
      <c r="N33" s="1">
        <v>7078970330</v>
      </c>
      <c r="O33" s="1">
        <v>15000</v>
      </c>
      <c r="P33" s="1">
        <v>1000</v>
      </c>
      <c r="Q33" s="2">
        <f t="shared" si="0"/>
        <v>14000</v>
      </c>
      <c r="R33" s="1">
        <v>820</v>
      </c>
      <c r="S33" s="20">
        <f>T33*R33</f>
        <v>0</v>
      </c>
      <c r="T33" s="20"/>
      <c r="U33" s="1">
        <v>25</v>
      </c>
      <c r="V33" s="28">
        <v>7</v>
      </c>
      <c r="W33" s="1">
        <f t="shared" si="1"/>
        <v>18</v>
      </c>
      <c r="X33" s="1"/>
      <c r="Y33" s="21"/>
      <c r="Z33" s="1"/>
      <c r="AA33" s="1" t="s">
        <v>5</v>
      </c>
      <c r="AB33" s="2" t="s">
        <v>70</v>
      </c>
      <c r="AC33" s="21">
        <f>(T33+W33)*R33+X33-Y33</f>
        <v>14760</v>
      </c>
      <c r="AD33" s="1">
        <f>V33*R33-X33+Y33</f>
        <v>5740</v>
      </c>
      <c r="AE33" s="1">
        <f t="shared" si="2"/>
        <v>0</v>
      </c>
      <c r="AF33" s="1">
        <v>20</v>
      </c>
      <c r="AG33" s="1">
        <f t="shared" si="3"/>
        <v>0</v>
      </c>
      <c r="AH33" s="1">
        <f t="shared" si="4"/>
        <v>0</v>
      </c>
      <c r="AI33" s="1" t="str">
        <f t="shared" si="5"/>
        <v>0-30</v>
      </c>
      <c r="AJ33" s="1" t="str">
        <f t="shared" si="6"/>
        <v>NO</v>
      </c>
      <c r="AK33" s="1">
        <f t="shared" si="7"/>
        <v>14760</v>
      </c>
      <c r="AL33" s="1">
        <f>U33*R33</f>
        <v>20500</v>
      </c>
      <c r="AM33" s="1">
        <f>U33*R33-O33</f>
        <v>5500</v>
      </c>
      <c r="AN33" s="23">
        <f t="shared" si="8"/>
        <v>220</v>
      </c>
      <c r="AO33" s="24">
        <v>46198</v>
      </c>
      <c r="AP33" s="25">
        <v>46202</v>
      </c>
      <c r="AQ33" s="24">
        <v>46213</v>
      </c>
      <c r="AR33" s="1" t="s">
        <v>214</v>
      </c>
      <c r="AS33" s="1" t="s">
        <v>207</v>
      </c>
      <c r="AT33" s="26" t="s">
        <v>215</v>
      </c>
      <c r="AU33" s="26"/>
      <c r="AV33" s="27">
        <f t="shared" si="9"/>
        <v>0</v>
      </c>
    </row>
    <row r="34" spans="1:48" x14ac:dyDescent="0.25">
      <c r="A34" s="1" t="str">
        <f t="shared" si="10"/>
        <v>ACTIVE</v>
      </c>
      <c r="B34" s="2" t="s">
        <v>206</v>
      </c>
      <c r="C34" s="2" t="s">
        <v>207</v>
      </c>
      <c r="D34" s="2" t="s">
        <v>206</v>
      </c>
      <c r="E34" s="2" t="s">
        <v>208</v>
      </c>
      <c r="F34" s="2"/>
      <c r="G34" s="1" t="s">
        <v>220</v>
      </c>
      <c r="H34" s="2" t="s">
        <v>210</v>
      </c>
      <c r="I34" s="2" t="s">
        <v>104</v>
      </c>
      <c r="J34" s="1" t="s">
        <v>291</v>
      </c>
      <c r="K34" s="2" t="s">
        <v>71</v>
      </c>
      <c r="L34" s="2" t="s">
        <v>292</v>
      </c>
      <c r="M34" s="1" t="s">
        <v>293</v>
      </c>
      <c r="N34" s="1">
        <v>8273966051</v>
      </c>
      <c r="O34" s="1">
        <v>15000</v>
      </c>
      <c r="P34" s="1">
        <v>1000</v>
      </c>
      <c r="Q34" s="2">
        <f t="shared" si="0"/>
        <v>14000</v>
      </c>
      <c r="R34" s="1">
        <v>820</v>
      </c>
      <c r="S34" s="20">
        <f>T34*R34</f>
        <v>0</v>
      </c>
      <c r="T34" s="20"/>
      <c r="U34" s="1">
        <v>25</v>
      </c>
      <c r="V34" s="28">
        <v>7</v>
      </c>
      <c r="W34" s="1">
        <f t="shared" si="1"/>
        <v>18</v>
      </c>
      <c r="X34" s="1"/>
      <c r="Y34" s="21"/>
      <c r="Z34" s="1"/>
      <c r="AA34" s="1" t="s">
        <v>5</v>
      </c>
      <c r="AB34" s="2" t="s">
        <v>71</v>
      </c>
      <c r="AC34" s="21">
        <f>(T34+W34)*R34+X34-Y34</f>
        <v>14760</v>
      </c>
      <c r="AD34" s="1">
        <f>V34*R34-X34+Y34</f>
        <v>5740</v>
      </c>
      <c r="AE34" s="1">
        <f t="shared" si="2"/>
        <v>0</v>
      </c>
      <c r="AF34" s="1">
        <v>20</v>
      </c>
      <c r="AG34" s="1">
        <f t="shared" si="3"/>
        <v>0</v>
      </c>
      <c r="AH34" s="1">
        <f t="shared" si="4"/>
        <v>0</v>
      </c>
      <c r="AI34" s="1" t="str">
        <f t="shared" si="5"/>
        <v>0-30</v>
      </c>
      <c r="AJ34" s="1" t="str">
        <f t="shared" si="6"/>
        <v>NO</v>
      </c>
      <c r="AK34" s="1">
        <f t="shared" si="7"/>
        <v>14760</v>
      </c>
      <c r="AL34" s="1">
        <f>U34*R34</f>
        <v>20500</v>
      </c>
      <c r="AM34" s="1">
        <f>U34*R34-O34</f>
        <v>5500</v>
      </c>
      <c r="AN34" s="23">
        <f t="shared" si="8"/>
        <v>220</v>
      </c>
      <c r="AO34" s="24">
        <v>46196</v>
      </c>
      <c r="AP34" s="25">
        <v>46202</v>
      </c>
      <c r="AQ34" s="24">
        <v>46213</v>
      </c>
      <c r="AR34" s="1" t="s">
        <v>214</v>
      </c>
      <c r="AS34" s="1" t="s">
        <v>207</v>
      </c>
      <c r="AT34" s="26" t="s">
        <v>215</v>
      </c>
      <c r="AU34" s="26"/>
      <c r="AV34" s="27">
        <f t="shared" si="9"/>
        <v>0</v>
      </c>
    </row>
    <row r="35" spans="1:48" x14ac:dyDescent="0.25">
      <c r="A35" s="1" t="str">
        <f t="shared" si="10"/>
        <v>ACTIVE</v>
      </c>
      <c r="B35" s="2" t="s">
        <v>206</v>
      </c>
      <c r="C35" s="2" t="s">
        <v>207</v>
      </c>
      <c r="D35" s="2" t="s">
        <v>206</v>
      </c>
      <c r="E35" s="2" t="s">
        <v>208</v>
      </c>
      <c r="F35" s="2"/>
      <c r="G35" s="1" t="s">
        <v>220</v>
      </c>
      <c r="H35" s="2" t="s">
        <v>210</v>
      </c>
      <c r="I35" s="2" t="s">
        <v>104</v>
      </c>
      <c r="J35" s="1" t="s">
        <v>294</v>
      </c>
      <c r="K35" s="2" t="s">
        <v>72</v>
      </c>
      <c r="L35" s="2" t="s">
        <v>295</v>
      </c>
      <c r="M35" s="1" t="s">
        <v>296</v>
      </c>
      <c r="N35" s="1">
        <v>9058986684</v>
      </c>
      <c r="O35" s="1">
        <v>15000</v>
      </c>
      <c r="P35" s="1">
        <v>1000</v>
      </c>
      <c r="Q35" s="2">
        <f t="shared" si="0"/>
        <v>14000</v>
      </c>
      <c r="R35" s="1">
        <v>820</v>
      </c>
      <c r="S35" s="20">
        <f>T35*R35</f>
        <v>0</v>
      </c>
      <c r="T35" s="20"/>
      <c r="U35" s="1">
        <v>25</v>
      </c>
      <c r="V35" s="28">
        <v>7</v>
      </c>
      <c r="W35" s="1">
        <f t="shared" si="1"/>
        <v>18</v>
      </c>
      <c r="X35" s="1"/>
      <c r="Y35" s="21"/>
      <c r="Z35" s="1"/>
      <c r="AA35" s="1" t="s">
        <v>5</v>
      </c>
      <c r="AB35" s="2" t="s">
        <v>72</v>
      </c>
      <c r="AC35" s="21">
        <f>(T35+W35)*R35+X35-Y35</f>
        <v>14760</v>
      </c>
      <c r="AD35" s="1">
        <f>V35*R35-X35+Y35</f>
        <v>5740</v>
      </c>
      <c r="AE35" s="1">
        <f t="shared" si="2"/>
        <v>0</v>
      </c>
      <c r="AF35" s="1">
        <v>20</v>
      </c>
      <c r="AG35" s="1">
        <f t="shared" si="3"/>
        <v>0</v>
      </c>
      <c r="AH35" s="1">
        <f t="shared" si="4"/>
        <v>0</v>
      </c>
      <c r="AI35" s="1" t="str">
        <f t="shared" si="5"/>
        <v>0-30</v>
      </c>
      <c r="AJ35" s="1" t="str">
        <f t="shared" si="6"/>
        <v>NO</v>
      </c>
      <c r="AK35" s="1">
        <f t="shared" si="7"/>
        <v>14760</v>
      </c>
      <c r="AL35" s="1">
        <f>U35*R35</f>
        <v>20500</v>
      </c>
      <c r="AM35" s="1">
        <f>U35*R35-O35</f>
        <v>5500</v>
      </c>
      <c r="AN35" s="23">
        <f t="shared" si="8"/>
        <v>220</v>
      </c>
      <c r="AO35" s="24">
        <v>46197</v>
      </c>
      <c r="AP35" s="25">
        <v>46202</v>
      </c>
      <c r="AQ35" s="24">
        <v>46213</v>
      </c>
      <c r="AR35" s="1" t="s">
        <v>214</v>
      </c>
      <c r="AS35" s="1" t="s">
        <v>207</v>
      </c>
      <c r="AT35" s="26" t="s">
        <v>215</v>
      </c>
      <c r="AU35" s="26"/>
      <c r="AV35" s="27">
        <f t="shared" si="9"/>
        <v>0</v>
      </c>
    </row>
    <row r="36" spans="1:48" x14ac:dyDescent="0.25">
      <c r="A36" s="1" t="str">
        <f t="shared" si="10"/>
        <v>ACTIVE</v>
      </c>
      <c r="B36" s="2" t="s">
        <v>206</v>
      </c>
      <c r="C36" s="2" t="s">
        <v>207</v>
      </c>
      <c r="D36" s="2" t="s">
        <v>206</v>
      </c>
      <c r="E36" s="2" t="s">
        <v>208</v>
      </c>
      <c r="F36" s="2"/>
      <c r="G36" s="1" t="s">
        <v>216</v>
      </c>
      <c r="H36" s="2" t="s">
        <v>210</v>
      </c>
      <c r="I36" s="2" t="s">
        <v>104</v>
      </c>
      <c r="J36" s="1" t="s">
        <v>297</v>
      </c>
      <c r="K36" s="2" t="s">
        <v>73</v>
      </c>
      <c r="L36" s="2" t="s">
        <v>80</v>
      </c>
      <c r="M36" s="1" t="s">
        <v>298</v>
      </c>
      <c r="N36" s="1">
        <v>8439239345</v>
      </c>
      <c r="O36" s="1">
        <v>15000</v>
      </c>
      <c r="P36" s="1">
        <v>1000</v>
      </c>
      <c r="Q36" s="2">
        <f t="shared" si="0"/>
        <v>14000</v>
      </c>
      <c r="R36" s="1">
        <v>820</v>
      </c>
      <c r="S36" s="20">
        <f>T36*R36</f>
        <v>0</v>
      </c>
      <c r="T36" s="20"/>
      <c r="U36" s="1">
        <v>25</v>
      </c>
      <c r="V36" s="28">
        <v>8</v>
      </c>
      <c r="W36" s="1">
        <f t="shared" si="1"/>
        <v>17</v>
      </c>
      <c r="X36" s="1"/>
      <c r="Y36" s="21"/>
      <c r="Z36" s="22"/>
      <c r="AA36" s="1" t="s">
        <v>3</v>
      </c>
      <c r="AB36" s="2" t="s">
        <v>73</v>
      </c>
      <c r="AC36" s="21">
        <f>(T36+W36)*R36+X36-Y36</f>
        <v>13940</v>
      </c>
      <c r="AD36" s="1">
        <f>V36*R36-X36+Y36</f>
        <v>6560</v>
      </c>
      <c r="AE36" s="1">
        <f t="shared" si="2"/>
        <v>0</v>
      </c>
      <c r="AF36" s="1">
        <v>20</v>
      </c>
      <c r="AG36" s="1">
        <f t="shared" si="3"/>
        <v>0</v>
      </c>
      <c r="AH36" s="1">
        <f t="shared" si="4"/>
        <v>0</v>
      </c>
      <c r="AI36" s="1" t="str">
        <f t="shared" si="5"/>
        <v>0-30</v>
      </c>
      <c r="AJ36" s="1" t="str">
        <f t="shared" si="6"/>
        <v>NO</v>
      </c>
      <c r="AK36" s="1">
        <f t="shared" si="7"/>
        <v>13940</v>
      </c>
      <c r="AL36" s="1">
        <f>U36*R36</f>
        <v>20500</v>
      </c>
      <c r="AM36" s="1">
        <f>U36*R36-O36</f>
        <v>5500</v>
      </c>
      <c r="AN36" s="23">
        <f t="shared" si="8"/>
        <v>220</v>
      </c>
      <c r="AO36" s="24">
        <v>46197</v>
      </c>
      <c r="AP36" s="25">
        <v>46202</v>
      </c>
      <c r="AQ36" s="24">
        <v>46211</v>
      </c>
      <c r="AR36" s="1" t="s">
        <v>214</v>
      </c>
      <c r="AS36" s="1" t="s">
        <v>207</v>
      </c>
      <c r="AT36" s="26" t="s">
        <v>215</v>
      </c>
      <c r="AU36" s="26"/>
      <c r="AV36" s="27">
        <f t="shared" si="9"/>
        <v>0</v>
      </c>
    </row>
    <row r="37" spans="1:48" x14ac:dyDescent="0.25">
      <c r="A37" s="1" t="str">
        <f t="shared" si="10"/>
        <v>ACTIVE</v>
      </c>
      <c r="B37" s="2" t="s">
        <v>206</v>
      </c>
      <c r="C37" s="2" t="s">
        <v>207</v>
      </c>
      <c r="D37" s="2" t="s">
        <v>206</v>
      </c>
      <c r="E37" s="2" t="s">
        <v>208</v>
      </c>
      <c r="F37" s="2"/>
      <c r="G37" s="1" t="s">
        <v>220</v>
      </c>
      <c r="H37" s="2" t="s">
        <v>210</v>
      </c>
      <c r="I37" s="2" t="s">
        <v>104</v>
      </c>
      <c r="J37" s="1" t="s">
        <v>299</v>
      </c>
      <c r="K37" s="2" t="s">
        <v>74</v>
      </c>
      <c r="L37" s="2" t="s">
        <v>300</v>
      </c>
      <c r="M37" s="1" t="s">
        <v>301</v>
      </c>
      <c r="N37" s="1">
        <v>9045050003</v>
      </c>
      <c r="O37" s="1">
        <v>15000</v>
      </c>
      <c r="P37" s="1">
        <v>1000</v>
      </c>
      <c r="Q37" s="2">
        <f t="shared" si="0"/>
        <v>14000</v>
      </c>
      <c r="R37" s="1">
        <v>820</v>
      </c>
      <c r="S37" s="20">
        <f>T37*R37</f>
        <v>0</v>
      </c>
      <c r="T37" s="20"/>
      <c r="U37" s="1">
        <v>25</v>
      </c>
      <c r="V37" s="28">
        <v>7</v>
      </c>
      <c r="W37" s="1">
        <f t="shared" si="1"/>
        <v>18</v>
      </c>
      <c r="X37" s="1"/>
      <c r="Y37" s="21">
        <v>820</v>
      </c>
      <c r="Z37" s="22">
        <v>46255</v>
      </c>
      <c r="AA37" s="1" t="s">
        <v>5</v>
      </c>
      <c r="AB37" s="2" t="s">
        <v>74</v>
      </c>
      <c r="AC37" s="21">
        <f>(T37+W37)*R37+X37-Y37</f>
        <v>13940</v>
      </c>
      <c r="AD37" s="1">
        <f>V37*R37-X37+Y37</f>
        <v>6560</v>
      </c>
      <c r="AE37" s="1">
        <f t="shared" si="2"/>
        <v>0</v>
      </c>
      <c r="AF37" s="1">
        <v>20</v>
      </c>
      <c r="AG37" s="1">
        <f t="shared" si="3"/>
        <v>0</v>
      </c>
      <c r="AH37" s="1">
        <f t="shared" si="4"/>
        <v>0</v>
      </c>
      <c r="AI37" s="1" t="str">
        <f t="shared" si="5"/>
        <v>0-30</v>
      </c>
      <c r="AJ37" s="1" t="str">
        <f t="shared" si="6"/>
        <v>NO</v>
      </c>
      <c r="AK37" s="1">
        <f t="shared" si="7"/>
        <v>13940</v>
      </c>
      <c r="AL37" s="1">
        <f>U37*R37</f>
        <v>20500</v>
      </c>
      <c r="AM37" s="1">
        <f>U37*R37-O37</f>
        <v>5500</v>
      </c>
      <c r="AN37" s="23">
        <f t="shared" si="8"/>
        <v>220</v>
      </c>
      <c r="AO37" s="24">
        <v>46197</v>
      </c>
      <c r="AP37" s="25">
        <v>46202</v>
      </c>
      <c r="AQ37" s="24">
        <v>46213</v>
      </c>
      <c r="AR37" s="1" t="s">
        <v>214</v>
      </c>
      <c r="AS37" s="1" t="s">
        <v>207</v>
      </c>
      <c r="AT37" s="26" t="s">
        <v>215</v>
      </c>
      <c r="AU37" s="26"/>
      <c r="AV37" s="27">
        <f t="shared" si="9"/>
        <v>0</v>
      </c>
    </row>
    <row r="38" spans="1:48" x14ac:dyDescent="0.25">
      <c r="A38" s="1" t="str">
        <f t="shared" si="10"/>
        <v>ACTIVE</v>
      </c>
      <c r="B38" s="2" t="s">
        <v>206</v>
      </c>
      <c r="C38" s="2" t="s">
        <v>207</v>
      </c>
      <c r="D38" s="2" t="s">
        <v>206</v>
      </c>
      <c r="E38" s="2" t="s">
        <v>208</v>
      </c>
      <c r="F38" s="2"/>
      <c r="G38" s="1" t="s">
        <v>220</v>
      </c>
      <c r="H38" s="2" t="s">
        <v>210</v>
      </c>
      <c r="I38" s="2" t="s">
        <v>10</v>
      </c>
      <c r="J38" s="1" t="s">
        <v>271</v>
      </c>
      <c r="K38" s="2" t="s">
        <v>8</v>
      </c>
      <c r="L38" s="2" t="s">
        <v>302</v>
      </c>
      <c r="M38" s="1" t="s">
        <v>303</v>
      </c>
      <c r="N38" s="1">
        <v>8979021706</v>
      </c>
      <c r="O38" s="1">
        <v>15000</v>
      </c>
      <c r="P38" s="1">
        <v>1000</v>
      </c>
      <c r="Q38" s="2">
        <f t="shared" si="0"/>
        <v>14000</v>
      </c>
      <c r="R38" s="1">
        <v>820</v>
      </c>
      <c r="S38" s="20">
        <f>T38*R38</f>
        <v>0</v>
      </c>
      <c r="T38" s="20"/>
      <c r="U38" s="1">
        <v>25</v>
      </c>
      <c r="V38" s="28">
        <v>7</v>
      </c>
      <c r="W38" s="1">
        <f t="shared" si="1"/>
        <v>18</v>
      </c>
      <c r="X38" s="1"/>
      <c r="Y38" s="21"/>
      <c r="Z38" s="1"/>
      <c r="AA38" s="1" t="s">
        <v>4</v>
      </c>
      <c r="AB38" s="2" t="s">
        <v>8</v>
      </c>
      <c r="AC38" s="21">
        <f>(T38+W38)*R38+X38-Y38</f>
        <v>14760</v>
      </c>
      <c r="AD38" s="1">
        <f>V38*R38-X38+Y38</f>
        <v>5740</v>
      </c>
      <c r="AE38" s="1">
        <f t="shared" si="2"/>
        <v>0</v>
      </c>
      <c r="AF38" s="1">
        <v>20</v>
      </c>
      <c r="AG38" s="1">
        <f t="shared" si="3"/>
        <v>0</v>
      </c>
      <c r="AH38" s="1">
        <f t="shared" si="4"/>
        <v>0</v>
      </c>
      <c r="AI38" s="1" t="str">
        <f t="shared" si="5"/>
        <v>0-30</v>
      </c>
      <c r="AJ38" s="1" t="str">
        <f t="shared" si="6"/>
        <v>NO</v>
      </c>
      <c r="AK38" s="1">
        <f t="shared" si="7"/>
        <v>14760</v>
      </c>
      <c r="AL38" s="1">
        <f>U38*R38</f>
        <v>20500</v>
      </c>
      <c r="AM38" s="1">
        <f>U38*R38-O38</f>
        <v>5500</v>
      </c>
      <c r="AN38" s="23">
        <f t="shared" si="8"/>
        <v>220</v>
      </c>
      <c r="AO38" s="24">
        <v>46196</v>
      </c>
      <c r="AP38" s="25">
        <v>46206</v>
      </c>
      <c r="AQ38" s="24">
        <v>46217</v>
      </c>
      <c r="AR38" s="1" t="s">
        <v>214</v>
      </c>
      <c r="AS38" s="1" t="s">
        <v>207</v>
      </c>
      <c r="AT38" s="26" t="s">
        <v>215</v>
      </c>
      <c r="AU38" s="26"/>
      <c r="AV38" s="27">
        <f t="shared" si="9"/>
        <v>0</v>
      </c>
    </row>
    <row r="39" spans="1:48" x14ac:dyDescent="0.25">
      <c r="A39" s="1" t="str">
        <f t="shared" si="10"/>
        <v>ACTIVE</v>
      </c>
      <c r="B39" s="2" t="s">
        <v>206</v>
      </c>
      <c r="C39" s="2" t="s">
        <v>207</v>
      </c>
      <c r="D39" s="2" t="s">
        <v>206</v>
      </c>
      <c r="E39" s="2" t="s">
        <v>208</v>
      </c>
      <c r="F39" s="2"/>
      <c r="G39" s="1" t="s">
        <v>220</v>
      </c>
      <c r="H39" s="2" t="s">
        <v>210</v>
      </c>
      <c r="I39" s="2" t="s">
        <v>10</v>
      </c>
      <c r="J39" s="1" t="s">
        <v>304</v>
      </c>
      <c r="K39" s="2" t="s">
        <v>9</v>
      </c>
      <c r="L39" s="2" t="s">
        <v>305</v>
      </c>
      <c r="M39" s="1" t="s">
        <v>306</v>
      </c>
      <c r="N39" s="1">
        <v>7895799410</v>
      </c>
      <c r="O39" s="1">
        <v>15000</v>
      </c>
      <c r="P39" s="1">
        <v>1000</v>
      </c>
      <c r="Q39" s="2">
        <f t="shared" si="0"/>
        <v>14000</v>
      </c>
      <c r="R39" s="1">
        <v>820</v>
      </c>
      <c r="S39" s="20">
        <f>T39*R39</f>
        <v>0</v>
      </c>
      <c r="T39" s="20"/>
      <c r="U39" s="1">
        <v>25</v>
      </c>
      <c r="V39" s="28">
        <v>7</v>
      </c>
      <c r="W39" s="1">
        <f t="shared" si="1"/>
        <v>18</v>
      </c>
      <c r="X39" s="1"/>
      <c r="Y39" s="21"/>
      <c r="Z39" s="22"/>
      <c r="AA39" s="1" t="s">
        <v>3</v>
      </c>
      <c r="AB39" s="2" t="s">
        <v>9</v>
      </c>
      <c r="AC39" s="21">
        <f>(T39+W39)*R39+X39-Y39</f>
        <v>14760</v>
      </c>
      <c r="AD39" s="1">
        <f>V39*R39-X39+Y39</f>
        <v>5740</v>
      </c>
      <c r="AE39" s="1">
        <f t="shared" si="2"/>
        <v>0</v>
      </c>
      <c r="AF39" s="1">
        <v>20</v>
      </c>
      <c r="AG39" s="1">
        <f t="shared" si="3"/>
        <v>0</v>
      </c>
      <c r="AH39" s="1">
        <f t="shared" si="4"/>
        <v>0</v>
      </c>
      <c r="AI39" s="1" t="str">
        <f t="shared" si="5"/>
        <v>0-30</v>
      </c>
      <c r="AJ39" s="1" t="str">
        <f t="shared" si="6"/>
        <v>NO</v>
      </c>
      <c r="AK39" s="1">
        <f t="shared" si="7"/>
        <v>14760</v>
      </c>
      <c r="AL39" s="1">
        <f>U39*R39</f>
        <v>20500</v>
      </c>
      <c r="AM39" s="1">
        <f>U39*R39-O39</f>
        <v>5500</v>
      </c>
      <c r="AN39" s="23">
        <f t="shared" si="8"/>
        <v>220</v>
      </c>
      <c r="AO39" s="24">
        <v>46197</v>
      </c>
      <c r="AP39" s="25">
        <v>46206</v>
      </c>
      <c r="AQ39" s="24">
        <v>46218</v>
      </c>
      <c r="AR39" s="1" t="s">
        <v>214</v>
      </c>
      <c r="AS39" s="1" t="s">
        <v>207</v>
      </c>
      <c r="AT39" s="26" t="s">
        <v>215</v>
      </c>
      <c r="AU39" s="26"/>
      <c r="AV39" s="27">
        <f t="shared" si="9"/>
        <v>0</v>
      </c>
    </row>
    <row r="40" spans="1:48" x14ac:dyDescent="0.25">
      <c r="A40" s="1" t="str">
        <f t="shared" si="10"/>
        <v>ACTIVE</v>
      </c>
      <c r="B40" s="2" t="s">
        <v>206</v>
      </c>
      <c r="C40" s="2" t="s">
        <v>207</v>
      </c>
      <c r="D40" s="2" t="s">
        <v>206</v>
      </c>
      <c r="E40" s="2" t="s">
        <v>208</v>
      </c>
      <c r="F40" s="2"/>
      <c r="G40" s="1" t="s">
        <v>220</v>
      </c>
      <c r="H40" s="2" t="s">
        <v>210</v>
      </c>
      <c r="I40" s="2" t="s">
        <v>10</v>
      </c>
      <c r="J40" s="1" t="s">
        <v>211</v>
      </c>
      <c r="K40" s="2" t="s">
        <v>82</v>
      </c>
      <c r="L40" s="2" t="s">
        <v>307</v>
      </c>
      <c r="M40" s="1" t="s">
        <v>308</v>
      </c>
      <c r="N40" s="1">
        <v>8006072433</v>
      </c>
      <c r="O40" s="1">
        <v>15000</v>
      </c>
      <c r="P40" s="1">
        <v>1000</v>
      </c>
      <c r="Q40" s="2">
        <f t="shared" si="0"/>
        <v>14000</v>
      </c>
      <c r="R40" s="1">
        <v>820</v>
      </c>
      <c r="S40" s="20">
        <f>T40*R40</f>
        <v>0</v>
      </c>
      <c r="T40" s="20"/>
      <c r="U40" s="1">
        <v>25</v>
      </c>
      <c r="V40" s="28">
        <v>7</v>
      </c>
      <c r="W40" s="1">
        <f t="shared" si="1"/>
        <v>18</v>
      </c>
      <c r="X40" s="1"/>
      <c r="Y40" s="21"/>
      <c r="Z40" s="1"/>
      <c r="AA40" s="1" t="s">
        <v>6</v>
      </c>
      <c r="AB40" s="2" t="s">
        <v>82</v>
      </c>
      <c r="AC40" s="21">
        <f>(T40+W40)*R40+X40-Y40</f>
        <v>14760</v>
      </c>
      <c r="AD40" s="1">
        <f>V40*R40-X40+Y40</f>
        <v>5740</v>
      </c>
      <c r="AE40" s="1">
        <f t="shared" si="2"/>
        <v>0</v>
      </c>
      <c r="AF40" s="1">
        <v>20</v>
      </c>
      <c r="AG40" s="1">
        <f t="shared" si="3"/>
        <v>0</v>
      </c>
      <c r="AH40" s="1">
        <f t="shared" si="4"/>
        <v>0</v>
      </c>
      <c r="AI40" s="1" t="str">
        <f t="shared" si="5"/>
        <v>0-30</v>
      </c>
      <c r="AJ40" s="1" t="str">
        <f t="shared" si="6"/>
        <v>NO</v>
      </c>
      <c r="AK40" s="1">
        <f t="shared" si="7"/>
        <v>14760</v>
      </c>
      <c r="AL40" s="1">
        <f>U40*R40</f>
        <v>20500</v>
      </c>
      <c r="AM40" s="1">
        <f>U40*R40-O40</f>
        <v>5500</v>
      </c>
      <c r="AN40" s="23">
        <f t="shared" si="8"/>
        <v>220</v>
      </c>
      <c r="AO40" s="24">
        <v>46199</v>
      </c>
      <c r="AP40" s="25">
        <v>46206</v>
      </c>
      <c r="AQ40" s="24">
        <v>46216</v>
      </c>
      <c r="AR40" s="1" t="s">
        <v>214</v>
      </c>
      <c r="AS40" s="1" t="s">
        <v>207</v>
      </c>
      <c r="AT40" s="26" t="s">
        <v>215</v>
      </c>
      <c r="AU40" s="26"/>
      <c r="AV40" s="27">
        <f t="shared" si="9"/>
        <v>0</v>
      </c>
    </row>
    <row r="41" spans="1:48" x14ac:dyDescent="0.25">
      <c r="A41" s="1" t="str">
        <f t="shared" si="10"/>
        <v>ACTIVE</v>
      </c>
      <c r="B41" s="2" t="s">
        <v>206</v>
      </c>
      <c r="C41" s="2" t="s">
        <v>207</v>
      </c>
      <c r="D41" s="2" t="s">
        <v>206</v>
      </c>
      <c r="E41" s="2" t="s">
        <v>208</v>
      </c>
      <c r="F41" s="2"/>
      <c r="G41" s="1" t="s">
        <v>220</v>
      </c>
      <c r="H41" s="2" t="s">
        <v>210</v>
      </c>
      <c r="I41" s="2" t="s">
        <v>10</v>
      </c>
      <c r="J41" s="1" t="s">
        <v>309</v>
      </c>
      <c r="K41" s="2" t="s">
        <v>83</v>
      </c>
      <c r="L41" s="2" t="s">
        <v>310</v>
      </c>
      <c r="M41" s="1" t="s">
        <v>311</v>
      </c>
      <c r="N41" s="1">
        <v>7078582285</v>
      </c>
      <c r="O41" s="1">
        <v>15000</v>
      </c>
      <c r="P41" s="1">
        <v>1000</v>
      </c>
      <c r="Q41" s="2">
        <f t="shared" si="0"/>
        <v>14000</v>
      </c>
      <c r="R41" s="1">
        <v>820</v>
      </c>
      <c r="S41" s="20">
        <f>T41*R41</f>
        <v>0</v>
      </c>
      <c r="T41" s="20"/>
      <c r="U41" s="1">
        <v>25</v>
      </c>
      <c r="V41" s="28">
        <v>7</v>
      </c>
      <c r="W41" s="1">
        <f t="shared" si="1"/>
        <v>18</v>
      </c>
      <c r="X41" s="1"/>
      <c r="Y41" s="21"/>
      <c r="Z41" s="1"/>
      <c r="AA41" s="1" t="s">
        <v>6</v>
      </c>
      <c r="AB41" s="2" t="s">
        <v>83</v>
      </c>
      <c r="AC41" s="21">
        <f>(T41+W41)*R41+X41-Y41</f>
        <v>14760</v>
      </c>
      <c r="AD41" s="1">
        <f>V41*R41-X41+Y41</f>
        <v>5740</v>
      </c>
      <c r="AE41" s="1">
        <f t="shared" si="2"/>
        <v>0</v>
      </c>
      <c r="AF41" s="1">
        <v>20</v>
      </c>
      <c r="AG41" s="1">
        <f t="shared" si="3"/>
        <v>0</v>
      </c>
      <c r="AH41" s="1">
        <f t="shared" si="4"/>
        <v>0</v>
      </c>
      <c r="AI41" s="1" t="str">
        <f t="shared" si="5"/>
        <v>0-30</v>
      </c>
      <c r="AJ41" s="1" t="str">
        <f t="shared" si="6"/>
        <v>NO</v>
      </c>
      <c r="AK41" s="1">
        <f t="shared" si="7"/>
        <v>14760</v>
      </c>
      <c r="AL41" s="1">
        <f>U41*R41</f>
        <v>20500</v>
      </c>
      <c r="AM41" s="1">
        <f>U41*R41-O41</f>
        <v>5500</v>
      </c>
      <c r="AN41" s="23">
        <f t="shared" si="8"/>
        <v>220</v>
      </c>
      <c r="AO41" s="24">
        <v>46199</v>
      </c>
      <c r="AP41" s="25">
        <v>46206</v>
      </c>
      <c r="AQ41" s="24">
        <v>46216</v>
      </c>
      <c r="AR41" s="1" t="s">
        <v>214</v>
      </c>
      <c r="AS41" s="1" t="s">
        <v>207</v>
      </c>
      <c r="AT41" s="26" t="s">
        <v>215</v>
      </c>
      <c r="AU41" s="26"/>
      <c r="AV41" s="27">
        <f t="shared" si="9"/>
        <v>0</v>
      </c>
    </row>
    <row r="42" spans="1:48" x14ac:dyDescent="0.25">
      <c r="A42" s="1" t="str">
        <f t="shared" si="10"/>
        <v>ACTIVE</v>
      </c>
      <c r="B42" s="2" t="s">
        <v>206</v>
      </c>
      <c r="C42" s="2" t="s">
        <v>207</v>
      </c>
      <c r="D42" s="2" t="s">
        <v>206</v>
      </c>
      <c r="E42" s="2" t="s">
        <v>208</v>
      </c>
      <c r="F42" s="2"/>
      <c r="G42" s="1" t="s">
        <v>220</v>
      </c>
      <c r="H42" s="2" t="s">
        <v>210</v>
      </c>
      <c r="I42" s="2" t="s">
        <v>10</v>
      </c>
      <c r="J42" s="1" t="s">
        <v>312</v>
      </c>
      <c r="K42" s="2" t="s">
        <v>84</v>
      </c>
      <c r="L42" s="2" t="s">
        <v>313</v>
      </c>
      <c r="M42" s="1" t="s">
        <v>234</v>
      </c>
      <c r="N42" s="1">
        <v>9634966145</v>
      </c>
      <c r="O42" s="1">
        <v>15000</v>
      </c>
      <c r="P42" s="1">
        <v>1000</v>
      </c>
      <c r="Q42" s="2">
        <f t="shared" si="0"/>
        <v>14000</v>
      </c>
      <c r="R42" s="1">
        <v>820</v>
      </c>
      <c r="S42" s="20">
        <f>T42*R42</f>
        <v>0</v>
      </c>
      <c r="T42" s="20"/>
      <c r="U42" s="1">
        <v>25</v>
      </c>
      <c r="V42" s="28">
        <v>7</v>
      </c>
      <c r="W42" s="1">
        <f t="shared" si="1"/>
        <v>18</v>
      </c>
      <c r="X42" s="1"/>
      <c r="Y42" s="21"/>
      <c r="Z42" s="1"/>
      <c r="AA42" s="1" t="s">
        <v>6</v>
      </c>
      <c r="AB42" s="2" t="s">
        <v>84</v>
      </c>
      <c r="AC42" s="21">
        <f>(T42+W42)*R42+X42-Y42</f>
        <v>14760</v>
      </c>
      <c r="AD42" s="1">
        <f>V42*R42-X42+Y42</f>
        <v>5740</v>
      </c>
      <c r="AE42" s="1">
        <f t="shared" si="2"/>
        <v>0</v>
      </c>
      <c r="AF42" s="1">
        <v>20</v>
      </c>
      <c r="AG42" s="1">
        <f t="shared" si="3"/>
        <v>0</v>
      </c>
      <c r="AH42" s="1">
        <f t="shared" si="4"/>
        <v>0</v>
      </c>
      <c r="AI42" s="1" t="str">
        <f t="shared" si="5"/>
        <v>0-30</v>
      </c>
      <c r="AJ42" s="1" t="str">
        <f t="shared" si="6"/>
        <v>NO</v>
      </c>
      <c r="AK42" s="1">
        <f t="shared" si="7"/>
        <v>14760</v>
      </c>
      <c r="AL42" s="1">
        <f>U42*R42</f>
        <v>20500</v>
      </c>
      <c r="AM42" s="1">
        <f>U42*R42-O42</f>
        <v>5500</v>
      </c>
      <c r="AN42" s="23">
        <f t="shared" si="8"/>
        <v>220</v>
      </c>
      <c r="AO42" s="24">
        <v>46199</v>
      </c>
      <c r="AP42" s="25">
        <v>46206</v>
      </c>
      <c r="AQ42" s="24">
        <v>46216</v>
      </c>
      <c r="AR42" s="1" t="s">
        <v>214</v>
      </c>
      <c r="AS42" s="1" t="s">
        <v>207</v>
      </c>
      <c r="AT42" s="26" t="s">
        <v>215</v>
      </c>
      <c r="AU42" s="26"/>
      <c r="AV42" s="27">
        <f t="shared" si="9"/>
        <v>0</v>
      </c>
    </row>
    <row r="43" spans="1:48" x14ac:dyDescent="0.25">
      <c r="A43" s="1" t="str">
        <f t="shared" si="10"/>
        <v>ACTIVE</v>
      </c>
      <c r="B43" s="2" t="s">
        <v>206</v>
      </c>
      <c r="C43" s="2" t="s">
        <v>207</v>
      </c>
      <c r="D43" s="2" t="s">
        <v>206</v>
      </c>
      <c r="E43" s="2" t="s">
        <v>208</v>
      </c>
      <c r="F43" s="2"/>
      <c r="G43" s="1" t="s">
        <v>216</v>
      </c>
      <c r="H43" s="2" t="s">
        <v>210</v>
      </c>
      <c r="I43" s="2" t="s">
        <v>10</v>
      </c>
      <c r="J43" s="1" t="s">
        <v>314</v>
      </c>
      <c r="K43" s="2" t="s">
        <v>85</v>
      </c>
      <c r="L43" s="2" t="s">
        <v>315</v>
      </c>
      <c r="M43" s="1" t="s">
        <v>316</v>
      </c>
      <c r="N43" s="1">
        <v>7417213931</v>
      </c>
      <c r="O43" s="1">
        <v>15000</v>
      </c>
      <c r="P43" s="1">
        <v>1000</v>
      </c>
      <c r="Q43" s="2">
        <f t="shared" si="0"/>
        <v>14000</v>
      </c>
      <c r="R43" s="1">
        <v>820</v>
      </c>
      <c r="S43" s="20">
        <f>T43*R43</f>
        <v>0</v>
      </c>
      <c r="T43" s="20"/>
      <c r="U43" s="1">
        <v>25</v>
      </c>
      <c r="V43" s="28">
        <v>7</v>
      </c>
      <c r="W43" s="1">
        <f t="shared" si="1"/>
        <v>18</v>
      </c>
      <c r="X43" s="1"/>
      <c r="Y43" s="21"/>
      <c r="Z43" s="1"/>
      <c r="AA43" s="1" t="s">
        <v>6</v>
      </c>
      <c r="AB43" s="2" t="s">
        <v>85</v>
      </c>
      <c r="AC43" s="21">
        <f>(T43+W43)*R43+X43-Y43</f>
        <v>14760</v>
      </c>
      <c r="AD43" s="1">
        <f>V43*R43-X43+Y43</f>
        <v>5740</v>
      </c>
      <c r="AE43" s="1">
        <f t="shared" si="2"/>
        <v>0</v>
      </c>
      <c r="AF43" s="1">
        <v>20</v>
      </c>
      <c r="AG43" s="1">
        <f t="shared" si="3"/>
        <v>0</v>
      </c>
      <c r="AH43" s="1">
        <f t="shared" si="4"/>
        <v>0</v>
      </c>
      <c r="AI43" s="1" t="str">
        <f t="shared" si="5"/>
        <v>0-30</v>
      </c>
      <c r="AJ43" s="1" t="str">
        <f t="shared" si="6"/>
        <v>NO</v>
      </c>
      <c r="AK43" s="1">
        <f t="shared" si="7"/>
        <v>14760</v>
      </c>
      <c r="AL43" s="1">
        <f>U43*R43</f>
        <v>20500</v>
      </c>
      <c r="AM43" s="1">
        <f>U43*R43-O43</f>
        <v>5500</v>
      </c>
      <c r="AN43" s="23">
        <f t="shared" si="8"/>
        <v>220</v>
      </c>
      <c r="AO43" s="24">
        <v>46199</v>
      </c>
      <c r="AP43" s="25">
        <v>46206</v>
      </c>
      <c r="AQ43" s="24">
        <v>46216</v>
      </c>
      <c r="AR43" s="1" t="s">
        <v>214</v>
      </c>
      <c r="AS43" s="1" t="s">
        <v>207</v>
      </c>
      <c r="AT43" s="26" t="s">
        <v>215</v>
      </c>
      <c r="AU43" s="26"/>
      <c r="AV43" s="27">
        <f t="shared" si="9"/>
        <v>0</v>
      </c>
    </row>
    <row r="44" spans="1:48" x14ac:dyDescent="0.25">
      <c r="A44" s="1" t="str">
        <f t="shared" si="10"/>
        <v>ACTIVE</v>
      </c>
      <c r="B44" s="2" t="s">
        <v>206</v>
      </c>
      <c r="C44" s="2" t="s">
        <v>207</v>
      </c>
      <c r="D44" s="2" t="s">
        <v>206</v>
      </c>
      <c r="E44" s="2" t="s">
        <v>208</v>
      </c>
      <c r="F44" s="2"/>
      <c r="G44" s="1" t="s">
        <v>216</v>
      </c>
      <c r="H44" s="2" t="s">
        <v>210</v>
      </c>
      <c r="I44" s="2" t="s">
        <v>10</v>
      </c>
      <c r="J44" s="1" t="s">
        <v>281</v>
      </c>
      <c r="K44" s="2" t="s">
        <v>86</v>
      </c>
      <c r="L44" s="2" t="s">
        <v>317</v>
      </c>
      <c r="M44" s="1" t="s">
        <v>318</v>
      </c>
      <c r="N44" s="1">
        <v>7452039057</v>
      </c>
      <c r="O44" s="1">
        <v>15000</v>
      </c>
      <c r="P44" s="1">
        <v>1000</v>
      </c>
      <c r="Q44" s="2">
        <f t="shared" si="0"/>
        <v>14000</v>
      </c>
      <c r="R44" s="1">
        <v>820</v>
      </c>
      <c r="S44" s="20">
        <f>T44*R44</f>
        <v>0</v>
      </c>
      <c r="T44" s="20"/>
      <c r="U44" s="1">
        <v>25</v>
      </c>
      <c r="V44" s="28">
        <v>7</v>
      </c>
      <c r="W44" s="1">
        <f t="shared" si="1"/>
        <v>18</v>
      </c>
      <c r="X44" s="1"/>
      <c r="Y44" s="21"/>
      <c r="Z44" s="1"/>
      <c r="AA44" s="1" t="s">
        <v>6</v>
      </c>
      <c r="AB44" s="2" t="s">
        <v>86</v>
      </c>
      <c r="AC44" s="21">
        <f>(T44+W44)*R44+X44-Y44</f>
        <v>14760</v>
      </c>
      <c r="AD44" s="1">
        <f>V44*R44-X44+Y44</f>
        <v>5740</v>
      </c>
      <c r="AE44" s="1">
        <f t="shared" si="2"/>
        <v>0</v>
      </c>
      <c r="AF44" s="1">
        <v>20</v>
      </c>
      <c r="AG44" s="1">
        <f t="shared" si="3"/>
        <v>0</v>
      </c>
      <c r="AH44" s="1">
        <f t="shared" si="4"/>
        <v>0</v>
      </c>
      <c r="AI44" s="1" t="str">
        <f t="shared" si="5"/>
        <v>0-30</v>
      </c>
      <c r="AJ44" s="1" t="str">
        <f t="shared" si="6"/>
        <v>NO</v>
      </c>
      <c r="AK44" s="1">
        <f t="shared" si="7"/>
        <v>14760</v>
      </c>
      <c r="AL44" s="1">
        <f>U44*R44</f>
        <v>20500</v>
      </c>
      <c r="AM44" s="1">
        <f>U44*R44-O44</f>
        <v>5500</v>
      </c>
      <c r="AN44" s="23">
        <f t="shared" si="8"/>
        <v>220</v>
      </c>
      <c r="AO44" s="24">
        <v>46199</v>
      </c>
      <c r="AP44" s="25">
        <v>46206</v>
      </c>
      <c r="AQ44" s="24">
        <v>46216</v>
      </c>
      <c r="AR44" s="1" t="s">
        <v>214</v>
      </c>
      <c r="AS44" s="1" t="s">
        <v>207</v>
      </c>
      <c r="AT44" s="26" t="s">
        <v>215</v>
      </c>
      <c r="AU44" s="26"/>
      <c r="AV44" s="27">
        <f t="shared" si="9"/>
        <v>0</v>
      </c>
    </row>
    <row r="45" spans="1:48" x14ac:dyDescent="0.25">
      <c r="A45" s="1" t="str">
        <f t="shared" si="10"/>
        <v>ACTIVE</v>
      </c>
      <c r="B45" s="2" t="s">
        <v>206</v>
      </c>
      <c r="C45" s="2" t="s">
        <v>207</v>
      </c>
      <c r="D45" s="2" t="s">
        <v>206</v>
      </c>
      <c r="E45" s="2" t="s">
        <v>208</v>
      </c>
      <c r="F45" s="2"/>
      <c r="G45" s="1" t="s">
        <v>216</v>
      </c>
      <c r="H45" s="2" t="s">
        <v>210</v>
      </c>
      <c r="I45" s="2" t="s">
        <v>10</v>
      </c>
      <c r="J45" s="1" t="s">
        <v>319</v>
      </c>
      <c r="K45" s="2" t="s">
        <v>92</v>
      </c>
      <c r="L45" s="2" t="s">
        <v>320</v>
      </c>
      <c r="M45" s="1" t="s">
        <v>321</v>
      </c>
      <c r="N45" s="1">
        <v>7900405035</v>
      </c>
      <c r="O45" s="1">
        <v>15000</v>
      </c>
      <c r="P45" s="1">
        <v>1000</v>
      </c>
      <c r="Q45" s="2">
        <f t="shared" si="0"/>
        <v>14000</v>
      </c>
      <c r="R45" s="1">
        <v>820</v>
      </c>
      <c r="S45" s="20">
        <f>T45*R45</f>
        <v>0</v>
      </c>
      <c r="T45" s="20"/>
      <c r="U45" s="1">
        <v>25</v>
      </c>
      <c r="V45" s="28">
        <v>7</v>
      </c>
      <c r="W45" s="1">
        <f t="shared" si="1"/>
        <v>18</v>
      </c>
      <c r="X45" s="1"/>
      <c r="Y45" s="21"/>
      <c r="Z45" s="22"/>
      <c r="AA45" s="1" t="s">
        <v>3</v>
      </c>
      <c r="AB45" s="2" t="s">
        <v>92</v>
      </c>
      <c r="AC45" s="21">
        <f>(T45+W45)*R45+X45-Y45</f>
        <v>14760</v>
      </c>
      <c r="AD45" s="1">
        <f>V45*R45-X45+Y45</f>
        <v>5740</v>
      </c>
      <c r="AE45" s="1">
        <f t="shared" si="2"/>
        <v>0</v>
      </c>
      <c r="AF45" s="1">
        <v>20</v>
      </c>
      <c r="AG45" s="1">
        <f t="shared" si="3"/>
        <v>0</v>
      </c>
      <c r="AH45" s="1">
        <f t="shared" si="4"/>
        <v>0</v>
      </c>
      <c r="AI45" s="1" t="str">
        <f t="shared" si="5"/>
        <v>0-30</v>
      </c>
      <c r="AJ45" s="1" t="str">
        <f t="shared" si="6"/>
        <v>NO</v>
      </c>
      <c r="AK45" s="1">
        <f t="shared" si="7"/>
        <v>14760</v>
      </c>
      <c r="AL45" s="1">
        <f>U45*R45</f>
        <v>20500</v>
      </c>
      <c r="AM45" s="1">
        <f>U45*R45-O45</f>
        <v>5500</v>
      </c>
      <c r="AN45" s="23">
        <f t="shared" si="8"/>
        <v>220</v>
      </c>
      <c r="AO45" s="24">
        <v>46197</v>
      </c>
      <c r="AP45" s="25">
        <v>46207</v>
      </c>
      <c r="AQ45" s="24">
        <v>46218</v>
      </c>
      <c r="AR45" s="1" t="s">
        <v>214</v>
      </c>
      <c r="AS45" s="1" t="s">
        <v>207</v>
      </c>
      <c r="AT45" s="26" t="s">
        <v>215</v>
      </c>
      <c r="AU45" s="26"/>
      <c r="AV45" s="27">
        <f t="shared" si="9"/>
        <v>0</v>
      </c>
    </row>
    <row r="46" spans="1:48" x14ac:dyDescent="0.25">
      <c r="A46" s="1" t="str">
        <f t="shared" si="10"/>
        <v>ACTIVE</v>
      </c>
      <c r="B46" s="2" t="s">
        <v>206</v>
      </c>
      <c r="C46" s="2" t="s">
        <v>207</v>
      </c>
      <c r="D46" s="2" t="s">
        <v>206</v>
      </c>
      <c r="E46" s="2" t="s">
        <v>208</v>
      </c>
      <c r="F46" s="2"/>
      <c r="G46" s="1" t="s">
        <v>220</v>
      </c>
      <c r="H46" s="2" t="s">
        <v>210</v>
      </c>
      <c r="I46" s="2" t="s">
        <v>10</v>
      </c>
      <c r="J46" s="1" t="s">
        <v>322</v>
      </c>
      <c r="K46" s="2" t="s">
        <v>94</v>
      </c>
      <c r="L46" s="2" t="s">
        <v>323</v>
      </c>
      <c r="M46" s="1" t="s">
        <v>324</v>
      </c>
      <c r="N46" s="1">
        <v>7060853553</v>
      </c>
      <c r="O46" s="1">
        <v>100000</v>
      </c>
      <c r="P46" s="1">
        <v>2500</v>
      </c>
      <c r="Q46" s="2">
        <f t="shared" si="0"/>
        <v>97500</v>
      </c>
      <c r="R46" s="1">
        <v>5600</v>
      </c>
      <c r="S46" s="20">
        <f>T46*R46</f>
        <v>5600</v>
      </c>
      <c r="T46" s="20">
        <v>1</v>
      </c>
      <c r="U46" s="1">
        <v>24</v>
      </c>
      <c r="V46" s="28">
        <v>1</v>
      </c>
      <c r="W46" s="1">
        <f t="shared" si="1"/>
        <v>22</v>
      </c>
      <c r="X46" s="1">
        <v>2600</v>
      </c>
      <c r="Y46" s="21"/>
      <c r="Z46" s="1"/>
      <c r="AA46" s="1" t="s">
        <v>325</v>
      </c>
      <c r="AB46" s="2" t="s">
        <v>94</v>
      </c>
      <c r="AC46" s="21">
        <f>(T46+W46)*R46+X46-Y46</f>
        <v>131400</v>
      </c>
      <c r="AD46" s="1">
        <f>V46*R46-X46+Y46</f>
        <v>3000</v>
      </c>
      <c r="AE46" s="1">
        <f t="shared" si="2"/>
        <v>7</v>
      </c>
      <c r="AF46" s="1">
        <v>20</v>
      </c>
      <c r="AG46" s="1">
        <f t="shared" si="3"/>
        <v>140</v>
      </c>
      <c r="AH46" s="1">
        <f t="shared" si="4"/>
        <v>7</v>
      </c>
      <c r="AI46" s="1" t="str">
        <f t="shared" si="5"/>
        <v>0-30</v>
      </c>
      <c r="AJ46" s="1" t="str">
        <f t="shared" si="6"/>
        <v>NO</v>
      </c>
      <c r="AK46" s="1">
        <f t="shared" si="7"/>
        <v>131540</v>
      </c>
      <c r="AL46" s="1">
        <f>U46*R46</f>
        <v>134400</v>
      </c>
      <c r="AM46" s="1">
        <f>U46*R46-O46</f>
        <v>34400</v>
      </c>
      <c r="AN46" s="23">
        <f t="shared" si="8"/>
        <v>1433.3333333333333</v>
      </c>
      <c r="AO46" s="24">
        <v>46199</v>
      </c>
      <c r="AP46" s="25">
        <v>46207</v>
      </c>
      <c r="AQ46" s="24">
        <v>46223</v>
      </c>
      <c r="AR46" s="1" t="s">
        <v>214</v>
      </c>
      <c r="AS46" s="1" t="s">
        <v>207</v>
      </c>
      <c r="AT46" s="26" t="s">
        <v>215</v>
      </c>
      <c r="AU46" s="26"/>
      <c r="AV46" s="27">
        <f t="shared" si="9"/>
        <v>8200</v>
      </c>
    </row>
    <row r="47" spans="1:48" x14ac:dyDescent="0.25">
      <c r="A47" s="1" t="str">
        <f t="shared" si="10"/>
        <v>ACTIVE</v>
      </c>
      <c r="B47" s="2" t="s">
        <v>206</v>
      </c>
      <c r="C47" s="2" t="s">
        <v>207</v>
      </c>
      <c r="D47" s="2" t="s">
        <v>206</v>
      </c>
      <c r="E47" s="2" t="s">
        <v>208</v>
      </c>
      <c r="F47" s="2"/>
      <c r="G47" s="1" t="s">
        <v>220</v>
      </c>
      <c r="H47" s="2" t="s">
        <v>210</v>
      </c>
      <c r="I47" s="2" t="s">
        <v>10</v>
      </c>
      <c r="J47" s="1" t="s">
        <v>326</v>
      </c>
      <c r="K47" s="2" t="s">
        <v>95</v>
      </c>
      <c r="L47" s="2" t="s">
        <v>111</v>
      </c>
      <c r="M47" s="1" t="s">
        <v>327</v>
      </c>
      <c r="N47" s="1">
        <v>7217485091</v>
      </c>
      <c r="O47" s="1">
        <v>15000</v>
      </c>
      <c r="P47" s="1">
        <v>1000</v>
      </c>
      <c r="Q47" s="2">
        <f t="shared" si="0"/>
        <v>14000</v>
      </c>
      <c r="R47" s="1">
        <v>820</v>
      </c>
      <c r="S47" s="20">
        <f>T47*R47</f>
        <v>0</v>
      </c>
      <c r="T47" s="20"/>
      <c r="U47" s="1">
        <v>25</v>
      </c>
      <c r="V47" s="28">
        <v>5</v>
      </c>
      <c r="W47" s="1">
        <f t="shared" si="1"/>
        <v>20</v>
      </c>
      <c r="X47" s="1"/>
      <c r="Y47" s="21"/>
      <c r="Z47" s="22"/>
      <c r="AA47" s="1" t="s">
        <v>7</v>
      </c>
      <c r="AB47" s="2" t="s">
        <v>95</v>
      </c>
      <c r="AC47" s="21">
        <f>(T47+W47)*R47+X47-Y47</f>
        <v>16400</v>
      </c>
      <c r="AD47" s="1">
        <f>V47*R47-X47+Y47</f>
        <v>4100</v>
      </c>
      <c r="AE47" s="1">
        <f t="shared" si="2"/>
        <v>0</v>
      </c>
      <c r="AF47" s="1">
        <v>20</v>
      </c>
      <c r="AG47" s="1">
        <f t="shared" si="3"/>
        <v>0</v>
      </c>
      <c r="AH47" s="1">
        <f t="shared" si="4"/>
        <v>0</v>
      </c>
      <c r="AI47" s="1" t="str">
        <f t="shared" si="5"/>
        <v>0-30</v>
      </c>
      <c r="AJ47" s="1" t="str">
        <f t="shared" si="6"/>
        <v>NO</v>
      </c>
      <c r="AK47" s="1">
        <f t="shared" si="7"/>
        <v>16400</v>
      </c>
      <c r="AL47" s="1">
        <f>U47*R47</f>
        <v>20500</v>
      </c>
      <c r="AM47" s="1">
        <f>U47*R47-O47</f>
        <v>5500</v>
      </c>
      <c r="AN47" s="23">
        <f t="shared" si="8"/>
        <v>220</v>
      </c>
      <c r="AO47" s="24">
        <v>46209</v>
      </c>
      <c r="AP47" s="25">
        <v>46214</v>
      </c>
      <c r="AQ47" s="24">
        <v>46226</v>
      </c>
      <c r="AR47" s="1" t="s">
        <v>214</v>
      </c>
      <c r="AS47" s="1" t="s">
        <v>207</v>
      </c>
      <c r="AT47" s="26" t="s">
        <v>215</v>
      </c>
      <c r="AU47" s="26"/>
      <c r="AV47" s="27">
        <f t="shared" si="9"/>
        <v>0</v>
      </c>
    </row>
    <row r="48" spans="1:48" x14ac:dyDescent="0.25">
      <c r="A48" s="1" t="str">
        <f t="shared" si="10"/>
        <v>ACTIVE</v>
      </c>
      <c r="B48" s="2" t="s">
        <v>206</v>
      </c>
      <c r="C48" s="2" t="s">
        <v>207</v>
      </c>
      <c r="D48" s="2" t="s">
        <v>206</v>
      </c>
      <c r="E48" s="2" t="s">
        <v>208</v>
      </c>
      <c r="F48" s="2"/>
      <c r="G48" s="1" t="s">
        <v>220</v>
      </c>
      <c r="H48" s="2" t="s">
        <v>210</v>
      </c>
      <c r="I48" s="2" t="s">
        <v>10</v>
      </c>
      <c r="J48" s="1" t="s">
        <v>328</v>
      </c>
      <c r="K48" s="2" t="s">
        <v>97</v>
      </c>
      <c r="L48" s="2" t="s">
        <v>76</v>
      </c>
      <c r="M48" s="1" t="s">
        <v>329</v>
      </c>
      <c r="N48" s="1">
        <v>8859752825</v>
      </c>
      <c r="O48" s="1">
        <v>15000</v>
      </c>
      <c r="P48" s="1">
        <v>1000</v>
      </c>
      <c r="Q48" s="2">
        <f t="shared" si="0"/>
        <v>14000</v>
      </c>
      <c r="R48" s="1">
        <v>820</v>
      </c>
      <c r="S48" s="20">
        <f>T48*R48</f>
        <v>0</v>
      </c>
      <c r="T48" s="20"/>
      <c r="U48" s="1">
        <v>25</v>
      </c>
      <c r="V48" s="28">
        <v>5</v>
      </c>
      <c r="W48" s="1">
        <f t="shared" si="1"/>
        <v>20</v>
      </c>
      <c r="X48" s="1"/>
      <c r="Y48" s="21"/>
      <c r="Z48" s="1"/>
      <c r="AA48" s="1" t="s">
        <v>7</v>
      </c>
      <c r="AB48" s="2" t="s">
        <v>97</v>
      </c>
      <c r="AC48" s="21">
        <f>(T48+W48)*R48+X48-Y48</f>
        <v>16400</v>
      </c>
      <c r="AD48" s="1">
        <f>V48*R48-X48+Y48</f>
        <v>4100</v>
      </c>
      <c r="AE48" s="1">
        <f t="shared" si="2"/>
        <v>0</v>
      </c>
      <c r="AF48" s="1">
        <v>20</v>
      </c>
      <c r="AG48" s="1">
        <f t="shared" si="3"/>
        <v>0</v>
      </c>
      <c r="AH48" s="1">
        <f t="shared" si="4"/>
        <v>0</v>
      </c>
      <c r="AI48" s="1" t="str">
        <f t="shared" si="5"/>
        <v>0-30</v>
      </c>
      <c r="AJ48" s="1" t="str">
        <f t="shared" si="6"/>
        <v>NO</v>
      </c>
      <c r="AK48" s="1">
        <f t="shared" si="7"/>
        <v>16400</v>
      </c>
      <c r="AL48" s="1">
        <f>U48*R48</f>
        <v>20500</v>
      </c>
      <c r="AM48" s="1">
        <f>U48*R48-O48</f>
        <v>5500</v>
      </c>
      <c r="AN48" s="23">
        <f t="shared" si="8"/>
        <v>220</v>
      </c>
      <c r="AO48" s="24">
        <v>46209</v>
      </c>
      <c r="AP48" s="25">
        <v>46214</v>
      </c>
      <c r="AQ48" s="24">
        <v>46226</v>
      </c>
      <c r="AR48" s="1" t="s">
        <v>214</v>
      </c>
      <c r="AS48" s="1" t="s">
        <v>207</v>
      </c>
      <c r="AT48" s="26" t="s">
        <v>215</v>
      </c>
      <c r="AU48" s="26"/>
      <c r="AV48" s="27">
        <f t="shared" si="9"/>
        <v>0</v>
      </c>
    </row>
    <row r="49" spans="1:48" x14ac:dyDescent="0.25">
      <c r="A49" s="1" t="str">
        <f t="shared" si="10"/>
        <v>ACTIVE</v>
      </c>
      <c r="B49" s="2" t="s">
        <v>206</v>
      </c>
      <c r="C49" s="2" t="s">
        <v>207</v>
      </c>
      <c r="D49" s="2" t="s">
        <v>206</v>
      </c>
      <c r="E49" s="2" t="s">
        <v>208</v>
      </c>
      <c r="F49" s="2"/>
      <c r="G49" s="1" t="s">
        <v>216</v>
      </c>
      <c r="H49" s="2" t="s">
        <v>210</v>
      </c>
      <c r="I49" s="2" t="s">
        <v>10</v>
      </c>
      <c r="J49" s="1" t="s">
        <v>330</v>
      </c>
      <c r="K49" s="2" t="s">
        <v>98</v>
      </c>
      <c r="L49" s="2" t="s">
        <v>331</v>
      </c>
      <c r="M49" s="1" t="s">
        <v>100</v>
      </c>
      <c r="N49" s="1">
        <v>9536167042</v>
      </c>
      <c r="O49" s="1">
        <v>15000</v>
      </c>
      <c r="P49" s="1">
        <v>1000</v>
      </c>
      <c r="Q49" s="2">
        <f t="shared" si="0"/>
        <v>14000</v>
      </c>
      <c r="R49" s="1">
        <v>820</v>
      </c>
      <c r="S49" s="20">
        <f>T49*R49</f>
        <v>0</v>
      </c>
      <c r="T49" s="20"/>
      <c r="U49" s="1">
        <v>25</v>
      </c>
      <c r="V49" s="28">
        <v>6</v>
      </c>
      <c r="W49" s="1">
        <f t="shared" si="1"/>
        <v>19</v>
      </c>
      <c r="X49" s="1"/>
      <c r="Y49" s="21"/>
      <c r="Z49" s="1"/>
      <c r="AA49" s="1" t="s">
        <v>3</v>
      </c>
      <c r="AB49" s="2" t="s">
        <v>98</v>
      </c>
      <c r="AC49" s="21">
        <f>(T49+W49)*R49+X49-Y49</f>
        <v>15580</v>
      </c>
      <c r="AD49" s="1">
        <f>V49*R49-X49+Y49</f>
        <v>4920</v>
      </c>
      <c r="AE49" s="1">
        <f t="shared" si="2"/>
        <v>0</v>
      </c>
      <c r="AF49" s="1">
        <v>20</v>
      </c>
      <c r="AG49" s="1">
        <f t="shared" si="3"/>
        <v>0</v>
      </c>
      <c r="AH49" s="1">
        <f t="shared" si="4"/>
        <v>0</v>
      </c>
      <c r="AI49" s="1" t="str">
        <f t="shared" si="5"/>
        <v>0-30</v>
      </c>
      <c r="AJ49" s="1" t="str">
        <f t="shared" si="6"/>
        <v>NO</v>
      </c>
      <c r="AK49" s="1">
        <f t="shared" si="7"/>
        <v>15580</v>
      </c>
      <c r="AL49" s="1">
        <f>U49*R49</f>
        <v>20500</v>
      </c>
      <c r="AM49" s="1">
        <f>U49*R49-O49</f>
        <v>5500</v>
      </c>
      <c r="AN49" s="23">
        <f t="shared" si="8"/>
        <v>220</v>
      </c>
      <c r="AO49" s="24">
        <v>46209</v>
      </c>
      <c r="AP49" s="25">
        <v>46214</v>
      </c>
      <c r="AQ49" s="24">
        <v>46225</v>
      </c>
      <c r="AR49" s="1" t="s">
        <v>214</v>
      </c>
      <c r="AS49" s="1" t="s">
        <v>207</v>
      </c>
      <c r="AT49" s="26" t="s">
        <v>215</v>
      </c>
      <c r="AU49" s="26"/>
      <c r="AV49" s="27">
        <f t="shared" si="9"/>
        <v>0</v>
      </c>
    </row>
    <row r="50" spans="1:48" x14ac:dyDescent="0.25">
      <c r="A50" s="1" t="str">
        <f t="shared" si="10"/>
        <v>ACTIVE</v>
      </c>
      <c r="B50" s="2" t="s">
        <v>206</v>
      </c>
      <c r="C50" s="2" t="s">
        <v>207</v>
      </c>
      <c r="D50" s="2" t="s">
        <v>206</v>
      </c>
      <c r="E50" s="2" t="s">
        <v>208</v>
      </c>
      <c r="F50" s="2"/>
      <c r="G50" s="1" t="s">
        <v>220</v>
      </c>
      <c r="H50" s="2" t="s">
        <v>210</v>
      </c>
      <c r="I50" s="2" t="s">
        <v>10</v>
      </c>
      <c r="J50" s="1" t="s">
        <v>332</v>
      </c>
      <c r="K50" s="2" t="s">
        <v>118</v>
      </c>
      <c r="L50" s="2" t="s">
        <v>333</v>
      </c>
      <c r="M50" s="1" t="s">
        <v>334</v>
      </c>
      <c r="N50" s="1">
        <v>8218356286</v>
      </c>
      <c r="O50" s="1">
        <v>15000</v>
      </c>
      <c r="P50" s="1">
        <v>1000</v>
      </c>
      <c r="Q50" s="2">
        <f t="shared" si="0"/>
        <v>14000</v>
      </c>
      <c r="R50" s="1">
        <v>820</v>
      </c>
      <c r="S50" s="20">
        <f>T50*R50</f>
        <v>0</v>
      </c>
      <c r="T50" s="20"/>
      <c r="U50" s="1">
        <v>25</v>
      </c>
      <c r="V50" s="28">
        <v>6</v>
      </c>
      <c r="W50" s="1">
        <f t="shared" si="1"/>
        <v>19</v>
      </c>
      <c r="X50" s="1"/>
      <c r="Y50" s="21"/>
      <c r="Z50" s="1"/>
      <c r="AA50" s="1" t="s">
        <v>4</v>
      </c>
      <c r="AB50" s="2" t="s">
        <v>118</v>
      </c>
      <c r="AC50" s="21">
        <f>(T50+W50)*R50+X50-Y50</f>
        <v>15580</v>
      </c>
      <c r="AD50" s="1">
        <f>V50*R50-X50+Y50</f>
        <v>4920</v>
      </c>
      <c r="AE50" s="1">
        <f t="shared" si="2"/>
        <v>0</v>
      </c>
      <c r="AF50" s="1">
        <v>20</v>
      </c>
      <c r="AG50" s="1">
        <f t="shared" si="3"/>
        <v>0</v>
      </c>
      <c r="AH50" s="1">
        <f t="shared" si="4"/>
        <v>0</v>
      </c>
      <c r="AI50" s="1" t="str">
        <f t="shared" si="5"/>
        <v>0-30</v>
      </c>
      <c r="AJ50" s="1" t="str">
        <f t="shared" si="6"/>
        <v>NO</v>
      </c>
      <c r="AK50" s="1">
        <f t="shared" si="7"/>
        <v>15580</v>
      </c>
      <c r="AL50" s="1">
        <f>U50*R50</f>
        <v>20500</v>
      </c>
      <c r="AM50" s="1">
        <f>U50*R50-O50</f>
        <v>5500</v>
      </c>
      <c r="AN50" s="23">
        <f t="shared" si="8"/>
        <v>220</v>
      </c>
      <c r="AO50" s="24">
        <v>46207</v>
      </c>
      <c r="AP50" s="25">
        <v>46214</v>
      </c>
      <c r="AQ50" s="24">
        <v>46224</v>
      </c>
      <c r="AR50" s="1" t="s">
        <v>214</v>
      </c>
      <c r="AS50" s="1" t="s">
        <v>207</v>
      </c>
      <c r="AT50" s="26" t="s">
        <v>215</v>
      </c>
      <c r="AU50" s="26"/>
      <c r="AV50" s="27">
        <f t="shared" si="9"/>
        <v>0</v>
      </c>
    </row>
    <row r="51" spans="1:48" x14ac:dyDescent="0.25">
      <c r="A51" s="1" t="str">
        <f t="shared" si="10"/>
        <v>ACTIVE</v>
      </c>
      <c r="B51" s="2" t="s">
        <v>206</v>
      </c>
      <c r="C51" s="2" t="s">
        <v>207</v>
      </c>
      <c r="D51" s="2" t="s">
        <v>206</v>
      </c>
      <c r="E51" s="2" t="s">
        <v>208</v>
      </c>
      <c r="F51" s="2"/>
      <c r="G51" s="1" t="s">
        <v>220</v>
      </c>
      <c r="H51" s="2" t="s">
        <v>210</v>
      </c>
      <c r="I51" s="2" t="s">
        <v>10</v>
      </c>
      <c r="J51" s="1" t="s">
        <v>335</v>
      </c>
      <c r="K51" s="2" t="s">
        <v>119</v>
      </c>
      <c r="L51" s="2" t="s">
        <v>313</v>
      </c>
      <c r="M51" s="1" t="s">
        <v>79</v>
      </c>
      <c r="N51" s="1">
        <v>7906659277</v>
      </c>
      <c r="O51" s="1">
        <v>15000</v>
      </c>
      <c r="P51" s="1">
        <v>1000</v>
      </c>
      <c r="Q51" s="2">
        <f t="shared" si="0"/>
        <v>14000</v>
      </c>
      <c r="R51" s="1">
        <v>820</v>
      </c>
      <c r="S51" s="20">
        <f>T51*R51</f>
        <v>0</v>
      </c>
      <c r="T51" s="20"/>
      <c r="U51" s="1">
        <v>25</v>
      </c>
      <c r="V51" s="28">
        <v>5</v>
      </c>
      <c r="W51" s="1">
        <f t="shared" si="1"/>
        <v>20</v>
      </c>
      <c r="X51" s="1"/>
      <c r="Y51" s="21">
        <v>820</v>
      </c>
      <c r="Z51" s="22">
        <v>46254</v>
      </c>
      <c r="AA51" s="1" t="s">
        <v>7</v>
      </c>
      <c r="AB51" s="2" t="s">
        <v>119</v>
      </c>
      <c r="AC51" s="21">
        <f>(T51+W51)*R51+X51-Y51</f>
        <v>15580</v>
      </c>
      <c r="AD51" s="1">
        <f>V51*R51-X51+Y51</f>
        <v>4920</v>
      </c>
      <c r="AE51" s="1">
        <f t="shared" si="2"/>
        <v>0</v>
      </c>
      <c r="AF51" s="1">
        <v>20</v>
      </c>
      <c r="AG51" s="1">
        <f t="shared" si="3"/>
        <v>0</v>
      </c>
      <c r="AH51" s="1">
        <f t="shared" si="4"/>
        <v>0</v>
      </c>
      <c r="AI51" s="1" t="str">
        <f t="shared" si="5"/>
        <v>0-30</v>
      </c>
      <c r="AJ51" s="1" t="str">
        <f t="shared" si="6"/>
        <v>NO</v>
      </c>
      <c r="AK51" s="1">
        <f t="shared" si="7"/>
        <v>15580</v>
      </c>
      <c r="AL51" s="1">
        <f>U51*R51</f>
        <v>20500</v>
      </c>
      <c r="AM51" s="1">
        <f>U51*R51-O51</f>
        <v>5500</v>
      </c>
      <c r="AN51" s="23">
        <f t="shared" si="8"/>
        <v>220</v>
      </c>
      <c r="AO51" s="24">
        <v>46206</v>
      </c>
      <c r="AP51" s="25">
        <v>46214</v>
      </c>
      <c r="AQ51" s="24">
        <v>46226</v>
      </c>
      <c r="AR51" s="1" t="s">
        <v>214</v>
      </c>
      <c r="AS51" s="1" t="s">
        <v>207</v>
      </c>
      <c r="AT51" s="26" t="s">
        <v>215</v>
      </c>
      <c r="AU51" s="26"/>
      <c r="AV51" s="27">
        <f t="shared" si="9"/>
        <v>0</v>
      </c>
    </row>
    <row r="52" spans="1:48" x14ac:dyDescent="0.25">
      <c r="A52" s="1" t="str">
        <f t="shared" si="10"/>
        <v>ACTIVE</v>
      </c>
      <c r="B52" s="2" t="s">
        <v>206</v>
      </c>
      <c r="C52" s="2" t="s">
        <v>207</v>
      </c>
      <c r="D52" s="2" t="s">
        <v>206</v>
      </c>
      <c r="E52" s="2" t="s">
        <v>208</v>
      </c>
      <c r="F52" s="2"/>
      <c r="G52" s="1" t="s">
        <v>220</v>
      </c>
      <c r="H52" s="2" t="s">
        <v>210</v>
      </c>
      <c r="I52" s="2" t="s">
        <v>10</v>
      </c>
      <c r="J52" s="1" t="s">
        <v>336</v>
      </c>
      <c r="K52" s="2" t="s">
        <v>120</v>
      </c>
      <c r="L52" s="2" t="s">
        <v>337</v>
      </c>
      <c r="M52" s="1" t="s">
        <v>338</v>
      </c>
      <c r="N52" s="1">
        <v>9045320205</v>
      </c>
      <c r="O52" s="1">
        <v>15000</v>
      </c>
      <c r="P52" s="1">
        <v>1000</v>
      </c>
      <c r="Q52" s="2">
        <f t="shared" si="0"/>
        <v>14000</v>
      </c>
      <c r="R52" s="1">
        <v>820</v>
      </c>
      <c r="S52" s="20">
        <f>T52*R52</f>
        <v>0</v>
      </c>
      <c r="T52" s="20"/>
      <c r="U52" s="1">
        <v>25</v>
      </c>
      <c r="V52" s="28">
        <v>5</v>
      </c>
      <c r="W52" s="1">
        <f t="shared" si="1"/>
        <v>20</v>
      </c>
      <c r="X52" s="1"/>
      <c r="Y52" s="21">
        <v>820</v>
      </c>
      <c r="Z52" s="22">
        <v>46254</v>
      </c>
      <c r="AA52" s="1" t="s">
        <v>7</v>
      </c>
      <c r="AB52" s="2" t="s">
        <v>120</v>
      </c>
      <c r="AC52" s="21">
        <f>(T52+W52)*R52+X52-Y52</f>
        <v>15580</v>
      </c>
      <c r="AD52" s="1">
        <f>V52*R52-X52+Y52</f>
        <v>4920</v>
      </c>
      <c r="AE52" s="1">
        <f t="shared" si="2"/>
        <v>0</v>
      </c>
      <c r="AF52" s="1">
        <v>20</v>
      </c>
      <c r="AG52" s="1">
        <f t="shared" si="3"/>
        <v>0</v>
      </c>
      <c r="AH52" s="1">
        <f t="shared" si="4"/>
        <v>0</v>
      </c>
      <c r="AI52" s="1" t="str">
        <f t="shared" si="5"/>
        <v>0-30</v>
      </c>
      <c r="AJ52" s="1" t="str">
        <f t="shared" si="6"/>
        <v>NO</v>
      </c>
      <c r="AK52" s="1">
        <f t="shared" si="7"/>
        <v>15580</v>
      </c>
      <c r="AL52" s="1">
        <f>U52*R52</f>
        <v>20500</v>
      </c>
      <c r="AM52" s="1">
        <f>U52*R52-O52</f>
        <v>5500</v>
      </c>
      <c r="AN52" s="23">
        <f t="shared" si="8"/>
        <v>220</v>
      </c>
      <c r="AO52" s="24">
        <v>46206</v>
      </c>
      <c r="AP52" s="25">
        <v>46214</v>
      </c>
      <c r="AQ52" s="24">
        <v>46226</v>
      </c>
      <c r="AR52" s="1" t="s">
        <v>214</v>
      </c>
      <c r="AS52" s="1" t="s">
        <v>207</v>
      </c>
      <c r="AT52" s="26" t="s">
        <v>215</v>
      </c>
      <c r="AU52" s="26"/>
      <c r="AV52" s="27">
        <f t="shared" si="9"/>
        <v>0</v>
      </c>
    </row>
    <row r="53" spans="1:48" x14ac:dyDescent="0.25">
      <c r="A53" s="1" t="str">
        <f t="shared" si="10"/>
        <v>ACTIVE</v>
      </c>
      <c r="B53" s="2" t="s">
        <v>206</v>
      </c>
      <c r="C53" s="2" t="s">
        <v>207</v>
      </c>
      <c r="D53" s="2" t="s">
        <v>206</v>
      </c>
      <c r="E53" s="2" t="s">
        <v>208</v>
      </c>
      <c r="F53" s="2"/>
      <c r="G53" s="1" t="s">
        <v>220</v>
      </c>
      <c r="H53" s="2" t="s">
        <v>210</v>
      </c>
      <c r="I53" s="2" t="s">
        <v>10</v>
      </c>
      <c r="J53" s="1" t="s">
        <v>339</v>
      </c>
      <c r="K53" s="2" t="s">
        <v>122</v>
      </c>
      <c r="L53" s="2" t="s">
        <v>110</v>
      </c>
      <c r="M53" s="1" t="s">
        <v>340</v>
      </c>
      <c r="N53" s="1">
        <v>9756966100</v>
      </c>
      <c r="O53" s="1">
        <v>15000</v>
      </c>
      <c r="P53" s="1">
        <v>1000</v>
      </c>
      <c r="Q53" s="2">
        <f t="shared" si="0"/>
        <v>14000</v>
      </c>
      <c r="R53" s="1">
        <v>820</v>
      </c>
      <c r="S53" s="20">
        <f>T53*R53</f>
        <v>0</v>
      </c>
      <c r="T53" s="20"/>
      <c r="U53" s="1">
        <v>25</v>
      </c>
      <c r="V53" s="28">
        <v>6</v>
      </c>
      <c r="W53" s="1">
        <f t="shared" si="1"/>
        <v>19</v>
      </c>
      <c r="X53" s="1"/>
      <c r="Y53" s="21"/>
      <c r="Z53" s="1"/>
      <c r="AA53" s="1" t="s">
        <v>3</v>
      </c>
      <c r="AB53" s="2" t="s">
        <v>122</v>
      </c>
      <c r="AC53" s="21">
        <f>(T53+W53)*R53+X53-Y53</f>
        <v>15580</v>
      </c>
      <c r="AD53" s="1">
        <f>V53*R53-X53+Y53</f>
        <v>4920</v>
      </c>
      <c r="AE53" s="1">
        <f t="shared" si="2"/>
        <v>0</v>
      </c>
      <c r="AF53" s="1">
        <v>20</v>
      </c>
      <c r="AG53" s="1">
        <f t="shared" si="3"/>
        <v>0</v>
      </c>
      <c r="AH53" s="1">
        <f t="shared" si="4"/>
        <v>0</v>
      </c>
      <c r="AI53" s="1" t="str">
        <f t="shared" si="5"/>
        <v>0-30</v>
      </c>
      <c r="AJ53" s="1" t="str">
        <f t="shared" si="6"/>
        <v>NO</v>
      </c>
      <c r="AK53" s="1">
        <f t="shared" si="7"/>
        <v>15580</v>
      </c>
      <c r="AL53" s="1">
        <f>U53*R53</f>
        <v>20500</v>
      </c>
      <c r="AM53" s="1">
        <f>U53*R53-O53</f>
        <v>5500</v>
      </c>
      <c r="AN53" s="23">
        <f t="shared" si="8"/>
        <v>220</v>
      </c>
      <c r="AO53" s="24">
        <v>46207</v>
      </c>
      <c r="AP53" s="25">
        <v>46214</v>
      </c>
      <c r="AQ53" s="24">
        <v>46225</v>
      </c>
      <c r="AR53" s="1" t="s">
        <v>214</v>
      </c>
      <c r="AS53" s="1" t="s">
        <v>207</v>
      </c>
      <c r="AT53" s="26" t="s">
        <v>215</v>
      </c>
      <c r="AU53" s="26"/>
      <c r="AV53" s="27">
        <f t="shared" si="9"/>
        <v>0</v>
      </c>
    </row>
    <row r="54" spans="1:48" x14ac:dyDescent="0.25">
      <c r="A54" s="1" t="str">
        <f t="shared" si="10"/>
        <v>ACTIVE</v>
      </c>
      <c r="B54" s="2" t="s">
        <v>206</v>
      </c>
      <c r="C54" s="2" t="s">
        <v>207</v>
      </c>
      <c r="D54" s="2" t="s">
        <v>206</v>
      </c>
      <c r="E54" s="2" t="s">
        <v>208</v>
      </c>
      <c r="F54" s="2"/>
      <c r="G54" s="1" t="s">
        <v>220</v>
      </c>
      <c r="H54" s="2" t="s">
        <v>210</v>
      </c>
      <c r="I54" s="2" t="s">
        <v>10</v>
      </c>
      <c r="J54" s="1" t="s">
        <v>341</v>
      </c>
      <c r="K54" s="2" t="s">
        <v>123</v>
      </c>
      <c r="L54" s="2" t="s">
        <v>342</v>
      </c>
      <c r="M54" s="1" t="s">
        <v>343</v>
      </c>
      <c r="N54" s="1">
        <v>9368960516</v>
      </c>
      <c r="O54" s="1">
        <v>15000</v>
      </c>
      <c r="P54" s="1">
        <v>1000</v>
      </c>
      <c r="Q54" s="2">
        <f t="shared" si="0"/>
        <v>14000</v>
      </c>
      <c r="R54" s="1">
        <v>820</v>
      </c>
      <c r="S54" s="20">
        <f>T54*R54</f>
        <v>0</v>
      </c>
      <c r="T54" s="20"/>
      <c r="U54" s="1">
        <v>25</v>
      </c>
      <c r="V54" s="28">
        <v>5</v>
      </c>
      <c r="W54" s="1">
        <f t="shared" si="1"/>
        <v>20</v>
      </c>
      <c r="X54" s="1"/>
      <c r="Y54" s="21">
        <v>820</v>
      </c>
      <c r="Z54" s="22">
        <v>46254</v>
      </c>
      <c r="AA54" s="1" t="s">
        <v>7</v>
      </c>
      <c r="AB54" s="2" t="s">
        <v>123</v>
      </c>
      <c r="AC54" s="21">
        <f>(T54+W54)*R54+X54-Y54</f>
        <v>15580</v>
      </c>
      <c r="AD54" s="1">
        <f>V54*R54-X54+Y54</f>
        <v>4920</v>
      </c>
      <c r="AE54" s="1">
        <f t="shared" si="2"/>
        <v>0</v>
      </c>
      <c r="AF54" s="1">
        <v>20</v>
      </c>
      <c r="AG54" s="1">
        <f t="shared" si="3"/>
        <v>0</v>
      </c>
      <c r="AH54" s="1">
        <f t="shared" si="4"/>
        <v>0</v>
      </c>
      <c r="AI54" s="1" t="str">
        <f t="shared" si="5"/>
        <v>0-30</v>
      </c>
      <c r="AJ54" s="1" t="str">
        <f t="shared" si="6"/>
        <v>NO</v>
      </c>
      <c r="AK54" s="1">
        <f t="shared" si="7"/>
        <v>15580</v>
      </c>
      <c r="AL54" s="1">
        <f>U54*R54</f>
        <v>20500</v>
      </c>
      <c r="AM54" s="1">
        <f>U54*R54-O54</f>
        <v>5500</v>
      </c>
      <c r="AN54" s="23">
        <f t="shared" si="8"/>
        <v>220</v>
      </c>
      <c r="AO54" s="24">
        <v>46206</v>
      </c>
      <c r="AP54" s="25">
        <v>46214</v>
      </c>
      <c r="AQ54" s="24">
        <v>46226</v>
      </c>
      <c r="AR54" s="1" t="s">
        <v>214</v>
      </c>
      <c r="AS54" s="1" t="s">
        <v>207</v>
      </c>
      <c r="AT54" s="26" t="s">
        <v>215</v>
      </c>
      <c r="AU54" s="26"/>
      <c r="AV54" s="27">
        <f t="shared" si="9"/>
        <v>0</v>
      </c>
    </row>
    <row r="55" spans="1:48" x14ac:dyDescent="0.25">
      <c r="A55" s="1" t="str">
        <f t="shared" si="10"/>
        <v>ACTIVE</v>
      </c>
      <c r="B55" s="2" t="s">
        <v>206</v>
      </c>
      <c r="C55" s="2" t="s">
        <v>207</v>
      </c>
      <c r="D55" s="2" t="s">
        <v>206</v>
      </c>
      <c r="E55" s="2" t="s">
        <v>208</v>
      </c>
      <c r="F55" s="2"/>
      <c r="G55" s="1" t="s">
        <v>220</v>
      </c>
      <c r="H55" s="2" t="s">
        <v>210</v>
      </c>
      <c r="I55" s="2" t="s">
        <v>10</v>
      </c>
      <c r="J55" s="1" t="s">
        <v>344</v>
      </c>
      <c r="K55" s="2" t="s">
        <v>124</v>
      </c>
      <c r="L55" s="2" t="s">
        <v>345</v>
      </c>
      <c r="M55" s="1" t="s">
        <v>346</v>
      </c>
      <c r="N55" s="1">
        <v>9045835551</v>
      </c>
      <c r="O55" s="1">
        <v>15000</v>
      </c>
      <c r="P55" s="1">
        <v>1000</v>
      </c>
      <c r="Q55" s="2">
        <f t="shared" si="0"/>
        <v>14000</v>
      </c>
      <c r="R55" s="1">
        <v>820</v>
      </c>
      <c r="S55" s="20">
        <f>T55*R55</f>
        <v>0</v>
      </c>
      <c r="T55" s="20"/>
      <c r="U55" s="1">
        <v>25</v>
      </c>
      <c r="V55" s="28">
        <v>6</v>
      </c>
      <c r="W55" s="1">
        <f t="shared" si="1"/>
        <v>19</v>
      </c>
      <c r="X55" s="1"/>
      <c r="Y55" s="21"/>
      <c r="Z55" s="22"/>
      <c r="AA55" s="1" t="s">
        <v>3</v>
      </c>
      <c r="AB55" s="2" t="s">
        <v>124</v>
      </c>
      <c r="AC55" s="21">
        <f>(T55+W55)*R55+X55-Y55</f>
        <v>15580</v>
      </c>
      <c r="AD55" s="1">
        <f>V55*R55-X55+Y55</f>
        <v>4920</v>
      </c>
      <c r="AE55" s="1">
        <f t="shared" si="2"/>
        <v>0</v>
      </c>
      <c r="AF55" s="1">
        <v>20</v>
      </c>
      <c r="AG55" s="1">
        <f t="shared" si="3"/>
        <v>0</v>
      </c>
      <c r="AH55" s="1">
        <f t="shared" si="4"/>
        <v>0</v>
      </c>
      <c r="AI55" s="1" t="str">
        <f t="shared" si="5"/>
        <v>0-30</v>
      </c>
      <c r="AJ55" s="1" t="str">
        <f t="shared" si="6"/>
        <v>NO</v>
      </c>
      <c r="AK55" s="1">
        <f t="shared" si="7"/>
        <v>15580</v>
      </c>
      <c r="AL55" s="1">
        <f>U55*R55</f>
        <v>20500</v>
      </c>
      <c r="AM55" s="1">
        <f>U55*R55-O55</f>
        <v>5500</v>
      </c>
      <c r="AN55" s="23">
        <f t="shared" si="8"/>
        <v>220</v>
      </c>
      <c r="AO55" s="24">
        <v>46207</v>
      </c>
      <c r="AP55" s="25">
        <v>46214</v>
      </c>
      <c r="AQ55" s="24">
        <v>46225</v>
      </c>
      <c r="AR55" s="1" t="s">
        <v>214</v>
      </c>
      <c r="AS55" s="1" t="s">
        <v>207</v>
      </c>
      <c r="AT55" s="26" t="s">
        <v>215</v>
      </c>
      <c r="AU55" s="26"/>
      <c r="AV55" s="27">
        <f t="shared" si="9"/>
        <v>0</v>
      </c>
    </row>
    <row r="56" spans="1:48" x14ac:dyDescent="0.25">
      <c r="A56" s="1" t="str">
        <f t="shared" si="10"/>
        <v>ACTIVE</v>
      </c>
      <c r="B56" s="2" t="s">
        <v>206</v>
      </c>
      <c r="C56" s="2" t="s">
        <v>207</v>
      </c>
      <c r="D56" s="2" t="s">
        <v>206</v>
      </c>
      <c r="E56" s="2" t="s">
        <v>208</v>
      </c>
      <c r="F56" s="2"/>
      <c r="G56" s="1" t="s">
        <v>216</v>
      </c>
      <c r="H56" s="2" t="s">
        <v>210</v>
      </c>
      <c r="I56" s="2" t="s">
        <v>10</v>
      </c>
      <c r="J56" s="1" t="s">
        <v>347</v>
      </c>
      <c r="K56" s="2" t="s">
        <v>126</v>
      </c>
      <c r="L56" s="2" t="s">
        <v>102</v>
      </c>
      <c r="M56" s="1" t="s">
        <v>348</v>
      </c>
      <c r="N56" s="1">
        <v>8449933140</v>
      </c>
      <c r="O56" s="1">
        <v>15000</v>
      </c>
      <c r="P56" s="1">
        <v>1000</v>
      </c>
      <c r="Q56" s="2">
        <f t="shared" si="0"/>
        <v>14000</v>
      </c>
      <c r="R56" s="1">
        <v>820</v>
      </c>
      <c r="S56" s="20">
        <f>T56*R56</f>
        <v>0</v>
      </c>
      <c r="T56" s="20"/>
      <c r="U56" s="1">
        <v>25</v>
      </c>
      <c r="V56" s="28">
        <v>6</v>
      </c>
      <c r="W56" s="1">
        <f t="shared" si="1"/>
        <v>19</v>
      </c>
      <c r="X56" s="1"/>
      <c r="Y56" s="21"/>
      <c r="Z56" s="1"/>
      <c r="AA56" s="1" t="s">
        <v>4</v>
      </c>
      <c r="AB56" s="2" t="s">
        <v>126</v>
      </c>
      <c r="AC56" s="21">
        <f>(T56+W56)*R56+X56-Y56</f>
        <v>15580</v>
      </c>
      <c r="AD56" s="1">
        <f>V56*R56-X56+Y56</f>
        <v>4920</v>
      </c>
      <c r="AE56" s="1">
        <f t="shared" si="2"/>
        <v>0</v>
      </c>
      <c r="AF56" s="1">
        <v>20</v>
      </c>
      <c r="AG56" s="1">
        <f t="shared" si="3"/>
        <v>0</v>
      </c>
      <c r="AH56" s="1">
        <f t="shared" si="4"/>
        <v>0</v>
      </c>
      <c r="AI56" s="1" t="str">
        <f t="shared" si="5"/>
        <v>0-30</v>
      </c>
      <c r="AJ56" s="1" t="str">
        <f t="shared" si="6"/>
        <v>NO</v>
      </c>
      <c r="AK56" s="1">
        <f t="shared" si="7"/>
        <v>15580</v>
      </c>
      <c r="AL56" s="1">
        <f>U56*R56</f>
        <v>20500</v>
      </c>
      <c r="AM56" s="1">
        <f>U56*R56-O56</f>
        <v>5500</v>
      </c>
      <c r="AN56" s="23">
        <f t="shared" si="8"/>
        <v>220</v>
      </c>
      <c r="AO56" s="24">
        <v>46209</v>
      </c>
      <c r="AP56" s="25">
        <v>46214</v>
      </c>
      <c r="AQ56" s="24">
        <v>46224</v>
      </c>
      <c r="AR56" s="1" t="s">
        <v>214</v>
      </c>
      <c r="AS56" s="1" t="s">
        <v>207</v>
      </c>
      <c r="AT56" s="26" t="s">
        <v>215</v>
      </c>
      <c r="AU56" s="26"/>
      <c r="AV56" s="27">
        <f t="shared" si="9"/>
        <v>0</v>
      </c>
    </row>
    <row r="57" spans="1:48" x14ac:dyDescent="0.25">
      <c r="A57" s="1" t="str">
        <f t="shared" si="10"/>
        <v>ACTIVE</v>
      </c>
      <c r="B57" s="2" t="s">
        <v>206</v>
      </c>
      <c r="C57" s="2" t="s">
        <v>207</v>
      </c>
      <c r="D57" s="2" t="s">
        <v>206</v>
      </c>
      <c r="E57" s="2" t="s">
        <v>208</v>
      </c>
      <c r="F57" s="2"/>
      <c r="G57" s="1" t="s">
        <v>220</v>
      </c>
      <c r="H57" s="2" t="s">
        <v>210</v>
      </c>
      <c r="I57" s="2" t="s">
        <v>10</v>
      </c>
      <c r="J57" s="1" t="s">
        <v>349</v>
      </c>
      <c r="K57" s="2" t="s">
        <v>127</v>
      </c>
      <c r="L57" s="2" t="s">
        <v>102</v>
      </c>
      <c r="M57" s="1" t="s">
        <v>142</v>
      </c>
      <c r="N57" s="1">
        <v>7900420504</v>
      </c>
      <c r="O57" s="1">
        <v>15000</v>
      </c>
      <c r="P57" s="1">
        <v>1000</v>
      </c>
      <c r="Q57" s="2">
        <f t="shared" si="0"/>
        <v>14000</v>
      </c>
      <c r="R57" s="1">
        <v>820</v>
      </c>
      <c r="S57" s="20">
        <f>T57*R57</f>
        <v>0</v>
      </c>
      <c r="T57" s="20"/>
      <c r="U57" s="1">
        <v>25</v>
      </c>
      <c r="V57" s="28">
        <v>6</v>
      </c>
      <c r="W57" s="1">
        <f t="shared" si="1"/>
        <v>19</v>
      </c>
      <c r="X57" s="1"/>
      <c r="Y57" s="21"/>
      <c r="Z57" s="1"/>
      <c r="AA57" s="1" t="s">
        <v>4</v>
      </c>
      <c r="AB57" s="2" t="s">
        <v>127</v>
      </c>
      <c r="AC57" s="21">
        <f>(T57+W57)*R57+X57-Y57</f>
        <v>15580</v>
      </c>
      <c r="AD57" s="1">
        <f>V57*R57-X57+Y57</f>
        <v>4920</v>
      </c>
      <c r="AE57" s="1">
        <f t="shared" si="2"/>
        <v>0</v>
      </c>
      <c r="AF57" s="1">
        <v>20</v>
      </c>
      <c r="AG57" s="1">
        <f t="shared" si="3"/>
        <v>0</v>
      </c>
      <c r="AH57" s="1">
        <f t="shared" si="4"/>
        <v>0</v>
      </c>
      <c r="AI57" s="1" t="str">
        <f t="shared" si="5"/>
        <v>0-30</v>
      </c>
      <c r="AJ57" s="1" t="str">
        <f t="shared" si="6"/>
        <v>NO</v>
      </c>
      <c r="AK57" s="1">
        <f t="shared" si="7"/>
        <v>15580</v>
      </c>
      <c r="AL57" s="1">
        <f>U57*R57</f>
        <v>20500</v>
      </c>
      <c r="AM57" s="1">
        <f>U57*R57-O57</f>
        <v>5500</v>
      </c>
      <c r="AN57" s="23">
        <f t="shared" si="8"/>
        <v>220</v>
      </c>
      <c r="AO57" s="24">
        <v>46209</v>
      </c>
      <c r="AP57" s="25">
        <v>46214</v>
      </c>
      <c r="AQ57" s="24">
        <v>46224</v>
      </c>
      <c r="AR57" s="1" t="s">
        <v>214</v>
      </c>
      <c r="AS57" s="1" t="s">
        <v>207</v>
      </c>
      <c r="AT57" s="26" t="s">
        <v>215</v>
      </c>
      <c r="AU57" s="26"/>
      <c r="AV57" s="27">
        <f t="shared" si="9"/>
        <v>0</v>
      </c>
    </row>
    <row r="58" spans="1:48" x14ac:dyDescent="0.25">
      <c r="A58" s="1" t="str">
        <f t="shared" si="10"/>
        <v>ACTIVE</v>
      </c>
      <c r="B58" s="2" t="s">
        <v>206</v>
      </c>
      <c r="C58" s="2" t="s">
        <v>207</v>
      </c>
      <c r="D58" s="2" t="s">
        <v>206</v>
      </c>
      <c r="E58" s="2" t="s">
        <v>208</v>
      </c>
      <c r="F58" s="2"/>
      <c r="G58" s="1" t="s">
        <v>220</v>
      </c>
      <c r="H58" s="2" t="s">
        <v>210</v>
      </c>
      <c r="I58" s="2" t="s">
        <v>10</v>
      </c>
      <c r="J58" s="1" t="s">
        <v>350</v>
      </c>
      <c r="K58" s="2" t="s">
        <v>128</v>
      </c>
      <c r="L58" s="2" t="s">
        <v>103</v>
      </c>
      <c r="M58" s="1" t="s">
        <v>351</v>
      </c>
      <c r="N58" s="1">
        <v>98373885731</v>
      </c>
      <c r="O58" s="1">
        <v>15000</v>
      </c>
      <c r="P58" s="1">
        <v>1000</v>
      </c>
      <c r="Q58" s="2">
        <f t="shared" si="0"/>
        <v>14000</v>
      </c>
      <c r="R58" s="1">
        <v>820</v>
      </c>
      <c r="S58" s="20">
        <f>T58*R58</f>
        <v>0</v>
      </c>
      <c r="T58" s="20"/>
      <c r="U58" s="1">
        <v>25</v>
      </c>
      <c r="V58" s="28">
        <v>6</v>
      </c>
      <c r="W58" s="1">
        <f t="shared" si="1"/>
        <v>19</v>
      </c>
      <c r="X58" s="1"/>
      <c r="Y58" s="21"/>
      <c r="Z58" s="1"/>
      <c r="AA58" s="1" t="s">
        <v>4</v>
      </c>
      <c r="AB58" s="2" t="s">
        <v>128</v>
      </c>
      <c r="AC58" s="21">
        <f>(T58+W58)*R58+X58-Y58</f>
        <v>15580</v>
      </c>
      <c r="AD58" s="1">
        <f>V58*R58-X58+Y58</f>
        <v>4920</v>
      </c>
      <c r="AE58" s="1">
        <f t="shared" si="2"/>
        <v>0</v>
      </c>
      <c r="AF58" s="1">
        <v>20</v>
      </c>
      <c r="AG58" s="1">
        <f t="shared" si="3"/>
        <v>0</v>
      </c>
      <c r="AH58" s="1">
        <f t="shared" si="4"/>
        <v>0</v>
      </c>
      <c r="AI58" s="1" t="str">
        <f t="shared" si="5"/>
        <v>0-30</v>
      </c>
      <c r="AJ58" s="1" t="str">
        <f t="shared" si="6"/>
        <v>NO</v>
      </c>
      <c r="AK58" s="1">
        <f t="shared" si="7"/>
        <v>15580</v>
      </c>
      <c r="AL58" s="1">
        <f>U58*R58</f>
        <v>20500</v>
      </c>
      <c r="AM58" s="1">
        <f>U58*R58-O58</f>
        <v>5500</v>
      </c>
      <c r="AN58" s="23">
        <f t="shared" si="8"/>
        <v>220</v>
      </c>
      <c r="AO58" s="24">
        <v>46209</v>
      </c>
      <c r="AP58" s="25">
        <v>46219</v>
      </c>
      <c r="AQ58" s="24">
        <v>46224</v>
      </c>
      <c r="AR58" s="1" t="s">
        <v>214</v>
      </c>
      <c r="AS58" s="1" t="s">
        <v>207</v>
      </c>
      <c r="AT58" s="26" t="s">
        <v>215</v>
      </c>
      <c r="AU58" s="26"/>
      <c r="AV58" s="27">
        <f t="shared" si="9"/>
        <v>0</v>
      </c>
    </row>
    <row r="59" spans="1:48" x14ac:dyDescent="0.25">
      <c r="A59" s="1" t="str">
        <f t="shared" si="10"/>
        <v>ACTIVE</v>
      </c>
      <c r="B59" s="2" t="s">
        <v>206</v>
      </c>
      <c r="C59" s="2" t="s">
        <v>207</v>
      </c>
      <c r="D59" s="2" t="s">
        <v>206</v>
      </c>
      <c r="E59" s="2" t="s">
        <v>208</v>
      </c>
      <c r="F59" s="2"/>
      <c r="G59" s="1" t="s">
        <v>220</v>
      </c>
      <c r="H59" s="2" t="s">
        <v>210</v>
      </c>
      <c r="I59" s="2" t="s">
        <v>10</v>
      </c>
      <c r="J59" s="1" t="s">
        <v>352</v>
      </c>
      <c r="K59" s="2" t="s">
        <v>130</v>
      </c>
      <c r="L59" s="2" t="s">
        <v>353</v>
      </c>
      <c r="M59" s="1" t="s">
        <v>354</v>
      </c>
      <c r="N59" s="1">
        <v>8126549546</v>
      </c>
      <c r="O59" s="1">
        <v>15000</v>
      </c>
      <c r="P59" s="1">
        <v>1000</v>
      </c>
      <c r="Q59" s="2">
        <f t="shared" si="0"/>
        <v>14000</v>
      </c>
      <c r="R59" s="1">
        <v>820</v>
      </c>
      <c r="S59" s="20">
        <f>T59*R59</f>
        <v>0</v>
      </c>
      <c r="T59" s="20"/>
      <c r="U59" s="1">
        <v>25</v>
      </c>
      <c r="V59" s="28">
        <v>6</v>
      </c>
      <c r="W59" s="1">
        <f t="shared" si="1"/>
        <v>19</v>
      </c>
      <c r="X59" s="1"/>
      <c r="Y59" s="21"/>
      <c r="Z59" s="22"/>
      <c r="AA59" s="1" t="s">
        <v>3</v>
      </c>
      <c r="AB59" s="2" t="s">
        <v>130</v>
      </c>
      <c r="AC59" s="21">
        <f>(T59+W59)*R59+X59-Y59</f>
        <v>15580</v>
      </c>
      <c r="AD59" s="1">
        <f>V59*R59-X59+Y59</f>
        <v>4920</v>
      </c>
      <c r="AE59" s="1">
        <f t="shared" si="2"/>
        <v>0</v>
      </c>
      <c r="AF59" s="1">
        <v>20</v>
      </c>
      <c r="AG59" s="1">
        <f t="shared" si="3"/>
        <v>0</v>
      </c>
      <c r="AH59" s="1">
        <f t="shared" si="4"/>
        <v>0</v>
      </c>
      <c r="AI59" s="1" t="str">
        <f t="shared" si="5"/>
        <v>0-30</v>
      </c>
      <c r="AJ59" s="1" t="str">
        <f t="shared" si="6"/>
        <v>NO</v>
      </c>
      <c r="AK59" s="1">
        <f t="shared" si="7"/>
        <v>15580</v>
      </c>
      <c r="AL59" s="1">
        <f>U59*R59</f>
        <v>20500</v>
      </c>
      <c r="AM59" s="1">
        <f>U59*R59-O59</f>
        <v>5500</v>
      </c>
      <c r="AN59" s="23">
        <f t="shared" si="8"/>
        <v>220</v>
      </c>
      <c r="AO59" s="24">
        <v>46209</v>
      </c>
      <c r="AP59" s="25">
        <v>46219</v>
      </c>
      <c r="AQ59" s="24">
        <v>46225</v>
      </c>
      <c r="AR59" s="1" t="s">
        <v>214</v>
      </c>
      <c r="AS59" s="1" t="s">
        <v>207</v>
      </c>
      <c r="AT59" s="26" t="s">
        <v>215</v>
      </c>
      <c r="AU59" s="26"/>
      <c r="AV59" s="27">
        <f t="shared" si="9"/>
        <v>0</v>
      </c>
    </row>
    <row r="60" spans="1:48" x14ac:dyDescent="0.25">
      <c r="A60" s="1" t="str">
        <f t="shared" si="10"/>
        <v>ACTIVE</v>
      </c>
      <c r="B60" s="2" t="s">
        <v>206</v>
      </c>
      <c r="C60" s="2" t="s">
        <v>207</v>
      </c>
      <c r="D60" s="2" t="s">
        <v>206</v>
      </c>
      <c r="E60" s="2" t="s">
        <v>208</v>
      </c>
      <c r="F60" s="2"/>
      <c r="G60" s="1" t="s">
        <v>216</v>
      </c>
      <c r="H60" s="2" t="s">
        <v>210</v>
      </c>
      <c r="I60" s="2" t="s">
        <v>10</v>
      </c>
      <c r="J60" s="1" t="s">
        <v>355</v>
      </c>
      <c r="K60" s="2" t="s">
        <v>131</v>
      </c>
      <c r="L60" s="2" t="s">
        <v>356</v>
      </c>
      <c r="M60" s="1" t="s">
        <v>149</v>
      </c>
      <c r="N60" s="1">
        <v>9411399759</v>
      </c>
      <c r="O60" s="1">
        <v>15000</v>
      </c>
      <c r="P60" s="1">
        <v>1000</v>
      </c>
      <c r="Q60" s="2">
        <f t="shared" si="0"/>
        <v>14000</v>
      </c>
      <c r="R60" s="1">
        <v>820</v>
      </c>
      <c r="S60" s="20">
        <f>T60*R60</f>
        <v>0</v>
      </c>
      <c r="T60" s="20"/>
      <c r="U60" s="1">
        <v>25</v>
      </c>
      <c r="V60" s="28">
        <v>5</v>
      </c>
      <c r="W60" s="1">
        <f t="shared" si="1"/>
        <v>20</v>
      </c>
      <c r="X60" s="1"/>
      <c r="Y60" s="21"/>
      <c r="Z60" s="22"/>
      <c r="AA60" s="1" t="s">
        <v>7</v>
      </c>
      <c r="AB60" s="2" t="s">
        <v>131</v>
      </c>
      <c r="AC60" s="21">
        <f>(T60+W60)*R60+X60-Y60</f>
        <v>16400</v>
      </c>
      <c r="AD60" s="1">
        <f>V60*R60-X60+Y60</f>
        <v>4100</v>
      </c>
      <c r="AE60" s="1">
        <f t="shared" si="2"/>
        <v>0</v>
      </c>
      <c r="AF60" s="1">
        <v>20</v>
      </c>
      <c r="AG60" s="1">
        <f t="shared" si="3"/>
        <v>0</v>
      </c>
      <c r="AH60" s="1">
        <f t="shared" si="4"/>
        <v>0</v>
      </c>
      <c r="AI60" s="1" t="str">
        <f t="shared" si="5"/>
        <v>0-30</v>
      </c>
      <c r="AJ60" s="1" t="str">
        <f t="shared" si="6"/>
        <v>NO</v>
      </c>
      <c r="AK60" s="1">
        <f t="shared" si="7"/>
        <v>16400</v>
      </c>
      <c r="AL60" s="1">
        <f>U60*R60</f>
        <v>20500</v>
      </c>
      <c r="AM60" s="1">
        <f>U60*R60-O60</f>
        <v>5500</v>
      </c>
      <c r="AN60" s="23">
        <f t="shared" si="8"/>
        <v>220</v>
      </c>
      <c r="AO60" s="24">
        <v>46206</v>
      </c>
      <c r="AP60" s="25">
        <v>46219</v>
      </c>
      <c r="AQ60" s="24">
        <v>46226</v>
      </c>
      <c r="AR60" s="1" t="s">
        <v>214</v>
      </c>
      <c r="AS60" s="1" t="s">
        <v>207</v>
      </c>
      <c r="AT60" s="26" t="s">
        <v>215</v>
      </c>
      <c r="AU60" s="26"/>
      <c r="AV60" s="27">
        <f t="shared" si="9"/>
        <v>0</v>
      </c>
    </row>
    <row r="61" spans="1:48" x14ac:dyDescent="0.25">
      <c r="A61" s="1" t="str">
        <f t="shared" si="10"/>
        <v>ACTIVE</v>
      </c>
      <c r="B61" s="2" t="s">
        <v>206</v>
      </c>
      <c r="C61" s="2" t="s">
        <v>207</v>
      </c>
      <c r="D61" s="2" t="s">
        <v>206</v>
      </c>
      <c r="E61" s="2" t="s">
        <v>208</v>
      </c>
      <c r="F61" s="2"/>
      <c r="G61" s="1" t="s">
        <v>216</v>
      </c>
      <c r="H61" s="2" t="s">
        <v>210</v>
      </c>
      <c r="I61" s="2" t="s">
        <v>10</v>
      </c>
      <c r="J61" s="1" t="s">
        <v>357</v>
      </c>
      <c r="K61" s="2" t="s">
        <v>132</v>
      </c>
      <c r="L61" s="2" t="s">
        <v>115</v>
      </c>
      <c r="M61" s="1" t="s">
        <v>358</v>
      </c>
      <c r="N61" s="1">
        <v>8057911477</v>
      </c>
      <c r="O61" s="1">
        <v>15000</v>
      </c>
      <c r="P61" s="1">
        <v>1000</v>
      </c>
      <c r="Q61" s="2">
        <f t="shared" si="0"/>
        <v>14000</v>
      </c>
      <c r="R61" s="1">
        <v>820</v>
      </c>
      <c r="S61" s="20">
        <f>T61*R61</f>
        <v>0</v>
      </c>
      <c r="T61" s="20"/>
      <c r="U61" s="1">
        <v>25</v>
      </c>
      <c r="V61" s="28">
        <v>6</v>
      </c>
      <c r="W61" s="1">
        <f t="shared" si="1"/>
        <v>19</v>
      </c>
      <c r="X61" s="1"/>
      <c r="Y61" s="21"/>
      <c r="Z61" s="1"/>
      <c r="AA61" s="1" t="s">
        <v>3</v>
      </c>
      <c r="AB61" s="2" t="s">
        <v>132</v>
      </c>
      <c r="AC61" s="21">
        <f>(T61+W61)*R61+X61-Y61</f>
        <v>15580</v>
      </c>
      <c r="AD61" s="1">
        <f>V61*R61-X61+Y61</f>
        <v>4920</v>
      </c>
      <c r="AE61" s="1">
        <f t="shared" si="2"/>
        <v>0</v>
      </c>
      <c r="AF61" s="1">
        <v>20</v>
      </c>
      <c r="AG61" s="1">
        <f t="shared" si="3"/>
        <v>0</v>
      </c>
      <c r="AH61" s="1">
        <f t="shared" si="4"/>
        <v>0</v>
      </c>
      <c r="AI61" s="1" t="str">
        <f t="shared" si="5"/>
        <v>0-30</v>
      </c>
      <c r="AJ61" s="1" t="str">
        <f t="shared" si="6"/>
        <v>NO</v>
      </c>
      <c r="AK61" s="1">
        <f t="shared" si="7"/>
        <v>15580</v>
      </c>
      <c r="AL61" s="1">
        <f>U61*R61</f>
        <v>20500</v>
      </c>
      <c r="AM61" s="1">
        <f>U61*R61-O61</f>
        <v>5500</v>
      </c>
      <c r="AN61" s="23">
        <f t="shared" si="8"/>
        <v>220</v>
      </c>
      <c r="AO61" s="24">
        <v>46207</v>
      </c>
      <c r="AP61" s="25">
        <v>46219</v>
      </c>
      <c r="AQ61" s="24">
        <v>46225</v>
      </c>
      <c r="AR61" s="1" t="s">
        <v>214</v>
      </c>
      <c r="AS61" s="1" t="s">
        <v>207</v>
      </c>
      <c r="AT61" s="26" t="s">
        <v>215</v>
      </c>
      <c r="AU61" s="26"/>
      <c r="AV61" s="27">
        <f t="shared" si="9"/>
        <v>0</v>
      </c>
    </row>
    <row r="62" spans="1:48" x14ac:dyDescent="0.25">
      <c r="A62" s="1" t="str">
        <f t="shared" si="10"/>
        <v>ACTIVE</v>
      </c>
      <c r="B62" s="2" t="s">
        <v>206</v>
      </c>
      <c r="C62" s="2" t="s">
        <v>207</v>
      </c>
      <c r="D62" s="2" t="s">
        <v>206</v>
      </c>
      <c r="E62" s="2" t="s">
        <v>208</v>
      </c>
      <c r="F62" s="2"/>
      <c r="G62" s="1" t="s">
        <v>220</v>
      </c>
      <c r="H62" s="2" t="s">
        <v>210</v>
      </c>
      <c r="I62" s="2" t="s">
        <v>10</v>
      </c>
      <c r="J62" s="1" t="s">
        <v>359</v>
      </c>
      <c r="K62" s="2" t="s">
        <v>134</v>
      </c>
      <c r="L62" s="2" t="s">
        <v>360</v>
      </c>
      <c r="M62" s="1" t="s">
        <v>361</v>
      </c>
      <c r="N62" s="1">
        <v>7248714171</v>
      </c>
      <c r="O62" s="1">
        <v>15000</v>
      </c>
      <c r="P62" s="1">
        <v>1000</v>
      </c>
      <c r="Q62" s="2">
        <f t="shared" si="0"/>
        <v>14000</v>
      </c>
      <c r="R62" s="1">
        <v>820</v>
      </c>
      <c r="S62" s="20">
        <f>T62*R62</f>
        <v>0</v>
      </c>
      <c r="T62" s="20"/>
      <c r="U62" s="1">
        <v>25</v>
      </c>
      <c r="V62" s="28">
        <v>5</v>
      </c>
      <c r="W62" s="1">
        <f t="shared" si="1"/>
        <v>20</v>
      </c>
      <c r="X62" s="1"/>
      <c r="Y62" s="21"/>
      <c r="Z62" s="22"/>
      <c r="AA62" s="1" t="s">
        <v>7</v>
      </c>
      <c r="AB62" s="2" t="s">
        <v>134</v>
      </c>
      <c r="AC62" s="21">
        <f>(T62+W62)*R62+X62-Y62</f>
        <v>16400</v>
      </c>
      <c r="AD62" s="1">
        <f>V62*R62-X62+Y62</f>
        <v>4100</v>
      </c>
      <c r="AE62" s="1">
        <f t="shared" si="2"/>
        <v>0</v>
      </c>
      <c r="AF62" s="1">
        <v>20</v>
      </c>
      <c r="AG62" s="1">
        <f t="shared" si="3"/>
        <v>0</v>
      </c>
      <c r="AH62" s="1">
        <f t="shared" si="4"/>
        <v>0</v>
      </c>
      <c r="AI62" s="1" t="str">
        <f t="shared" si="5"/>
        <v>0-30</v>
      </c>
      <c r="AJ62" s="1" t="str">
        <f t="shared" si="6"/>
        <v>NO</v>
      </c>
      <c r="AK62" s="1">
        <f t="shared" si="7"/>
        <v>16400</v>
      </c>
      <c r="AL62" s="1">
        <f>U62*R62</f>
        <v>20500</v>
      </c>
      <c r="AM62" s="1">
        <f>U62*R62-O62</f>
        <v>5500</v>
      </c>
      <c r="AN62" s="23">
        <f t="shared" si="8"/>
        <v>220</v>
      </c>
      <c r="AO62" s="24">
        <v>46209</v>
      </c>
      <c r="AP62" s="25">
        <v>46219</v>
      </c>
      <c r="AQ62" s="24">
        <v>46226</v>
      </c>
      <c r="AR62" s="1" t="s">
        <v>214</v>
      </c>
      <c r="AS62" s="1" t="s">
        <v>207</v>
      </c>
      <c r="AT62" s="26" t="s">
        <v>215</v>
      </c>
      <c r="AU62" s="26"/>
      <c r="AV62" s="27">
        <f t="shared" si="9"/>
        <v>0</v>
      </c>
    </row>
    <row r="63" spans="1:48" x14ac:dyDescent="0.25">
      <c r="A63" s="1" t="str">
        <f t="shared" si="10"/>
        <v>ACTIVE</v>
      </c>
      <c r="B63" s="2" t="s">
        <v>206</v>
      </c>
      <c r="C63" s="2" t="s">
        <v>207</v>
      </c>
      <c r="D63" s="2" t="s">
        <v>206</v>
      </c>
      <c r="E63" s="2" t="s">
        <v>208</v>
      </c>
      <c r="F63" s="2"/>
      <c r="G63" s="1" t="s">
        <v>220</v>
      </c>
      <c r="H63" s="2" t="s">
        <v>210</v>
      </c>
      <c r="I63" s="2" t="s">
        <v>10</v>
      </c>
      <c r="J63" s="1" t="s">
        <v>362</v>
      </c>
      <c r="K63" s="2" t="s">
        <v>135</v>
      </c>
      <c r="L63" s="2" t="s">
        <v>363</v>
      </c>
      <c r="M63" s="1" t="s">
        <v>159</v>
      </c>
      <c r="N63" s="1">
        <v>6397865815</v>
      </c>
      <c r="O63" s="1">
        <v>15000</v>
      </c>
      <c r="P63" s="1">
        <v>1000</v>
      </c>
      <c r="Q63" s="2">
        <f t="shared" si="0"/>
        <v>14000</v>
      </c>
      <c r="R63" s="1">
        <v>820</v>
      </c>
      <c r="S63" s="20">
        <f>T63*R63</f>
        <v>0</v>
      </c>
      <c r="T63" s="20"/>
      <c r="U63" s="1">
        <v>25</v>
      </c>
      <c r="V63" s="28">
        <v>6</v>
      </c>
      <c r="W63" s="1">
        <f t="shared" si="1"/>
        <v>19</v>
      </c>
      <c r="X63" s="1"/>
      <c r="Y63" s="21"/>
      <c r="Z63" s="1"/>
      <c r="AA63" s="1" t="s">
        <v>3</v>
      </c>
      <c r="AB63" s="2" t="s">
        <v>135</v>
      </c>
      <c r="AC63" s="21">
        <f>(T63+W63)*R63+X63-Y63</f>
        <v>15580</v>
      </c>
      <c r="AD63" s="1">
        <f>V63*R63-X63+Y63</f>
        <v>4920</v>
      </c>
      <c r="AE63" s="1">
        <f t="shared" si="2"/>
        <v>0</v>
      </c>
      <c r="AF63" s="1">
        <v>20</v>
      </c>
      <c r="AG63" s="1">
        <f t="shared" si="3"/>
        <v>0</v>
      </c>
      <c r="AH63" s="1">
        <f t="shared" si="4"/>
        <v>0</v>
      </c>
      <c r="AI63" s="1" t="str">
        <f t="shared" si="5"/>
        <v>0-30</v>
      </c>
      <c r="AJ63" s="1" t="str">
        <f t="shared" si="6"/>
        <v>NO</v>
      </c>
      <c r="AK63" s="1">
        <f t="shared" si="7"/>
        <v>15580</v>
      </c>
      <c r="AL63" s="1">
        <f>U63*R63</f>
        <v>20500</v>
      </c>
      <c r="AM63" s="1">
        <f>U63*R63-O63</f>
        <v>5500</v>
      </c>
      <c r="AN63" s="23">
        <f t="shared" si="8"/>
        <v>220</v>
      </c>
      <c r="AO63" s="24">
        <v>46207</v>
      </c>
      <c r="AP63" s="25">
        <v>46219</v>
      </c>
      <c r="AQ63" s="24">
        <v>46225</v>
      </c>
      <c r="AR63" s="1" t="s">
        <v>214</v>
      </c>
      <c r="AS63" s="1" t="s">
        <v>207</v>
      </c>
      <c r="AT63" s="26" t="s">
        <v>215</v>
      </c>
      <c r="AU63" s="26"/>
      <c r="AV63" s="27">
        <f t="shared" si="9"/>
        <v>0</v>
      </c>
    </row>
    <row r="64" spans="1:48" x14ac:dyDescent="0.25">
      <c r="A64" s="1" t="str">
        <f t="shared" si="10"/>
        <v>ACTIVE</v>
      </c>
      <c r="B64" s="2" t="s">
        <v>206</v>
      </c>
      <c r="C64" s="2" t="s">
        <v>207</v>
      </c>
      <c r="D64" s="2" t="s">
        <v>206</v>
      </c>
      <c r="E64" s="2" t="s">
        <v>208</v>
      </c>
      <c r="F64" s="2"/>
      <c r="G64" s="1" t="s">
        <v>220</v>
      </c>
      <c r="H64" s="2" t="s">
        <v>210</v>
      </c>
      <c r="I64" s="2" t="s">
        <v>10</v>
      </c>
      <c r="J64" s="1" t="s">
        <v>211</v>
      </c>
      <c r="K64" s="2" t="s">
        <v>136</v>
      </c>
      <c r="L64" s="2" t="s">
        <v>364</v>
      </c>
      <c r="M64" s="1" t="s">
        <v>365</v>
      </c>
      <c r="N64" s="1">
        <v>7500788021</v>
      </c>
      <c r="O64" s="1">
        <v>15000</v>
      </c>
      <c r="P64" s="1">
        <v>1000</v>
      </c>
      <c r="Q64" s="2">
        <f t="shared" si="0"/>
        <v>14000</v>
      </c>
      <c r="R64" s="1">
        <v>820</v>
      </c>
      <c r="S64" s="20">
        <f>T64*R64</f>
        <v>0</v>
      </c>
      <c r="T64" s="20"/>
      <c r="U64" s="1">
        <v>25</v>
      </c>
      <c r="V64" s="28">
        <v>5</v>
      </c>
      <c r="W64" s="1">
        <f t="shared" si="1"/>
        <v>20</v>
      </c>
      <c r="X64" s="1"/>
      <c r="Y64" s="21"/>
      <c r="Z64" s="1"/>
      <c r="AA64" s="1" t="s">
        <v>7</v>
      </c>
      <c r="AB64" s="2" t="s">
        <v>136</v>
      </c>
      <c r="AC64" s="21">
        <f>(T64+W64)*R64+X64-Y64</f>
        <v>16400</v>
      </c>
      <c r="AD64" s="1">
        <f>V64*R64-X64+Y64</f>
        <v>4100</v>
      </c>
      <c r="AE64" s="1">
        <f t="shared" si="2"/>
        <v>0</v>
      </c>
      <c r="AF64" s="1">
        <v>20</v>
      </c>
      <c r="AG64" s="1">
        <f t="shared" si="3"/>
        <v>0</v>
      </c>
      <c r="AH64" s="1">
        <f t="shared" si="4"/>
        <v>0</v>
      </c>
      <c r="AI64" s="1" t="str">
        <f t="shared" si="5"/>
        <v>0-30</v>
      </c>
      <c r="AJ64" s="1" t="str">
        <f t="shared" si="6"/>
        <v>NO</v>
      </c>
      <c r="AK64" s="1">
        <f t="shared" si="7"/>
        <v>16400</v>
      </c>
      <c r="AL64" s="1">
        <f>U64*R64</f>
        <v>20500</v>
      </c>
      <c r="AM64" s="1">
        <f>U64*R64-O64</f>
        <v>5500</v>
      </c>
      <c r="AN64" s="23">
        <f t="shared" si="8"/>
        <v>220</v>
      </c>
      <c r="AO64" s="24">
        <v>46209</v>
      </c>
      <c r="AP64" s="25">
        <v>46220</v>
      </c>
      <c r="AQ64" s="24">
        <v>46226</v>
      </c>
      <c r="AR64" s="1" t="s">
        <v>214</v>
      </c>
      <c r="AS64" s="1" t="s">
        <v>207</v>
      </c>
      <c r="AT64" s="26" t="s">
        <v>215</v>
      </c>
      <c r="AU64" s="26"/>
      <c r="AV64" s="27">
        <f t="shared" si="9"/>
        <v>0</v>
      </c>
    </row>
    <row r="65" spans="1:48" x14ac:dyDescent="0.25">
      <c r="A65" s="1" t="str">
        <f t="shared" si="10"/>
        <v>ACTIVE</v>
      </c>
      <c r="B65" s="2" t="s">
        <v>206</v>
      </c>
      <c r="C65" s="2" t="s">
        <v>207</v>
      </c>
      <c r="D65" s="2" t="s">
        <v>206</v>
      </c>
      <c r="E65" s="2" t="s">
        <v>208</v>
      </c>
      <c r="F65" s="2"/>
      <c r="G65" s="1" t="s">
        <v>220</v>
      </c>
      <c r="H65" s="2" t="s">
        <v>210</v>
      </c>
      <c r="I65" s="2" t="s">
        <v>10</v>
      </c>
      <c r="J65" s="1" t="s">
        <v>225</v>
      </c>
      <c r="K65" s="2" t="s">
        <v>137</v>
      </c>
      <c r="L65" s="2" t="s">
        <v>366</v>
      </c>
      <c r="M65" s="1" t="s">
        <v>367</v>
      </c>
      <c r="N65" s="1">
        <v>8126871492</v>
      </c>
      <c r="O65" s="1">
        <v>15000</v>
      </c>
      <c r="P65" s="1">
        <v>1000</v>
      </c>
      <c r="Q65" s="2">
        <f t="shared" si="0"/>
        <v>14000</v>
      </c>
      <c r="R65" s="1">
        <v>820</v>
      </c>
      <c r="S65" s="20">
        <f>T65*R65</f>
        <v>0</v>
      </c>
      <c r="T65" s="20"/>
      <c r="U65" s="1">
        <v>25</v>
      </c>
      <c r="V65" s="28">
        <v>5</v>
      </c>
      <c r="W65" s="1">
        <f t="shared" si="1"/>
        <v>20</v>
      </c>
      <c r="X65" s="1"/>
      <c r="Y65" s="21"/>
      <c r="Z65" s="22"/>
      <c r="AA65" s="1" t="s">
        <v>7</v>
      </c>
      <c r="AB65" s="2" t="s">
        <v>137</v>
      </c>
      <c r="AC65" s="21">
        <f>(T65+W65)*R65+X65-Y65</f>
        <v>16400</v>
      </c>
      <c r="AD65" s="1">
        <f>V65*R65-X65+Y65</f>
        <v>4100</v>
      </c>
      <c r="AE65" s="1">
        <f t="shared" si="2"/>
        <v>0</v>
      </c>
      <c r="AF65" s="1">
        <v>20</v>
      </c>
      <c r="AG65" s="1">
        <f t="shared" si="3"/>
        <v>0</v>
      </c>
      <c r="AH65" s="1">
        <f t="shared" si="4"/>
        <v>0</v>
      </c>
      <c r="AI65" s="1" t="str">
        <f t="shared" si="5"/>
        <v>0-30</v>
      </c>
      <c r="AJ65" s="1" t="str">
        <f t="shared" si="6"/>
        <v>NO</v>
      </c>
      <c r="AK65" s="1">
        <f t="shared" si="7"/>
        <v>16400</v>
      </c>
      <c r="AL65" s="1">
        <f>U65*R65</f>
        <v>20500</v>
      </c>
      <c r="AM65" s="1">
        <f>U65*R65-O65</f>
        <v>5500</v>
      </c>
      <c r="AN65" s="23">
        <f t="shared" si="8"/>
        <v>220</v>
      </c>
      <c r="AO65" s="24">
        <v>46206</v>
      </c>
      <c r="AP65" s="25">
        <v>46220</v>
      </c>
      <c r="AQ65" s="24">
        <v>46226</v>
      </c>
      <c r="AR65" s="1" t="s">
        <v>214</v>
      </c>
      <c r="AS65" s="1" t="s">
        <v>207</v>
      </c>
      <c r="AT65" s="26" t="s">
        <v>215</v>
      </c>
      <c r="AU65" s="26"/>
      <c r="AV65" s="27">
        <f t="shared" si="9"/>
        <v>0</v>
      </c>
    </row>
    <row r="66" spans="1:48" x14ac:dyDescent="0.25">
      <c r="A66" s="1" t="str">
        <f t="shared" si="10"/>
        <v>ACTIVE</v>
      </c>
      <c r="B66" s="2" t="s">
        <v>206</v>
      </c>
      <c r="C66" s="2" t="s">
        <v>207</v>
      </c>
      <c r="D66" s="2" t="s">
        <v>206</v>
      </c>
      <c r="E66" s="2" t="s">
        <v>208</v>
      </c>
      <c r="F66" s="2"/>
      <c r="G66" s="1" t="s">
        <v>220</v>
      </c>
      <c r="H66" s="2" t="s">
        <v>210</v>
      </c>
      <c r="I66" s="2" t="s">
        <v>10</v>
      </c>
      <c r="J66" s="1" t="s">
        <v>281</v>
      </c>
      <c r="K66" s="2" t="s">
        <v>138</v>
      </c>
      <c r="L66" s="2" t="s">
        <v>368</v>
      </c>
      <c r="M66" s="1" t="s">
        <v>316</v>
      </c>
      <c r="N66" s="1">
        <v>8384807817</v>
      </c>
      <c r="O66" s="1">
        <v>15000</v>
      </c>
      <c r="P66" s="1">
        <v>1000</v>
      </c>
      <c r="Q66" s="2">
        <f t="shared" si="0"/>
        <v>14000</v>
      </c>
      <c r="R66" s="1">
        <v>820</v>
      </c>
      <c r="S66" s="20">
        <f>T66*R66</f>
        <v>0</v>
      </c>
      <c r="T66" s="20"/>
      <c r="U66" s="1">
        <v>25</v>
      </c>
      <c r="V66" s="28">
        <v>5</v>
      </c>
      <c r="W66" s="1">
        <f t="shared" si="1"/>
        <v>20</v>
      </c>
      <c r="X66" s="1"/>
      <c r="Y66" s="21"/>
      <c r="Z66" s="1"/>
      <c r="AA66" s="1" t="s">
        <v>5</v>
      </c>
      <c r="AB66" s="2" t="s">
        <v>138</v>
      </c>
      <c r="AC66" s="21">
        <f>(T66+W66)*R66+X66-Y66</f>
        <v>16400</v>
      </c>
      <c r="AD66" s="1">
        <f>V66*R66-X66+Y66</f>
        <v>4100</v>
      </c>
      <c r="AE66" s="1">
        <f t="shared" si="2"/>
        <v>0</v>
      </c>
      <c r="AF66" s="1">
        <v>20</v>
      </c>
      <c r="AG66" s="1">
        <f t="shared" si="3"/>
        <v>0</v>
      </c>
      <c r="AH66" s="1">
        <f t="shared" si="4"/>
        <v>0</v>
      </c>
      <c r="AI66" s="1" t="str">
        <f t="shared" si="5"/>
        <v>0-30</v>
      </c>
      <c r="AJ66" s="1" t="str">
        <f t="shared" si="6"/>
        <v>NO</v>
      </c>
      <c r="AK66" s="1">
        <f t="shared" si="7"/>
        <v>16400</v>
      </c>
      <c r="AL66" s="1">
        <f>U66*R66</f>
        <v>20500</v>
      </c>
      <c r="AM66" s="1">
        <f>U66*R66-O66</f>
        <v>5500</v>
      </c>
      <c r="AN66" s="23">
        <f t="shared" si="8"/>
        <v>220</v>
      </c>
      <c r="AO66" s="24">
        <v>46209</v>
      </c>
      <c r="AP66" s="25">
        <v>46220</v>
      </c>
      <c r="AQ66" s="24">
        <v>46227</v>
      </c>
      <c r="AR66" s="1" t="s">
        <v>214</v>
      </c>
      <c r="AS66" s="1" t="s">
        <v>207</v>
      </c>
      <c r="AT66" s="26" t="s">
        <v>215</v>
      </c>
      <c r="AU66" s="26"/>
      <c r="AV66" s="27">
        <f t="shared" si="9"/>
        <v>0</v>
      </c>
    </row>
    <row r="67" spans="1:48" x14ac:dyDescent="0.25">
      <c r="A67" s="1" t="str">
        <f t="shared" si="10"/>
        <v>ACTIVE</v>
      </c>
      <c r="B67" s="2" t="s">
        <v>206</v>
      </c>
      <c r="C67" s="2" t="s">
        <v>207</v>
      </c>
      <c r="D67" s="2" t="s">
        <v>206</v>
      </c>
      <c r="E67" s="2" t="s">
        <v>208</v>
      </c>
      <c r="F67" s="2"/>
      <c r="G67" s="1" t="s">
        <v>220</v>
      </c>
      <c r="H67" s="2" t="s">
        <v>210</v>
      </c>
      <c r="I67" s="2" t="s">
        <v>10</v>
      </c>
      <c r="J67" s="1" t="s">
        <v>369</v>
      </c>
      <c r="K67" s="2" t="s">
        <v>139</v>
      </c>
      <c r="L67" s="2" t="s">
        <v>370</v>
      </c>
      <c r="M67" s="1" t="s">
        <v>371</v>
      </c>
      <c r="N67" s="1">
        <v>7078133680</v>
      </c>
      <c r="O67" s="1">
        <v>15000</v>
      </c>
      <c r="P67" s="1">
        <v>1000</v>
      </c>
      <c r="Q67" s="2">
        <f t="shared" ref="Q67:Q130" si="11">O67-P67</f>
        <v>14000</v>
      </c>
      <c r="R67" s="1">
        <v>820</v>
      </c>
      <c r="S67" s="20">
        <f>T67*R67</f>
        <v>0</v>
      </c>
      <c r="T67" s="20"/>
      <c r="U67" s="1">
        <v>25</v>
      </c>
      <c r="V67" s="28">
        <v>5</v>
      </c>
      <c r="W67" s="1">
        <f t="shared" ref="W67:W132" si="12">U67-V67-T67</f>
        <v>20</v>
      </c>
      <c r="X67" s="1"/>
      <c r="Y67" s="21"/>
      <c r="Z67" s="22"/>
      <c r="AA67" s="1" t="s">
        <v>7</v>
      </c>
      <c r="AB67" s="2" t="s">
        <v>139</v>
      </c>
      <c r="AC67" s="21">
        <f>(T67+W67)*R67+X67-Y67</f>
        <v>16400</v>
      </c>
      <c r="AD67" s="1">
        <f>V67*R67-X67+Y67</f>
        <v>4100</v>
      </c>
      <c r="AE67" s="1">
        <f t="shared" ref="AE67:AE130" si="13">T67*7</f>
        <v>0</v>
      </c>
      <c r="AF67" s="1">
        <v>20</v>
      </c>
      <c r="AG67" s="1">
        <f t="shared" ref="AG67:AG130" si="14">AE67*AF67</f>
        <v>0</v>
      </c>
      <c r="AH67" s="1">
        <f t="shared" ref="AH67:AH130" si="15">AE67</f>
        <v>0</v>
      </c>
      <c r="AI67" s="1" t="str">
        <f t="shared" ref="AI67:AI130" si="16">IF(AH67&lt;=30,"0-30",IF(AH67&lt;=60,"31-60",IF(AH67&lt;=90,"61-90","NPA")))</f>
        <v>0-30</v>
      </c>
      <c r="AJ67" s="1" t="str">
        <f t="shared" ref="AJ67:AJ130" si="17">IF(AE67&gt;90,"YES","NO")</f>
        <v>NO</v>
      </c>
      <c r="AK67" s="1">
        <f t="shared" ref="AK67:AK130" si="18">AC67+AG67</f>
        <v>16400</v>
      </c>
      <c r="AL67" s="1">
        <f>U67*R67</f>
        <v>20500</v>
      </c>
      <c r="AM67" s="1">
        <f>U67*R67-O67</f>
        <v>5500</v>
      </c>
      <c r="AN67" s="23">
        <f t="shared" ref="AN67:AN130" si="19">AM67/U67</f>
        <v>220</v>
      </c>
      <c r="AO67" s="24">
        <v>46206</v>
      </c>
      <c r="AP67" s="25">
        <v>46220</v>
      </c>
      <c r="AQ67" s="24">
        <v>46226</v>
      </c>
      <c r="AR67" s="1" t="s">
        <v>214</v>
      </c>
      <c r="AS67" s="1" t="s">
        <v>207</v>
      </c>
      <c r="AT67" s="26" t="s">
        <v>215</v>
      </c>
      <c r="AU67" s="26"/>
      <c r="AV67" s="27">
        <f t="shared" ref="AV67:AV130" si="20">S67+X67</f>
        <v>0</v>
      </c>
    </row>
    <row r="68" spans="1:48" x14ac:dyDescent="0.25">
      <c r="A68" s="1" t="str">
        <f t="shared" ref="A68:A131" si="21">IF(AC68=0,"CLOSE","ACTIVE")</f>
        <v>ACTIVE</v>
      </c>
      <c r="B68" s="2" t="s">
        <v>206</v>
      </c>
      <c r="C68" s="2" t="s">
        <v>207</v>
      </c>
      <c r="D68" s="2" t="s">
        <v>206</v>
      </c>
      <c r="E68" s="2" t="s">
        <v>208</v>
      </c>
      <c r="F68" s="2"/>
      <c r="G68" s="1" t="s">
        <v>220</v>
      </c>
      <c r="H68" s="2" t="s">
        <v>210</v>
      </c>
      <c r="I68" s="2" t="s">
        <v>10</v>
      </c>
      <c r="J68" s="1" t="s">
        <v>211</v>
      </c>
      <c r="K68" s="2" t="s">
        <v>141</v>
      </c>
      <c r="L68" s="2" t="s">
        <v>372</v>
      </c>
      <c r="M68" s="1" t="s">
        <v>78</v>
      </c>
      <c r="N68" s="1">
        <v>9528162386</v>
      </c>
      <c r="O68" s="1">
        <v>15000</v>
      </c>
      <c r="P68" s="1">
        <v>1000</v>
      </c>
      <c r="Q68" s="2">
        <f t="shared" si="11"/>
        <v>14000</v>
      </c>
      <c r="R68" s="1">
        <v>820</v>
      </c>
      <c r="S68" s="20">
        <f>T68*R68</f>
        <v>0</v>
      </c>
      <c r="T68" s="20"/>
      <c r="U68" s="1">
        <v>25</v>
      </c>
      <c r="V68" s="28">
        <v>4</v>
      </c>
      <c r="W68" s="1">
        <f t="shared" si="12"/>
        <v>21</v>
      </c>
      <c r="X68" s="1"/>
      <c r="Y68" s="21"/>
      <c r="Z68" s="1"/>
      <c r="AA68" s="1" t="s">
        <v>7</v>
      </c>
      <c r="AB68" s="2" t="s">
        <v>141</v>
      </c>
      <c r="AC68" s="21">
        <f>(T68+W68)*R68+X68-Y68</f>
        <v>17220</v>
      </c>
      <c r="AD68" s="1">
        <f>V68*R68-X68+Y68</f>
        <v>3280</v>
      </c>
      <c r="AE68" s="1">
        <f t="shared" si="13"/>
        <v>0</v>
      </c>
      <c r="AF68" s="1">
        <v>20</v>
      </c>
      <c r="AG68" s="1">
        <f t="shared" si="14"/>
        <v>0</v>
      </c>
      <c r="AH68" s="1">
        <f t="shared" si="15"/>
        <v>0</v>
      </c>
      <c r="AI68" s="1" t="str">
        <f t="shared" si="16"/>
        <v>0-30</v>
      </c>
      <c r="AJ68" s="1" t="str">
        <f t="shared" si="17"/>
        <v>NO</v>
      </c>
      <c r="AK68" s="1">
        <f t="shared" si="18"/>
        <v>17220</v>
      </c>
      <c r="AL68" s="1">
        <f>U68*R68</f>
        <v>20500</v>
      </c>
      <c r="AM68" s="1">
        <f>U68*R68-O68</f>
        <v>5500</v>
      </c>
      <c r="AN68" s="23">
        <f t="shared" si="19"/>
        <v>220</v>
      </c>
      <c r="AO68" s="24">
        <v>46209</v>
      </c>
      <c r="AP68" s="25">
        <v>46220</v>
      </c>
      <c r="AQ68" s="24">
        <v>46233</v>
      </c>
      <c r="AR68" s="1" t="s">
        <v>214</v>
      </c>
      <c r="AS68" s="1" t="s">
        <v>207</v>
      </c>
      <c r="AT68" s="26" t="s">
        <v>215</v>
      </c>
      <c r="AU68" s="26"/>
      <c r="AV68" s="27">
        <f t="shared" si="20"/>
        <v>0</v>
      </c>
    </row>
    <row r="69" spans="1:48" x14ac:dyDescent="0.25">
      <c r="A69" s="1" t="str">
        <f t="shared" si="21"/>
        <v>ACTIVE</v>
      </c>
      <c r="B69" s="2" t="s">
        <v>206</v>
      </c>
      <c r="C69" s="2" t="s">
        <v>207</v>
      </c>
      <c r="D69" s="2" t="s">
        <v>206</v>
      </c>
      <c r="E69" s="2" t="s">
        <v>208</v>
      </c>
      <c r="F69" s="2"/>
      <c r="G69" s="1" t="s">
        <v>220</v>
      </c>
      <c r="H69" s="2" t="s">
        <v>210</v>
      </c>
      <c r="I69" s="2" t="s">
        <v>10</v>
      </c>
      <c r="J69" s="1" t="s">
        <v>373</v>
      </c>
      <c r="K69" s="2" t="s">
        <v>143</v>
      </c>
      <c r="L69" s="2" t="s">
        <v>374</v>
      </c>
      <c r="M69" s="1" t="s">
        <v>375</v>
      </c>
      <c r="N69" s="1">
        <v>9528285193</v>
      </c>
      <c r="O69" s="1">
        <v>15000</v>
      </c>
      <c r="P69" s="1">
        <v>1000</v>
      </c>
      <c r="Q69" s="2">
        <f t="shared" si="11"/>
        <v>14000</v>
      </c>
      <c r="R69" s="1">
        <v>820</v>
      </c>
      <c r="S69" s="20">
        <f>T69*R69</f>
        <v>0</v>
      </c>
      <c r="T69" s="20"/>
      <c r="U69" s="1">
        <v>25</v>
      </c>
      <c r="V69" s="28">
        <v>6</v>
      </c>
      <c r="W69" s="1">
        <f t="shared" si="12"/>
        <v>19</v>
      </c>
      <c r="X69" s="1"/>
      <c r="Y69" s="21"/>
      <c r="Z69" s="22"/>
      <c r="AA69" s="1" t="s">
        <v>3</v>
      </c>
      <c r="AB69" s="2" t="s">
        <v>143</v>
      </c>
      <c r="AC69" s="21">
        <f>(T69+W69)*R69+X69-Y69</f>
        <v>15580</v>
      </c>
      <c r="AD69" s="1">
        <f>V69*R69-X69+Y69</f>
        <v>4920</v>
      </c>
      <c r="AE69" s="1">
        <f t="shared" si="13"/>
        <v>0</v>
      </c>
      <c r="AF69" s="1">
        <v>20</v>
      </c>
      <c r="AG69" s="1">
        <f t="shared" si="14"/>
        <v>0</v>
      </c>
      <c r="AH69" s="1">
        <f t="shared" si="15"/>
        <v>0</v>
      </c>
      <c r="AI69" s="1" t="str">
        <f t="shared" si="16"/>
        <v>0-30</v>
      </c>
      <c r="AJ69" s="1" t="str">
        <f t="shared" si="17"/>
        <v>NO</v>
      </c>
      <c r="AK69" s="1">
        <f t="shared" si="18"/>
        <v>15580</v>
      </c>
      <c r="AL69" s="1">
        <f>U69*R69</f>
        <v>20500</v>
      </c>
      <c r="AM69" s="1">
        <f>U69*R69-O69</f>
        <v>5500</v>
      </c>
      <c r="AN69" s="23">
        <f t="shared" si="19"/>
        <v>220</v>
      </c>
      <c r="AO69" s="24">
        <v>46211</v>
      </c>
      <c r="AP69" s="25">
        <v>46220</v>
      </c>
      <c r="AQ69" s="24">
        <v>46225</v>
      </c>
      <c r="AR69" s="1" t="s">
        <v>214</v>
      </c>
      <c r="AS69" s="1" t="s">
        <v>207</v>
      </c>
      <c r="AT69" s="26" t="s">
        <v>215</v>
      </c>
      <c r="AU69" s="26"/>
      <c r="AV69" s="27">
        <f t="shared" si="20"/>
        <v>0</v>
      </c>
    </row>
    <row r="70" spans="1:48" x14ac:dyDescent="0.25">
      <c r="A70" s="1" t="str">
        <f t="shared" si="21"/>
        <v>ACTIVE</v>
      </c>
      <c r="B70" s="2" t="s">
        <v>206</v>
      </c>
      <c r="C70" s="2" t="s">
        <v>207</v>
      </c>
      <c r="D70" s="2" t="s">
        <v>206</v>
      </c>
      <c r="E70" s="2" t="s">
        <v>208</v>
      </c>
      <c r="F70" s="2"/>
      <c r="G70" s="1" t="s">
        <v>216</v>
      </c>
      <c r="H70" s="2" t="s">
        <v>210</v>
      </c>
      <c r="I70" s="2" t="s">
        <v>10</v>
      </c>
      <c r="J70" s="1" t="s">
        <v>357</v>
      </c>
      <c r="K70" s="2" t="s">
        <v>144</v>
      </c>
      <c r="L70" s="2" t="s">
        <v>236</v>
      </c>
      <c r="M70" s="1" t="s">
        <v>133</v>
      </c>
      <c r="N70" s="1">
        <v>6399559910</v>
      </c>
      <c r="O70" s="1">
        <v>15000</v>
      </c>
      <c r="P70" s="1">
        <v>1000</v>
      </c>
      <c r="Q70" s="2">
        <f t="shared" si="11"/>
        <v>14000</v>
      </c>
      <c r="R70" s="1">
        <v>820</v>
      </c>
      <c r="S70" s="20">
        <f>T70*R70</f>
        <v>0</v>
      </c>
      <c r="T70" s="20"/>
      <c r="U70" s="1">
        <v>25</v>
      </c>
      <c r="V70" s="28">
        <v>6</v>
      </c>
      <c r="W70" s="1">
        <f t="shared" si="12"/>
        <v>19</v>
      </c>
      <c r="X70" s="1"/>
      <c r="Y70" s="21"/>
      <c r="Z70" s="22"/>
      <c r="AA70" s="1" t="s">
        <v>3</v>
      </c>
      <c r="AB70" s="2" t="s">
        <v>144</v>
      </c>
      <c r="AC70" s="21">
        <f>(T70+W70)*R70+X70-Y70</f>
        <v>15580</v>
      </c>
      <c r="AD70" s="1">
        <f>V70*R70-X70+Y70</f>
        <v>4920</v>
      </c>
      <c r="AE70" s="1">
        <f t="shared" si="13"/>
        <v>0</v>
      </c>
      <c r="AF70" s="1">
        <v>20</v>
      </c>
      <c r="AG70" s="1">
        <f t="shared" si="14"/>
        <v>0</v>
      </c>
      <c r="AH70" s="1">
        <f t="shared" si="15"/>
        <v>0</v>
      </c>
      <c r="AI70" s="1" t="str">
        <f t="shared" si="16"/>
        <v>0-30</v>
      </c>
      <c r="AJ70" s="1" t="str">
        <f t="shared" si="17"/>
        <v>NO</v>
      </c>
      <c r="AK70" s="1">
        <f t="shared" si="18"/>
        <v>15580</v>
      </c>
      <c r="AL70" s="1">
        <f>U70*R70</f>
        <v>20500</v>
      </c>
      <c r="AM70" s="1">
        <f>U70*R70-O70</f>
        <v>5500</v>
      </c>
      <c r="AN70" s="23">
        <f t="shared" si="19"/>
        <v>220</v>
      </c>
      <c r="AO70" s="24">
        <v>46207</v>
      </c>
      <c r="AP70" s="25">
        <v>46220</v>
      </c>
      <c r="AQ70" s="24">
        <v>46225</v>
      </c>
      <c r="AR70" s="1" t="s">
        <v>214</v>
      </c>
      <c r="AS70" s="1" t="s">
        <v>207</v>
      </c>
      <c r="AT70" s="26" t="s">
        <v>215</v>
      </c>
      <c r="AU70" s="26"/>
      <c r="AV70" s="27">
        <f t="shared" si="20"/>
        <v>0</v>
      </c>
    </row>
    <row r="71" spans="1:48" x14ac:dyDescent="0.25">
      <c r="A71" s="1" t="str">
        <f t="shared" si="21"/>
        <v>ACTIVE</v>
      </c>
      <c r="B71" s="2" t="s">
        <v>206</v>
      </c>
      <c r="C71" s="2" t="s">
        <v>207</v>
      </c>
      <c r="D71" s="2" t="s">
        <v>206</v>
      </c>
      <c r="E71" s="2" t="s">
        <v>208</v>
      </c>
      <c r="F71" s="2"/>
      <c r="G71" s="1" t="s">
        <v>220</v>
      </c>
      <c r="H71" s="2" t="s">
        <v>210</v>
      </c>
      <c r="I71" s="2" t="s">
        <v>10</v>
      </c>
      <c r="J71" s="1" t="s">
        <v>376</v>
      </c>
      <c r="K71" s="2" t="s">
        <v>146</v>
      </c>
      <c r="L71" s="2" t="s">
        <v>377</v>
      </c>
      <c r="M71" s="1" t="s">
        <v>378</v>
      </c>
      <c r="N71" s="1">
        <v>7500105021</v>
      </c>
      <c r="O71" s="1">
        <v>15000</v>
      </c>
      <c r="P71" s="1">
        <v>1000</v>
      </c>
      <c r="Q71" s="2">
        <f t="shared" si="11"/>
        <v>14000</v>
      </c>
      <c r="R71" s="1">
        <v>820</v>
      </c>
      <c r="S71" s="20">
        <f>T71*R71</f>
        <v>0</v>
      </c>
      <c r="T71" s="20"/>
      <c r="U71" s="1">
        <v>25</v>
      </c>
      <c r="V71" s="28">
        <v>6</v>
      </c>
      <c r="W71" s="1">
        <f t="shared" si="12"/>
        <v>19</v>
      </c>
      <c r="X71" s="1"/>
      <c r="Y71" s="21"/>
      <c r="Z71" s="22"/>
      <c r="AA71" s="1" t="s">
        <v>3</v>
      </c>
      <c r="AB71" s="2" t="s">
        <v>146</v>
      </c>
      <c r="AC71" s="21">
        <f>(T71+W71)*R71+X71-Y71</f>
        <v>15580</v>
      </c>
      <c r="AD71" s="1">
        <f>V71*R71-X71+Y71</f>
        <v>4920</v>
      </c>
      <c r="AE71" s="1">
        <f t="shared" si="13"/>
        <v>0</v>
      </c>
      <c r="AF71" s="1">
        <v>20</v>
      </c>
      <c r="AG71" s="1">
        <f t="shared" si="14"/>
        <v>0</v>
      </c>
      <c r="AH71" s="1">
        <f t="shared" si="15"/>
        <v>0</v>
      </c>
      <c r="AI71" s="1" t="str">
        <f t="shared" si="16"/>
        <v>0-30</v>
      </c>
      <c r="AJ71" s="1" t="str">
        <f t="shared" si="17"/>
        <v>NO</v>
      </c>
      <c r="AK71" s="1">
        <f t="shared" si="18"/>
        <v>15580</v>
      </c>
      <c r="AL71" s="1">
        <f>U71*R71</f>
        <v>20500</v>
      </c>
      <c r="AM71" s="1">
        <f>U71*R71-O71</f>
        <v>5500</v>
      </c>
      <c r="AN71" s="23">
        <f t="shared" si="19"/>
        <v>220</v>
      </c>
      <c r="AO71" s="24">
        <v>46211</v>
      </c>
      <c r="AP71" s="25">
        <v>46220</v>
      </c>
      <c r="AQ71" s="24">
        <v>46225</v>
      </c>
      <c r="AR71" s="1" t="s">
        <v>214</v>
      </c>
      <c r="AS71" s="1" t="s">
        <v>207</v>
      </c>
      <c r="AT71" s="26" t="s">
        <v>215</v>
      </c>
      <c r="AU71" s="26"/>
      <c r="AV71" s="27">
        <f t="shared" si="20"/>
        <v>0</v>
      </c>
    </row>
    <row r="72" spans="1:48" x14ac:dyDescent="0.25">
      <c r="A72" s="1" t="str">
        <f t="shared" si="21"/>
        <v>ACTIVE</v>
      </c>
      <c r="B72" s="2" t="s">
        <v>206</v>
      </c>
      <c r="C72" s="2" t="s">
        <v>207</v>
      </c>
      <c r="D72" s="2" t="s">
        <v>206</v>
      </c>
      <c r="E72" s="2" t="s">
        <v>208</v>
      </c>
      <c r="F72" s="2"/>
      <c r="G72" s="1" t="s">
        <v>220</v>
      </c>
      <c r="H72" s="2" t="s">
        <v>210</v>
      </c>
      <c r="I72" s="2" t="s">
        <v>10</v>
      </c>
      <c r="J72" s="1" t="s">
        <v>379</v>
      </c>
      <c r="K72" s="2" t="s">
        <v>148</v>
      </c>
      <c r="L72" s="2" t="s">
        <v>380</v>
      </c>
      <c r="M72" s="1" t="s">
        <v>381</v>
      </c>
      <c r="N72" s="1">
        <v>7248882935</v>
      </c>
      <c r="O72" s="1">
        <v>15000</v>
      </c>
      <c r="P72" s="1">
        <v>1000</v>
      </c>
      <c r="Q72" s="2">
        <f t="shared" si="11"/>
        <v>14000</v>
      </c>
      <c r="R72" s="1">
        <v>820</v>
      </c>
      <c r="S72" s="20">
        <f>T72*R72</f>
        <v>0</v>
      </c>
      <c r="T72" s="20"/>
      <c r="U72" s="1">
        <v>25</v>
      </c>
      <c r="V72" s="28">
        <v>6</v>
      </c>
      <c r="W72" s="1">
        <f t="shared" si="12"/>
        <v>19</v>
      </c>
      <c r="X72" s="1"/>
      <c r="Y72" s="21"/>
      <c r="Z72" s="1"/>
      <c r="AA72" s="1" t="s">
        <v>3</v>
      </c>
      <c r="AB72" s="2" t="s">
        <v>148</v>
      </c>
      <c r="AC72" s="21">
        <f>(T72+W72)*R72+X72-Y72</f>
        <v>15580</v>
      </c>
      <c r="AD72" s="1">
        <f>V72*R72-X72+Y72</f>
        <v>4920</v>
      </c>
      <c r="AE72" s="1">
        <f t="shared" si="13"/>
        <v>0</v>
      </c>
      <c r="AF72" s="1">
        <v>20</v>
      </c>
      <c r="AG72" s="1">
        <f t="shared" si="14"/>
        <v>0</v>
      </c>
      <c r="AH72" s="1">
        <f t="shared" si="15"/>
        <v>0</v>
      </c>
      <c r="AI72" s="1" t="str">
        <f t="shared" si="16"/>
        <v>0-30</v>
      </c>
      <c r="AJ72" s="1" t="str">
        <f t="shared" si="17"/>
        <v>NO</v>
      </c>
      <c r="AK72" s="1">
        <f t="shared" si="18"/>
        <v>15580</v>
      </c>
      <c r="AL72" s="1">
        <f>U72*R72</f>
        <v>20500</v>
      </c>
      <c r="AM72" s="1">
        <f>U72*R72-O72</f>
        <v>5500</v>
      </c>
      <c r="AN72" s="23">
        <f t="shared" si="19"/>
        <v>220</v>
      </c>
      <c r="AO72" s="24">
        <v>46211</v>
      </c>
      <c r="AP72" s="25">
        <v>46220</v>
      </c>
      <c r="AQ72" s="24">
        <v>46225</v>
      </c>
      <c r="AR72" s="1" t="s">
        <v>214</v>
      </c>
      <c r="AS72" s="1" t="s">
        <v>207</v>
      </c>
      <c r="AT72" s="26" t="s">
        <v>215</v>
      </c>
      <c r="AU72" s="26"/>
      <c r="AV72" s="27">
        <f t="shared" si="20"/>
        <v>0</v>
      </c>
    </row>
    <row r="73" spans="1:48" x14ac:dyDescent="0.25">
      <c r="A73" s="1" t="str">
        <f t="shared" si="21"/>
        <v>ACTIVE</v>
      </c>
      <c r="B73" s="2" t="s">
        <v>206</v>
      </c>
      <c r="C73" s="2" t="s">
        <v>207</v>
      </c>
      <c r="D73" s="2" t="s">
        <v>206</v>
      </c>
      <c r="E73" s="2" t="s">
        <v>208</v>
      </c>
      <c r="F73" s="2"/>
      <c r="G73" s="1" t="s">
        <v>220</v>
      </c>
      <c r="H73" s="2" t="s">
        <v>210</v>
      </c>
      <c r="I73" s="2" t="s">
        <v>10</v>
      </c>
      <c r="J73" s="1" t="s">
        <v>382</v>
      </c>
      <c r="K73" s="2" t="s">
        <v>150</v>
      </c>
      <c r="L73" s="2" t="s">
        <v>383</v>
      </c>
      <c r="M73" s="1" t="s">
        <v>384</v>
      </c>
      <c r="N73" s="1">
        <v>8439961770</v>
      </c>
      <c r="O73" s="1">
        <v>15000</v>
      </c>
      <c r="P73" s="1">
        <v>1000</v>
      </c>
      <c r="Q73" s="2">
        <f t="shared" si="11"/>
        <v>14000</v>
      </c>
      <c r="R73" s="1">
        <v>820</v>
      </c>
      <c r="S73" s="20">
        <f>T73*R73</f>
        <v>0</v>
      </c>
      <c r="T73" s="20"/>
      <c r="U73" s="1">
        <v>25</v>
      </c>
      <c r="V73" s="28">
        <v>6</v>
      </c>
      <c r="W73" s="1">
        <f t="shared" si="12"/>
        <v>19</v>
      </c>
      <c r="X73" s="1"/>
      <c r="Y73" s="21"/>
      <c r="Z73" s="1"/>
      <c r="AA73" s="1" t="s">
        <v>3</v>
      </c>
      <c r="AB73" s="2" t="s">
        <v>150</v>
      </c>
      <c r="AC73" s="21">
        <f>(T73+W73)*R73+X73-Y73</f>
        <v>15580</v>
      </c>
      <c r="AD73" s="1">
        <f>V73*R73-X73+Y73</f>
        <v>4920</v>
      </c>
      <c r="AE73" s="1">
        <f t="shared" si="13"/>
        <v>0</v>
      </c>
      <c r="AF73" s="1">
        <v>20</v>
      </c>
      <c r="AG73" s="1">
        <f t="shared" si="14"/>
        <v>0</v>
      </c>
      <c r="AH73" s="1">
        <f t="shared" si="15"/>
        <v>0</v>
      </c>
      <c r="AI73" s="1" t="str">
        <f t="shared" si="16"/>
        <v>0-30</v>
      </c>
      <c r="AJ73" s="1" t="str">
        <f t="shared" si="17"/>
        <v>NO</v>
      </c>
      <c r="AK73" s="1">
        <f t="shared" si="18"/>
        <v>15580</v>
      </c>
      <c r="AL73" s="1">
        <f>U73*R73</f>
        <v>20500</v>
      </c>
      <c r="AM73" s="1">
        <f>U73*R73-O73</f>
        <v>5500</v>
      </c>
      <c r="AN73" s="23">
        <f t="shared" si="19"/>
        <v>220</v>
      </c>
      <c r="AO73" s="24">
        <v>46211</v>
      </c>
      <c r="AP73" s="25">
        <v>46220</v>
      </c>
      <c r="AQ73" s="24">
        <v>46225</v>
      </c>
      <c r="AR73" s="1" t="s">
        <v>214</v>
      </c>
      <c r="AS73" s="1" t="s">
        <v>207</v>
      </c>
      <c r="AT73" s="26" t="s">
        <v>215</v>
      </c>
      <c r="AU73" s="26"/>
      <c r="AV73" s="27">
        <f t="shared" si="20"/>
        <v>0</v>
      </c>
    </row>
    <row r="74" spans="1:48" x14ac:dyDescent="0.25">
      <c r="A74" s="1" t="str">
        <f t="shared" si="21"/>
        <v>ACTIVE</v>
      </c>
      <c r="B74" s="2" t="s">
        <v>206</v>
      </c>
      <c r="C74" s="2" t="s">
        <v>207</v>
      </c>
      <c r="D74" s="2" t="s">
        <v>206</v>
      </c>
      <c r="E74" s="2" t="s">
        <v>208</v>
      </c>
      <c r="F74" s="2">
        <v>3766</v>
      </c>
      <c r="G74" s="1" t="s">
        <v>220</v>
      </c>
      <c r="H74" s="2" t="s">
        <v>210</v>
      </c>
      <c r="I74" s="2" t="s">
        <v>10</v>
      </c>
      <c r="J74" s="1" t="s">
        <v>349</v>
      </c>
      <c r="K74" s="2" t="s">
        <v>151</v>
      </c>
      <c r="L74" s="2" t="s">
        <v>385</v>
      </c>
      <c r="M74" s="1" t="s">
        <v>386</v>
      </c>
      <c r="N74" s="1">
        <v>7300545391</v>
      </c>
      <c r="O74" s="1">
        <v>15000</v>
      </c>
      <c r="P74" s="1">
        <v>1000</v>
      </c>
      <c r="Q74" s="2">
        <f t="shared" si="11"/>
        <v>14000</v>
      </c>
      <c r="R74" s="1">
        <v>820</v>
      </c>
      <c r="S74" s="20">
        <f>T74*R74</f>
        <v>0</v>
      </c>
      <c r="T74" s="20"/>
      <c r="U74" s="1">
        <v>25</v>
      </c>
      <c r="V74" s="28">
        <v>5</v>
      </c>
      <c r="W74" s="1">
        <f t="shared" si="12"/>
        <v>20</v>
      </c>
      <c r="X74" s="1"/>
      <c r="Y74" s="21"/>
      <c r="Z74" s="1"/>
      <c r="AA74" s="1" t="s">
        <v>3</v>
      </c>
      <c r="AB74" s="2" t="s">
        <v>151</v>
      </c>
      <c r="AC74" s="21">
        <f>(T74+W74)*R74+X74-Y74</f>
        <v>16400</v>
      </c>
      <c r="AD74" s="1">
        <f>V74*R74-X74+Y74</f>
        <v>4100</v>
      </c>
      <c r="AE74" s="1">
        <f t="shared" si="13"/>
        <v>0</v>
      </c>
      <c r="AF74" s="1">
        <v>20</v>
      </c>
      <c r="AG74" s="1">
        <f t="shared" si="14"/>
        <v>0</v>
      </c>
      <c r="AH74" s="1">
        <f t="shared" si="15"/>
        <v>0</v>
      </c>
      <c r="AI74" s="1" t="str">
        <f t="shared" si="16"/>
        <v>0-30</v>
      </c>
      <c r="AJ74" s="1" t="str">
        <f t="shared" si="17"/>
        <v>NO</v>
      </c>
      <c r="AK74" s="1">
        <f t="shared" si="18"/>
        <v>16400</v>
      </c>
      <c r="AL74" s="1">
        <f>U74*R74</f>
        <v>20500</v>
      </c>
      <c r="AM74" s="1">
        <f>U74*R74-O74</f>
        <v>5500</v>
      </c>
      <c r="AN74" s="23">
        <f t="shared" si="19"/>
        <v>220</v>
      </c>
      <c r="AO74" s="24">
        <v>46211</v>
      </c>
      <c r="AP74" s="25">
        <v>46221</v>
      </c>
      <c r="AQ74" s="24">
        <v>46232</v>
      </c>
      <c r="AR74" s="1" t="s">
        <v>214</v>
      </c>
      <c r="AS74" s="1" t="s">
        <v>207</v>
      </c>
      <c r="AT74" s="26" t="s">
        <v>215</v>
      </c>
      <c r="AU74" s="26"/>
      <c r="AV74" s="27">
        <f t="shared" si="20"/>
        <v>0</v>
      </c>
    </row>
    <row r="75" spans="1:48" x14ac:dyDescent="0.25">
      <c r="A75" s="1" t="str">
        <f t="shared" si="21"/>
        <v>ACTIVE</v>
      </c>
      <c r="B75" s="2" t="s">
        <v>206</v>
      </c>
      <c r="C75" s="2" t="s">
        <v>207</v>
      </c>
      <c r="D75" s="2" t="s">
        <v>206</v>
      </c>
      <c r="E75" s="2" t="s">
        <v>208</v>
      </c>
      <c r="F75" s="29">
        <v>469</v>
      </c>
      <c r="G75" s="30" t="s">
        <v>220</v>
      </c>
      <c r="H75" s="2" t="s">
        <v>210</v>
      </c>
      <c r="I75" s="2" t="s">
        <v>10</v>
      </c>
      <c r="J75" s="1" t="s">
        <v>387</v>
      </c>
      <c r="K75" s="2" t="s">
        <v>152</v>
      </c>
      <c r="L75" s="2" t="s">
        <v>388</v>
      </c>
      <c r="M75" s="1" t="s">
        <v>389</v>
      </c>
      <c r="N75" s="1">
        <v>9458166291</v>
      </c>
      <c r="O75" s="1">
        <v>15000</v>
      </c>
      <c r="P75" s="1">
        <v>1000</v>
      </c>
      <c r="Q75" s="2">
        <f t="shared" si="11"/>
        <v>14000</v>
      </c>
      <c r="R75" s="1">
        <v>820</v>
      </c>
      <c r="S75" s="20">
        <f>T75*R75</f>
        <v>0</v>
      </c>
      <c r="T75" s="20"/>
      <c r="U75" s="1">
        <v>25</v>
      </c>
      <c r="V75" s="28">
        <v>5</v>
      </c>
      <c r="W75" s="1">
        <f t="shared" si="12"/>
        <v>20</v>
      </c>
      <c r="X75" s="1"/>
      <c r="Y75" s="21"/>
      <c r="Z75" s="22"/>
      <c r="AA75" s="1" t="s">
        <v>3</v>
      </c>
      <c r="AB75" s="2" t="s">
        <v>152</v>
      </c>
      <c r="AC75" s="21">
        <f>(T75+W75)*R75+X75-Y75</f>
        <v>16400</v>
      </c>
      <c r="AD75" s="1">
        <f>V75*R75-X75+Y75</f>
        <v>4100</v>
      </c>
      <c r="AE75" s="1">
        <f t="shared" si="13"/>
        <v>0</v>
      </c>
      <c r="AF75" s="1">
        <v>20</v>
      </c>
      <c r="AG75" s="1">
        <f t="shared" si="14"/>
        <v>0</v>
      </c>
      <c r="AH75" s="1">
        <f t="shared" si="15"/>
        <v>0</v>
      </c>
      <c r="AI75" s="1" t="str">
        <f t="shared" si="16"/>
        <v>0-30</v>
      </c>
      <c r="AJ75" s="1" t="str">
        <f t="shared" si="17"/>
        <v>NO</v>
      </c>
      <c r="AK75" s="1">
        <f t="shared" si="18"/>
        <v>16400</v>
      </c>
      <c r="AL75" s="1">
        <f>U75*R75</f>
        <v>20500</v>
      </c>
      <c r="AM75" s="1">
        <f>U75*R75-O75</f>
        <v>5500</v>
      </c>
      <c r="AN75" s="23">
        <f t="shared" si="19"/>
        <v>220</v>
      </c>
      <c r="AO75" s="24">
        <v>46211</v>
      </c>
      <c r="AP75" s="25">
        <v>46221</v>
      </c>
      <c r="AQ75" s="24">
        <v>46232</v>
      </c>
      <c r="AR75" s="1" t="s">
        <v>214</v>
      </c>
      <c r="AS75" s="1" t="s">
        <v>207</v>
      </c>
      <c r="AT75" s="26" t="s">
        <v>215</v>
      </c>
      <c r="AU75" s="26"/>
      <c r="AV75" s="27">
        <f t="shared" si="20"/>
        <v>0</v>
      </c>
    </row>
    <row r="76" spans="1:48" x14ac:dyDescent="0.25">
      <c r="A76" s="1" t="str">
        <f t="shared" si="21"/>
        <v>ACTIVE</v>
      </c>
      <c r="B76" s="2" t="s">
        <v>206</v>
      </c>
      <c r="C76" s="2" t="s">
        <v>207</v>
      </c>
      <c r="D76" s="2" t="s">
        <v>206</v>
      </c>
      <c r="E76" s="2" t="s">
        <v>208</v>
      </c>
      <c r="F76" s="2">
        <v>1565</v>
      </c>
      <c r="G76" s="1" t="s">
        <v>216</v>
      </c>
      <c r="H76" s="2" t="s">
        <v>210</v>
      </c>
      <c r="I76" s="2" t="s">
        <v>10</v>
      </c>
      <c r="J76" s="1" t="s">
        <v>390</v>
      </c>
      <c r="K76" s="2" t="s">
        <v>153</v>
      </c>
      <c r="L76" s="2" t="s">
        <v>102</v>
      </c>
      <c r="M76" s="1" t="s">
        <v>216</v>
      </c>
      <c r="N76" s="1">
        <v>9634260171</v>
      </c>
      <c r="O76" s="1">
        <v>15000</v>
      </c>
      <c r="P76" s="1">
        <v>1000</v>
      </c>
      <c r="Q76" s="2">
        <f t="shared" si="11"/>
        <v>14000</v>
      </c>
      <c r="R76" s="1">
        <v>820</v>
      </c>
      <c r="S76" s="20">
        <f>T76*R76</f>
        <v>0</v>
      </c>
      <c r="T76" s="20"/>
      <c r="U76" s="1">
        <v>25</v>
      </c>
      <c r="V76" s="28">
        <v>4</v>
      </c>
      <c r="W76" s="1">
        <f t="shared" si="12"/>
        <v>21</v>
      </c>
      <c r="X76" s="1"/>
      <c r="Y76" s="21"/>
      <c r="Z76" s="1"/>
      <c r="AA76" s="1" t="s">
        <v>7</v>
      </c>
      <c r="AB76" s="2" t="s">
        <v>153</v>
      </c>
      <c r="AC76" s="21">
        <f>(T76+W76)*R76+X76-Y76</f>
        <v>17220</v>
      </c>
      <c r="AD76" s="1">
        <f>V76*R76-X76+Y76</f>
        <v>3280</v>
      </c>
      <c r="AE76" s="1">
        <f t="shared" si="13"/>
        <v>0</v>
      </c>
      <c r="AF76" s="1">
        <v>20</v>
      </c>
      <c r="AG76" s="1">
        <f t="shared" si="14"/>
        <v>0</v>
      </c>
      <c r="AH76" s="1">
        <f t="shared" si="15"/>
        <v>0</v>
      </c>
      <c r="AI76" s="1" t="str">
        <f t="shared" si="16"/>
        <v>0-30</v>
      </c>
      <c r="AJ76" s="1" t="str">
        <f t="shared" si="17"/>
        <v>NO</v>
      </c>
      <c r="AK76" s="1">
        <f t="shared" si="18"/>
        <v>17220</v>
      </c>
      <c r="AL76" s="1">
        <f>U76*R76</f>
        <v>20500</v>
      </c>
      <c r="AM76" s="1">
        <f>U76*R76-O76</f>
        <v>5500</v>
      </c>
      <c r="AN76" s="23">
        <f t="shared" si="19"/>
        <v>220</v>
      </c>
      <c r="AO76" s="24">
        <v>46211</v>
      </c>
      <c r="AP76" s="25">
        <v>46221</v>
      </c>
      <c r="AQ76" s="24">
        <v>46233</v>
      </c>
      <c r="AR76" s="1" t="s">
        <v>214</v>
      </c>
      <c r="AS76" s="1" t="s">
        <v>207</v>
      </c>
      <c r="AT76" s="26" t="s">
        <v>215</v>
      </c>
      <c r="AU76" s="26"/>
      <c r="AV76" s="27">
        <f t="shared" si="20"/>
        <v>0</v>
      </c>
    </row>
    <row r="77" spans="1:48" x14ac:dyDescent="0.25">
      <c r="A77" s="1" t="str">
        <f t="shared" si="21"/>
        <v>ACTIVE</v>
      </c>
      <c r="B77" s="2" t="s">
        <v>206</v>
      </c>
      <c r="C77" s="2" t="s">
        <v>207</v>
      </c>
      <c r="D77" s="2" t="s">
        <v>206</v>
      </c>
      <c r="E77" s="2" t="s">
        <v>208</v>
      </c>
      <c r="F77" s="2">
        <v>6842</v>
      </c>
      <c r="G77" s="1" t="s">
        <v>220</v>
      </c>
      <c r="H77" s="2" t="s">
        <v>210</v>
      </c>
      <c r="I77" s="2" t="s">
        <v>10</v>
      </c>
      <c r="J77" s="1" t="s">
        <v>391</v>
      </c>
      <c r="K77" s="2" t="s">
        <v>155</v>
      </c>
      <c r="L77" s="2" t="s">
        <v>140</v>
      </c>
      <c r="M77" s="1" t="s">
        <v>392</v>
      </c>
      <c r="N77" s="1">
        <v>9837735585</v>
      </c>
      <c r="O77" s="1">
        <v>15000</v>
      </c>
      <c r="P77" s="1">
        <v>1000</v>
      </c>
      <c r="Q77" s="2">
        <f t="shared" si="11"/>
        <v>14000</v>
      </c>
      <c r="R77" s="1">
        <v>820</v>
      </c>
      <c r="S77" s="20">
        <f>T77*R77</f>
        <v>0</v>
      </c>
      <c r="T77" s="20"/>
      <c r="U77" s="1">
        <v>25</v>
      </c>
      <c r="V77" s="28">
        <v>5</v>
      </c>
      <c r="W77" s="1">
        <f t="shared" si="12"/>
        <v>20</v>
      </c>
      <c r="X77" s="1"/>
      <c r="Y77" s="21"/>
      <c r="Z77" s="22"/>
      <c r="AA77" s="1" t="s">
        <v>6</v>
      </c>
      <c r="AB77" s="2" t="s">
        <v>155</v>
      </c>
      <c r="AC77" s="21">
        <f>(T77+W77)*R77+X77-Y77</f>
        <v>16400</v>
      </c>
      <c r="AD77" s="1">
        <f>V77*R77-X77+Y77</f>
        <v>4100</v>
      </c>
      <c r="AE77" s="1">
        <f t="shared" si="13"/>
        <v>0</v>
      </c>
      <c r="AF77" s="1">
        <v>20</v>
      </c>
      <c r="AG77" s="1">
        <f t="shared" si="14"/>
        <v>0</v>
      </c>
      <c r="AH77" s="1">
        <f t="shared" si="15"/>
        <v>0</v>
      </c>
      <c r="AI77" s="1" t="str">
        <f t="shared" si="16"/>
        <v>0-30</v>
      </c>
      <c r="AJ77" s="1" t="str">
        <f t="shared" si="17"/>
        <v>NO</v>
      </c>
      <c r="AK77" s="1">
        <f t="shared" si="18"/>
        <v>16400</v>
      </c>
      <c r="AL77" s="1">
        <f>U77*R77</f>
        <v>20500</v>
      </c>
      <c r="AM77" s="1">
        <f>U77*R77-O77</f>
        <v>5500</v>
      </c>
      <c r="AN77" s="23">
        <f t="shared" si="19"/>
        <v>220</v>
      </c>
      <c r="AO77" s="24">
        <v>46219</v>
      </c>
      <c r="AP77" s="25">
        <v>46221</v>
      </c>
      <c r="AQ77" s="24">
        <v>46230</v>
      </c>
      <c r="AR77" s="1" t="s">
        <v>214</v>
      </c>
      <c r="AS77" s="1" t="s">
        <v>207</v>
      </c>
      <c r="AT77" s="26" t="s">
        <v>215</v>
      </c>
      <c r="AU77" s="26"/>
      <c r="AV77" s="27">
        <f t="shared" si="20"/>
        <v>0</v>
      </c>
    </row>
    <row r="78" spans="1:48" x14ac:dyDescent="0.25">
      <c r="A78" s="1" t="str">
        <f t="shared" si="21"/>
        <v>ACTIVE</v>
      </c>
      <c r="B78" s="2" t="s">
        <v>206</v>
      </c>
      <c r="C78" s="2" t="s">
        <v>207</v>
      </c>
      <c r="D78" s="2" t="s">
        <v>206</v>
      </c>
      <c r="E78" s="2" t="s">
        <v>208</v>
      </c>
      <c r="F78" s="2">
        <v>1658</v>
      </c>
      <c r="G78" s="1" t="s">
        <v>220</v>
      </c>
      <c r="H78" s="2" t="s">
        <v>210</v>
      </c>
      <c r="I78" s="2" t="s">
        <v>10</v>
      </c>
      <c r="J78" s="1" t="s">
        <v>393</v>
      </c>
      <c r="K78" s="2" t="s">
        <v>157</v>
      </c>
      <c r="L78" s="2" t="s">
        <v>394</v>
      </c>
      <c r="M78" s="1" t="s">
        <v>129</v>
      </c>
      <c r="N78" s="1">
        <v>8535980310</v>
      </c>
      <c r="O78" s="1">
        <v>15000</v>
      </c>
      <c r="P78" s="1">
        <v>1000</v>
      </c>
      <c r="Q78" s="2">
        <f t="shared" si="11"/>
        <v>14000</v>
      </c>
      <c r="R78" s="1">
        <v>820</v>
      </c>
      <c r="S78" s="20">
        <f>T78*R78</f>
        <v>0</v>
      </c>
      <c r="T78" s="20"/>
      <c r="U78" s="1">
        <v>25</v>
      </c>
      <c r="V78" s="28">
        <v>5</v>
      </c>
      <c r="W78" s="1">
        <f t="shared" si="12"/>
        <v>20</v>
      </c>
      <c r="X78" s="1"/>
      <c r="Y78" s="21"/>
      <c r="Z78" s="1"/>
      <c r="AA78" s="1" t="s">
        <v>4</v>
      </c>
      <c r="AB78" s="2" t="s">
        <v>157</v>
      </c>
      <c r="AC78" s="21">
        <f>(T78+W78)*R78+X78-Y78</f>
        <v>16400</v>
      </c>
      <c r="AD78" s="1">
        <f>V78*R78-X78+Y78</f>
        <v>4100</v>
      </c>
      <c r="AE78" s="1">
        <f t="shared" si="13"/>
        <v>0</v>
      </c>
      <c r="AF78" s="1">
        <v>20</v>
      </c>
      <c r="AG78" s="1">
        <f t="shared" si="14"/>
        <v>0</v>
      </c>
      <c r="AH78" s="1">
        <f t="shared" si="15"/>
        <v>0</v>
      </c>
      <c r="AI78" s="1" t="str">
        <f t="shared" si="16"/>
        <v>0-30</v>
      </c>
      <c r="AJ78" s="1" t="str">
        <f t="shared" si="17"/>
        <v>NO</v>
      </c>
      <c r="AK78" s="1">
        <f t="shared" si="18"/>
        <v>16400</v>
      </c>
      <c r="AL78" s="1">
        <f>U78*R78</f>
        <v>20500</v>
      </c>
      <c r="AM78" s="1">
        <f>U78*R78-O78</f>
        <v>5500</v>
      </c>
      <c r="AN78" s="23">
        <f t="shared" si="19"/>
        <v>220</v>
      </c>
      <c r="AO78" s="24">
        <v>46219</v>
      </c>
      <c r="AP78" s="25">
        <v>46221</v>
      </c>
      <c r="AQ78" s="24">
        <v>46231</v>
      </c>
      <c r="AR78" s="1" t="s">
        <v>214</v>
      </c>
      <c r="AS78" s="1" t="s">
        <v>207</v>
      </c>
      <c r="AT78" s="26" t="s">
        <v>215</v>
      </c>
      <c r="AU78" s="26"/>
      <c r="AV78" s="27">
        <f t="shared" si="20"/>
        <v>0</v>
      </c>
    </row>
    <row r="79" spans="1:48" x14ac:dyDescent="0.25">
      <c r="A79" s="1" t="str">
        <f t="shared" si="21"/>
        <v>ACTIVE</v>
      </c>
      <c r="B79" s="2" t="s">
        <v>206</v>
      </c>
      <c r="C79" s="2" t="s">
        <v>207</v>
      </c>
      <c r="D79" s="2" t="s">
        <v>206</v>
      </c>
      <c r="E79" s="2" t="s">
        <v>208</v>
      </c>
      <c r="F79" s="2">
        <v>8142</v>
      </c>
      <c r="G79" s="1" t="s">
        <v>216</v>
      </c>
      <c r="H79" s="2" t="s">
        <v>210</v>
      </c>
      <c r="I79" s="2" t="s">
        <v>10</v>
      </c>
      <c r="J79" s="1" t="s">
        <v>395</v>
      </c>
      <c r="K79" s="2" t="s">
        <v>158</v>
      </c>
      <c r="L79" s="2" t="s">
        <v>396</v>
      </c>
      <c r="M79" s="1" t="s">
        <v>397</v>
      </c>
      <c r="N79" s="1">
        <v>7417742632</v>
      </c>
      <c r="O79" s="1">
        <v>15000</v>
      </c>
      <c r="P79" s="1">
        <v>1000</v>
      </c>
      <c r="Q79" s="2">
        <f t="shared" si="11"/>
        <v>14000</v>
      </c>
      <c r="R79" s="1">
        <v>820</v>
      </c>
      <c r="S79" s="20">
        <f>T79*R79</f>
        <v>0</v>
      </c>
      <c r="T79" s="20"/>
      <c r="U79" s="1">
        <v>25</v>
      </c>
      <c r="V79" s="28">
        <v>5</v>
      </c>
      <c r="W79" s="1">
        <f t="shared" si="12"/>
        <v>20</v>
      </c>
      <c r="X79" s="1"/>
      <c r="Y79" s="21">
        <v>820</v>
      </c>
      <c r="Z79" s="22">
        <v>46259</v>
      </c>
      <c r="AA79" s="1" t="s">
        <v>4</v>
      </c>
      <c r="AB79" s="2" t="s">
        <v>158</v>
      </c>
      <c r="AC79" s="21">
        <f>(T79+W79)*R79+X79-Y79</f>
        <v>15580</v>
      </c>
      <c r="AD79" s="1">
        <f>V79*R79-X79+Y79</f>
        <v>4920</v>
      </c>
      <c r="AE79" s="1">
        <f t="shared" si="13"/>
        <v>0</v>
      </c>
      <c r="AF79" s="1">
        <v>20</v>
      </c>
      <c r="AG79" s="1">
        <f t="shared" si="14"/>
        <v>0</v>
      </c>
      <c r="AH79" s="1">
        <f t="shared" si="15"/>
        <v>0</v>
      </c>
      <c r="AI79" s="1" t="str">
        <f t="shared" si="16"/>
        <v>0-30</v>
      </c>
      <c r="AJ79" s="1" t="str">
        <f t="shared" si="17"/>
        <v>NO</v>
      </c>
      <c r="AK79" s="1">
        <f t="shared" si="18"/>
        <v>15580</v>
      </c>
      <c r="AL79" s="1">
        <f>U79*R79</f>
        <v>20500</v>
      </c>
      <c r="AM79" s="1">
        <f>U79*R79-O79</f>
        <v>5500</v>
      </c>
      <c r="AN79" s="23">
        <f t="shared" si="19"/>
        <v>220</v>
      </c>
      <c r="AO79" s="24">
        <v>46219</v>
      </c>
      <c r="AP79" s="25">
        <v>46221</v>
      </c>
      <c r="AQ79" s="24">
        <v>46231</v>
      </c>
      <c r="AR79" s="1" t="s">
        <v>214</v>
      </c>
      <c r="AS79" s="1" t="s">
        <v>207</v>
      </c>
      <c r="AT79" s="26" t="s">
        <v>215</v>
      </c>
      <c r="AU79" s="26"/>
      <c r="AV79" s="27">
        <f t="shared" si="20"/>
        <v>0</v>
      </c>
    </row>
    <row r="80" spans="1:48" x14ac:dyDescent="0.25">
      <c r="A80" s="1" t="str">
        <f t="shared" si="21"/>
        <v>ACTIVE</v>
      </c>
      <c r="B80" s="2" t="s">
        <v>206</v>
      </c>
      <c r="C80" s="2" t="s">
        <v>207</v>
      </c>
      <c r="D80" s="2" t="s">
        <v>206</v>
      </c>
      <c r="E80" s="2" t="s">
        <v>208</v>
      </c>
      <c r="F80" s="2">
        <v>6413</v>
      </c>
      <c r="G80" s="1" t="s">
        <v>216</v>
      </c>
      <c r="H80" s="2" t="s">
        <v>210</v>
      </c>
      <c r="I80" s="2" t="s">
        <v>10</v>
      </c>
      <c r="J80" s="1" t="s">
        <v>390</v>
      </c>
      <c r="K80" s="2" t="s">
        <v>160</v>
      </c>
      <c r="L80" s="2" t="s">
        <v>246</v>
      </c>
      <c r="M80" s="1" t="s">
        <v>114</v>
      </c>
      <c r="N80" s="1">
        <v>9690789430</v>
      </c>
      <c r="O80" s="1">
        <v>15000</v>
      </c>
      <c r="P80" s="1">
        <v>1000</v>
      </c>
      <c r="Q80" s="2">
        <f t="shared" si="11"/>
        <v>14000</v>
      </c>
      <c r="R80" s="1">
        <v>820</v>
      </c>
      <c r="S80" s="20">
        <f>T80*R80</f>
        <v>0</v>
      </c>
      <c r="T80" s="20"/>
      <c r="U80" s="1">
        <v>25</v>
      </c>
      <c r="V80" s="28">
        <v>5</v>
      </c>
      <c r="W80" s="1">
        <f t="shared" si="12"/>
        <v>20</v>
      </c>
      <c r="X80" s="1"/>
      <c r="Y80" s="21">
        <v>820</v>
      </c>
      <c r="Z80" s="22">
        <v>46259</v>
      </c>
      <c r="AA80" s="1" t="s">
        <v>4</v>
      </c>
      <c r="AB80" s="2" t="s">
        <v>160</v>
      </c>
      <c r="AC80" s="21">
        <f>(T80+W80)*R80+X80-Y80</f>
        <v>15580</v>
      </c>
      <c r="AD80" s="1">
        <f>V80*R80-X80+Y80</f>
        <v>4920</v>
      </c>
      <c r="AE80" s="1">
        <f t="shared" si="13"/>
        <v>0</v>
      </c>
      <c r="AF80" s="1">
        <v>20</v>
      </c>
      <c r="AG80" s="1">
        <f t="shared" si="14"/>
        <v>0</v>
      </c>
      <c r="AH80" s="1">
        <f t="shared" si="15"/>
        <v>0</v>
      </c>
      <c r="AI80" s="1" t="str">
        <f t="shared" si="16"/>
        <v>0-30</v>
      </c>
      <c r="AJ80" s="1" t="str">
        <f t="shared" si="17"/>
        <v>NO</v>
      </c>
      <c r="AK80" s="1">
        <f t="shared" si="18"/>
        <v>15580</v>
      </c>
      <c r="AL80" s="1">
        <f>U80*R80</f>
        <v>20500</v>
      </c>
      <c r="AM80" s="1">
        <f>U80*R80-O80</f>
        <v>5500</v>
      </c>
      <c r="AN80" s="23">
        <f t="shared" si="19"/>
        <v>220</v>
      </c>
      <c r="AO80" s="24">
        <v>46219</v>
      </c>
      <c r="AP80" s="25">
        <v>46221</v>
      </c>
      <c r="AQ80" s="24">
        <v>46231</v>
      </c>
      <c r="AR80" s="1" t="s">
        <v>214</v>
      </c>
      <c r="AS80" s="1" t="s">
        <v>207</v>
      </c>
      <c r="AT80" s="26" t="s">
        <v>215</v>
      </c>
      <c r="AU80" s="26"/>
      <c r="AV80" s="27">
        <f t="shared" si="20"/>
        <v>0</v>
      </c>
    </row>
    <row r="81" spans="1:48" x14ac:dyDescent="0.25">
      <c r="A81" s="1" t="str">
        <f t="shared" si="21"/>
        <v>ACTIVE</v>
      </c>
      <c r="B81" s="2" t="s">
        <v>206</v>
      </c>
      <c r="C81" s="2" t="s">
        <v>207</v>
      </c>
      <c r="D81" s="2" t="s">
        <v>206</v>
      </c>
      <c r="E81" s="2" t="s">
        <v>208</v>
      </c>
      <c r="F81" s="2">
        <v>1192</v>
      </c>
      <c r="G81" s="1" t="s">
        <v>216</v>
      </c>
      <c r="H81" s="2" t="s">
        <v>210</v>
      </c>
      <c r="I81" s="2" t="s">
        <v>10</v>
      </c>
      <c r="J81" s="1" t="s">
        <v>344</v>
      </c>
      <c r="K81" s="2" t="s">
        <v>163</v>
      </c>
      <c r="L81" s="2" t="s">
        <v>173</v>
      </c>
      <c r="M81" s="1" t="s">
        <v>398</v>
      </c>
      <c r="N81" s="1">
        <v>9639967508</v>
      </c>
      <c r="O81" s="1">
        <v>15000</v>
      </c>
      <c r="P81" s="1">
        <v>1000</v>
      </c>
      <c r="Q81" s="2">
        <f t="shared" si="11"/>
        <v>14000</v>
      </c>
      <c r="R81" s="1">
        <v>820</v>
      </c>
      <c r="S81" s="20">
        <f>T81*R81</f>
        <v>0</v>
      </c>
      <c r="T81" s="20"/>
      <c r="U81" s="1">
        <v>25</v>
      </c>
      <c r="V81" s="28">
        <v>5</v>
      </c>
      <c r="W81" s="1">
        <f t="shared" si="12"/>
        <v>20</v>
      </c>
      <c r="X81" s="1"/>
      <c r="Y81" s="21"/>
      <c r="Z81" s="1"/>
      <c r="AA81" s="1" t="s">
        <v>3</v>
      </c>
      <c r="AB81" s="2" t="s">
        <v>163</v>
      </c>
      <c r="AC81" s="21">
        <f>(T81+W81)*R81+X81-Y81</f>
        <v>16400</v>
      </c>
      <c r="AD81" s="1">
        <f>V81*R81-X81+Y81</f>
        <v>4100</v>
      </c>
      <c r="AE81" s="1">
        <f t="shared" si="13"/>
        <v>0</v>
      </c>
      <c r="AF81" s="1">
        <v>20</v>
      </c>
      <c r="AG81" s="1">
        <f t="shared" si="14"/>
        <v>0</v>
      </c>
      <c r="AH81" s="1">
        <f t="shared" si="15"/>
        <v>0</v>
      </c>
      <c r="AI81" s="1" t="str">
        <f t="shared" si="16"/>
        <v>0-30</v>
      </c>
      <c r="AJ81" s="1" t="str">
        <f t="shared" si="17"/>
        <v>NO</v>
      </c>
      <c r="AK81" s="1">
        <f t="shared" si="18"/>
        <v>16400</v>
      </c>
      <c r="AL81" s="1">
        <f>U81*R81</f>
        <v>20500</v>
      </c>
      <c r="AM81" s="1">
        <f>U81*R81-O81</f>
        <v>5500</v>
      </c>
      <c r="AN81" s="23">
        <f t="shared" si="19"/>
        <v>220</v>
      </c>
      <c r="AO81" s="24">
        <v>46211</v>
      </c>
      <c r="AP81" s="25">
        <v>46221</v>
      </c>
      <c r="AQ81" s="24">
        <v>46232</v>
      </c>
      <c r="AR81" s="1" t="s">
        <v>214</v>
      </c>
      <c r="AS81" s="1" t="s">
        <v>207</v>
      </c>
      <c r="AT81" s="26" t="s">
        <v>215</v>
      </c>
      <c r="AU81" s="26"/>
      <c r="AV81" s="27">
        <f t="shared" si="20"/>
        <v>0</v>
      </c>
    </row>
    <row r="82" spans="1:48" x14ac:dyDescent="0.25">
      <c r="A82" s="1" t="str">
        <f t="shared" si="21"/>
        <v>ACTIVE</v>
      </c>
      <c r="B82" s="2" t="s">
        <v>206</v>
      </c>
      <c r="C82" s="2" t="s">
        <v>207</v>
      </c>
      <c r="D82" s="2" t="s">
        <v>206</v>
      </c>
      <c r="E82" s="2" t="s">
        <v>208</v>
      </c>
      <c r="F82" s="2">
        <v>6212</v>
      </c>
      <c r="G82" s="1" t="s">
        <v>220</v>
      </c>
      <c r="H82" s="2" t="s">
        <v>210</v>
      </c>
      <c r="I82" s="2" t="s">
        <v>10</v>
      </c>
      <c r="J82" s="1" t="s">
        <v>399</v>
      </c>
      <c r="K82" s="2" t="s">
        <v>164</v>
      </c>
      <c r="L82" s="2" t="s">
        <v>274</v>
      </c>
      <c r="M82" s="1" t="s">
        <v>400</v>
      </c>
      <c r="N82" s="1">
        <v>8273591907</v>
      </c>
      <c r="O82" s="1">
        <v>15000</v>
      </c>
      <c r="P82" s="1">
        <v>1000</v>
      </c>
      <c r="Q82" s="2">
        <f t="shared" si="11"/>
        <v>14000</v>
      </c>
      <c r="R82" s="1">
        <v>820</v>
      </c>
      <c r="S82" s="20">
        <f>T82*R82</f>
        <v>0</v>
      </c>
      <c r="T82" s="20"/>
      <c r="U82" s="1">
        <v>25</v>
      </c>
      <c r="V82" s="28">
        <v>5</v>
      </c>
      <c r="W82" s="1">
        <f t="shared" si="12"/>
        <v>20</v>
      </c>
      <c r="X82" s="1"/>
      <c r="Y82" s="21"/>
      <c r="Z82" s="1"/>
      <c r="AA82" s="1" t="s">
        <v>4</v>
      </c>
      <c r="AB82" s="2" t="s">
        <v>164</v>
      </c>
      <c r="AC82" s="21">
        <f>(T82+W82)*R82+X82-Y82</f>
        <v>16400</v>
      </c>
      <c r="AD82" s="1">
        <f>V82*R82-X82+Y82</f>
        <v>4100</v>
      </c>
      <c r="AE82" s="1">
        <f t="shared" si="13"/>
        <v>0</v>
      </c>
      <c r="AF82" s="1">
        <v>20</v>
      </c>
      <c r="AG82" s="1">
        <f t="shared" si="14"/>
        <v>0</v>
      </c>
      <c r="AH82" s="1">
        <f t="shared" si="15"/>
        <v>0</v>
      </c>
      <c r="AI82" s="1" t="str">
        <f t="shared" si="16"/>
        <v>0-30</v>
      </c>
      <c r="AJ82" s="1" t="str">
        <f t="shared" si="17"/>
        <v>NO</v>
      </c>
      <c r="AK82" s="1">
        <f t="shared" si="18"/>
        <v>16400</v>
      </c>
      <c r="AL82" s="1">
        <f>U82*R82</f>
        <v>20500</v>
      </c>
      <c r="AM82" s="1">
        <f>U82*R82-O82</f>
        <v>5500</v>
      </c>
      <c r="AN82" s="23">
        <f t="shared" si="19"/>
        <v>220</v>
      </c>
      <c r="AO82" s="24">
        <v>46211</v>
      </c>
      <c r="AP82" s="25">
        <v>46223</v>
      </c>
      <c r="AQ82" s="24">
        <v>46231</v>
      </c>
      <c r="AR82" s="1" t="s">
        <v>214</v>
      </c>
      <c r="AS82" s="1" t="s">
        <v>207</v>
      </c>
      <c r="AT82" s="26" t="s">
        <v>215</v>
      </c>
      <c r="AU82" s="26"/>
      <c r="AV82" s="27">
        <f t="shared" si="20"/>
        <v>0</v>
      </c>
    </row>
    <row r="83" spans="1:48" x14ac:dyDescent="0.25">
      <c r="A83" s="1" t="str">
        <f t="shared" si="21"/>
        <v>ACTIVE</v>
      </c>
      <c r="B83" s="2" t="s">
        <v>206</v>
      </c>
      <c r="C83" s="2" t="s">
        <v>207</v>
      </c>
      <c r="D83" s="2" t="s">
        <v>206</v>
      </c>
      <c r="E83" s="2" t="s">
        <v>208</v>
      </c>
      <c r="F83" s="2">
        <v>8098</v>
      </c>
      <c r="G83" s="1" t="s">
        <v>220</v>
      </c>
      <c r="H83" s="2" t="s">
        <v>210</v>
      </c>
      <c r="I83" s="2" t="s">
        <v>10</v>
      </c>
      <c r="J83" s="1" t="s">
        <v>211</v>
      </c>
      <c r="K83" s="2" t="s">
        <v>165</v>
      </c>
      <c r="L83" s="2" t="s">
        <v>401</v>
      </c>
      <c r="M83" s="1" t="s">
        <v>402</v>
      </c>
      <c r="N83" s="1">
        <v>7464832330</v>
      </c>
      <c r="O83" s="1">
        <v>15000</v>
      </c>
      <c r="P83" s="1">
        <v>1000</v>
      </c>
      <c r="Q83" s="2">
        <f t="shared" si="11"/>
        <v>14000</v>
      </c>
      <c r="R83" s="1">
        <v>820</v>
      </c>
      <c r="S83" s="20">
        <f>T83*R83</f>
        <v>0</v>
      </c>
      <c r="T83" s="20"/>
      <c r="U83" s="1">
        <v>25</v>
      </c>
      <c r="V83" s="28">
        <v>4</v>
      </c>
      <c r="W83" s="1">
        <f t="shared" si="12"/>
        <v>21</v>
      </c>
      <c r="X83" s="1"/>
      <c r="Y83" s="21"/>
      <c r="Z83" s="1"/>
      <c r="AA83" s="1" t="s">
        <v>7</v>
      </c>
      <c r="AB83" s="2" t="s">
        <v>165</v>
      </c>
      <c r="AC83" s="21">
        <f>(T83+W83)*R83+X83-Y83</f>
        <v>17220</v>
      </c>
      <c r="AD83" s="1">
        <f>V83*R83-X83+Y83</f>
        <v>3280</v>
      </c>
      <c r="AE83" s="1">
        <f t="shared" si="13"/>
        <v>0</v>
      </c>
      <c r="AF83" s="1">
        <v>20</v>
      </c>
      <c r="AG83" s="1">
        <f t="shared" si="14"/>
        <v>0</v>
      </c>
      <c r="AH83" s="1">
        <f t="shared" si="15"/>
        <v>0</v>
      </c>
      <c r="AI83" s="1" t="str">
        <f t="shared" si="16"/>
        <v>0-30</v>
      </c>
      <c r="AJ83" s="1" t="str">
        <f t="shared" si="17"/>
        <v>NO</v>
      </c>
      <c r="AK83" s="1">
        <f t="shared" si="18"/>
        <v>17220</v>
      </c>
      <c r="AL83" s="1">
        <f>U83*R83</f>
        <v>20500</v>
      </c>
      <c r="AM83" s="1">
        <f>U83*R83-O83</f>
        <v>5500</v>
      </c>
      <c r="AN83" s="23">
        <f t="shared" si="19"/>
        <v>220</v>
      </c>
      <c r="AO83" s="24">
        <v>46209</v>
      </c>
      <c r="AP83" s="25">
        <v>46223</v>
      </c>
      <c r="AQ83" s="24">
        <v>46233</v>
      </c>
      <c r="AR83" s="1" t="s">
        <v>214</v>
      </c>
      <c r="AS83" s="1" t="s">
        <v>207</v>
      </c>
      <c r="AT83" s="26" t="s">
        <v>215</v>
      </c>
      <c r="AU83" s="26"/>
      <c r="AV83" s="27">
        <f t="shared" si="20"/>
        <v>0</v>
      </c>
    </row>
    <row r="84" spans="1:48" x14ac:dyDescent="0.25">
      <c r="A84" s="1" t="str">
        <f t="shared" si="21"/>
        <v>ACTIVE</v>
      </c>
      <c r="B84" s="2" t="s">
        <v>206</v>
      </c>
      <c r="C84" s="2" t="s">
        <v>207</v>
      </c>
      <c r="D84" s="2" t="s">
        <v>206</v>
      </c>
      <c r="E84" s="2" t="s">
        <v>208</v>
      </c>
      <c r="F84" s="2">
        <v>2683</v>
      </c>
      <c r="G84" s="1" t="s">
        <v>220</v>
      </c>
      <c r="H84" s="2" t="s">
        <v>210</v>
      </c>
      <c r="I84" s="2" t="s">
        <v>10</v>
      </c>
      <c r="J84" s="1" t="s">
        <v>403</v>
      </c>
      <c r="K84" s="2" t="s">
        <v>166</v>
      </c>
      <c r="L84" s="2" t="s">
        <v>404</v>
      </c>
      <c r="M84" s="1" t="s">
        <v>290</v>
      </c>
      <c r="N84" s="1">
        <v>7818928947</v>
      </c>
      <c r="O84" s="1">
        <v>15000</v>
      </c>
      <c r="P84" s="1">
        <v>1000</v>
      </c>
      <c r="Q84" s="2">
        <f t="shared" si="11"/>
        <v>14000</v>
      </c>
      <c r="R84" s="1">
        <v>820</v>
      </c>
      <c r="S84" s="20">
        <f>T84*R84</f>
        <v>0</v>
      </c>
      <c r="T84" s="20"/>
      <c r="U84" s="1">
        <v>25</v>
      </c>
      <c r="V84" s="28">
        <v>4</v>
      </c>
      <c r="W84" s="1">
        <f t="shared" si="12"/>
        <v>21</v>
      </c>
      <c r="X84" s="1"/>
      <c r="Y84" s="21"/>
      <c r="Z84" s="1"/>
      <c r="AA84" s="1" t="s">
        <v>7</v>
      </c>
      <c r="AB84" s="2" t="s">
        <v>166</v>
      </c>
      <c r="AC84" s="21">
        <f>(T84+W84)*R84+X84-Y84</f>
        <v>17220</v>
      </c>
      <c r="AD84" s="1">
        <f>V84*R84-X84+Y84</f>
        <v>3280</v>
      </c>
      <c r="AE84" s="1">
        <f t="shared" si="13"/>
        <v>0</v>
      </c>
      <c r="AF84" s="1">
        <v>20</v>
      </c>
      <c r="AG84" s="1">
        <f t="shared" si="14"/>
        <v>0</v>
      </c>
      <c r="AH84" s="1">
        <f t="shared" si="15"/>
        <v>0</v>
      </c>
      <c r="AI84" s="1" t="str">
        <f t="shared" si="16"/>
        <v>0-30</v>
      </c>
      <c r="AJ84" s="1" t="str">
        <f t="shared" si="17"/>
        <v>NO</v>
      </c>
      <c r="AK84" s="1">
        <f t="shared" si="18"/>
        <v>17220</v>
      </c>
      <c r="AL84" s="1">
        <f>U84*R84</f>
        <v>20500</v>
      </c>
      <c r="AM84" s="1">
        <f>U84*R84-O84</f>
        <v>5500</v>
      </c>
      <c r="AN84" s="23">
        <f t="shared" si="19"/>
        <v>220</v>
      </c>
      <c r="AO84" s="24">
        <v>46219</v>
      </c>
      <c r="AP84" s="25">
        <v>46223</v>
      </c>
      <c r="AQ84" s="24">
        <v>46233</v>
      </c>
      <c r="AR84" s="1" t="s">
        <v>214</v>
      </c>
      <c r="AS84" s="1" t="s">
        <v>207</v>
      </c>
      <c r="AT84" s="26" t="s">
        <v>215</v>
      </c>
      <c r="AU84" s="26"/>
      <c r="AV84" s="27">
        <f t="shared" si="20"/>
        <v>0</v>
      </c>
    </row>
    <row r="85" spans="1:48" x14ac:dyDescent="0.25">
      <c r="A85" s="1" t="str">
        <f t="shared" si="21"/>
        <v>ACTIVE</v>
      </c>
      <c r="B85" s="2" t="s">
        <v>206</v>
      </c>
      <c r="C85" s="2" t="s">
        <v>207</v>
      </c>
      <c r="D85" s="2" t="s">
        <v>206</v>
      </c>
      <c r="E85" s="2" t="s">
        <v>208</v>
      </c>
      <c r="F85" s="2">
        <v>9872</v>
      </c>
      <c r="G85" s="1" t="s">
        <v>220</v>
      </c>
      <c r="H85" s="2" t="s">
        <v>210</v>
      </c>
      <c r="I85" s="2" t="s">
        <v>10</v>
      </c>
      <c r="J85" s="1" t="s">
        <v>373</v>
      </c>
      <c r="K85" s="2" t="s">
        <v>167</v>
      </c>
      <c r="L85" s="2" t="s">
        <v>405</v>
      </c>
      <c r="M85" s="1" t="s">
        <v>406</v>
      </c>
      <c r="N85" s="1">
        <v>6399954722</v>
      </c>
      <c r="O85" s="1">
        <v>15000</v>
      </c>
      <c r="P85" s="1">
        <v>1000</v>
      </c>
      <c r="Q85" s="2">
        <f t="shared" si="11"/>
        <v>14000</v>
      </c>
      <c r="R85" s="1">
        <v>820</v>
      </c>
      <c r="S85" s="20">
        <f>T85*R85</f>
        <v>0</v>
      </c>
      <c r="T85" s="20"/>
      <c r="U85" s="1">
        <v>25</v>
      </c>
      <c r="V85" s="28">
        <v>5</v>
      </c>
      <c r="W85" s="1">
        <f t="shared" si="12"/>
        <v>20</v>
      </c>
      <c r="X85" s="1"/>
      <c r="Y85" s="21"/>
      <c r="Z85" s="22"/>
      <c r="AA85" s="1" t="s">
        <v>3</v>
      </c>
      <c r="AB85" s="2" t="s">
        <v>167</v>
      </c>
      <c r="AC85" s="21">
        <f>(T85+W85)*R85+X85-Y85</f>
        <v>16400</v>
      </c>
      <c r="AD85" s="1">
        <f>V85*R85-X85+Y85</f>
        <v>4100</v>
      </c>
      <c r="AE85" s="1">
        <f t="shared" si="13"/>
        <v>0</v>
      </c>
      <c r="AF85" s="1">
        <v>20</v>
      </c>
      <c r="AG85" s="1">
        <f t="shared" si="14"/>
        <v>0</v>
      </c>
      <c r="AH85" s="1">
        <f t="shared" si="15"/>
        <v>0</v>
      </c>
      <c r="AI85" s="1" t="str">
        <f t="shared" si="16"/>
        <v>0-30</v>
      </c>
      <c r="AJ85" s="1" t="str">
        <f t="shared" si="17"/>
        <v>NO</v>
      </c>
      <c r="AK85" s="1">
        <f t="shared" si="18"/>
        <v>16400</v>
      </c>
      <c r="AL85" s="1">
        <f>U85*R85</f>
        <v>20500</v>
      </c>
      <c r="AM85" s="1">
        <f>U85*R85-O85</f>
        <v>5500</v>
      </c>
      <c r="AN85" s="23">
        <f t="shared" si="19"/>
        <v>220</v>
      </c>
      <c r="AO85" s="24">
        <v>46219</v>
      </c>
      <c r="AP85" s="25">
        <v>46223</v>
      </c>
      <c r="AQ85" s="24">
        <v>46232</v>
      </c>
      <c r="AR85" s="1" t="s">
        <v>214</v>
      </c>
      <c r="AS85" s="1" t="s">
        <v>207</v>
      </c>
      <c r="AT85" s="26" t="s">
        <v>215</v>
      </c>
      <c r="AU85" s="26"/>
      <c r="AV85" s="27">
        <f t="shared" si="20"/>
        <v>0</v>
      </c>
    </row>
    <row r="86" spans="1:48" x14ac:dyDescent="0.25">
      <c r="A86" s="1" t="str">
        <f t="shared" si="21"/>
        <v>ACTIVE</v>
      </c>
      <c r="B86" s="2" t="s">
        <v>206</v>
      </c>
      <c r="C86" s="2" t="s">
        <v>207</v>
      </c>
      <c r="D86" s="2" t="s">
        <v>206</v>
      </c>
      <c r="E86" s="2" t="s">
        <v>208</v>
      </c>
      <c r="F86" s="2">
        <v>7431</v>
      </c>
      <c r="G86" s="1" t="s">
        <v>220</v>
      </c>
      <c r="H86" s="2" t="s">
        <v>210</v>
      </c>
      <c r="I86" s="2" t="s">
        <v>10</v>
      </c>
      <c r="J86" s="1" t="s">
        <v>344</v>
      </c>
      <c r="K86" s="2" t="s">
        <v>168</v>
      </c>
      <c r="L86" s="2" t="s">
        <v>117</v>
      </c>
      <c r="M86" s="1" t="s">
        <v>129</v>
      </c>
      <c r="N86" s="1">
        <v>9259261932</v>
      </c>
      <c r="O86" s="1">
        <v>15000</v>
      </c>
      <c r="P86" s="1">
        <v>1000</v>
      </c>
      <c r="Q86" s="2">
        <f t="shared" si="11"/>
        <v>14000</v>
      </c>
      <c r="R86" s="1">
        <v>820</v>
      </c>
      <c r="S86" s="20">
        <f>T86*R86</f>
        <v>0</v>
      </c>
      <c r="T86" s="20"/>
      <c r="U86" s="1">
        <v>25</v>
      </c>
      <c r="V86" s="28">
        <v>4</v>
      </c>
      <c r="W86" s="1">
        <f t="shared" si="12"/>
        <v>21</v>
      </c>
      <c r="X86" s="1"/>
      <c r="Y86" s="21"/>
      <c r="Z86" s="1"/>
      <c r="AA86" s="1" t="s">
        <v>6</v>
      </c>
      <c r="AB86" s="2" t="s">
        <v>168</v>
      </c>
      <c r="AC86" s="21">
        <f>(T86+W86)*R86+X86-Y86</f>
        <v>17220</v>
      </c>
      <c r="AD86" s="1">
        <f>V86*R86-X86+Y86</f>
        <v>3280</v>
      </c>
      <c r="AE86" s="1">
        <f t="shared" si="13"/>
        <v>0</v>
      </c>
      <c r="AF86" s="1">
        <v>20</v>
      </c>
      <c r="AG86" s="1">
        <f t="shared" si="14"/>
        <v>0</v>
      </c>
      <c r="AH86" s="1">
        <f t="shared" si="15"/>
        <v>0</v>
      </c>
      <c r="AI86" s="1" t="str">
        <f t="shared" si="16"/>
        <v>0-30</v>
      </c>
      <c r="AJ86" s="1" t="str">
        <f t="shared" si="17"/>
        <v>NO</v>
      </c>
      <c r="AK86" s="1">
        <f t="shared" si="18"/>
        <v>17220</v>
      </c>
      <c r="AL86" s="1">
        <f>U86*R86</f>
        <v>20500</v>
      </c>
      <c r="AM86" s="1">
        <f>U86*R86-O86</f>
        <v>5500</v>
      </c>
      <c r="AN86" s="23">
        <f t="shared" si="19"/>
        <v>220</v>
      </c>
      <c r="AO86" s="24">
        <v>46220</v>
      </c>
      <c r="AP86" s="25">
        <v>46223</v>
      </c>
      <c r="AQ86" s="24">
        <v>46237</v>
      </c>
      <c r="AR86" s="1" t="s">
        <v>214</v>
      </c>
      <c r="AS86" s="1" t="s">
        <v>207</v>
      </c>
      <c r="AT86" s="26" t="s">
        <v>215</v>
      </c>
      <c r="AU86" s="26"/>
      <c r="AV86" s="27">
        <f t="shared" si="20"/>
        <v>0</v>
      </c>
    </row>
    <row r="87" spans="1:48" x14ac:dyDescent="0.25">
      <c r="A87" s="1" t="str">
        <f t="shared" si="21"/>
        <v>ACTIVE</v>
      </c>
      <c r="B87" s="2" t="s">
        <v>206</v>
      </c>
      <c r="C87" s="2" t="s">
        <v>207</v>
      </c>
      <c r="D87" s="2" t="s">
        <v>206</v>
      </c>
      <c r="E87" s="2" t="s">
        <v>208</v>
      </c>
      <c r="F87" s="2">
        <v>8338</v>
      </c>
      <c r="G87" s="1" t="s">
        <v>220</v>
      </c>
      <c r="H87" s="2" t="s">
        <v>210</v>
      </c>
      <c r="I87" s="2" t="s">
        <v>10</v>
      </c>
      <c r="J87" s="1" t="s">
        <v>407</v>
      </c>
      <c r="K87" s="2" t="s">
        <v>169</v>
      </c>
      <c r="L87" s="2" t="s">
        <v>408</v>
      </c>
      <c r="M87" s="1" t="s">
        <v>409</v>
      </c>
      <c r="N87" s="1">
        <v>9758797255</v>
      </c>
      <c r="O87" s="1">
        <v>15000</v>
      </c>
      <c r="P87" s="1">
        <v>1000</v>
      </c>
      <c r="Q87" s="2">
        <f t="shared" si="11"/>
        <v>14000</v>
      </c>
      <c r="R87" s="1">
        <v>820</v>
      </c>
      <c r="S87" s="20">
        <f>T87*R87</f>
        <v>0</v>
      </c>
      <c r="T87" s="20"/>
      <c r="U87" s="1">
        <v>25</v>
      </c>
      <c r="V87" s="28">
        <v>4</v>
      </c>
      <c r="W87" s="1">
        <f t="shared" si="12"/>
        <v>21</v>
      </c>
      <c r="X87" s="1"/>
      <c r="Y87" s="21"/>
      <c r="Z87" s="1"/>
      <c r="AA87" s="1" t="s">
        <v>6</v>
      </c>
      <c r="AB87" s="2" t="s">
        <v>169</v>
      </c>
      <c r="AC87" s="21">
        <f>(T87+W87)*R87+X87-Y87</f>
        <v>17220</v>
      </c>
      <c r="AD87" s="1">
        <f>V87*R87-X87+Y87</f>
        <v>3280</v>
      </c>
      <c r="AE87" s="1">
        <f t="shared" si="13"/>
        <v>0</v>
      </c>
      <c r="AF87" s="1">
        <v>20</v>
      </c>
      <c r="AG87" s="1">
        <f t="shared" si="14"/>
        <v>0</v>
      </c>
      <c r="AH87" s="1">
        <f t="shared" si="15"/>
        <v>0</v>
      </c>
      <c r="AI87" s="1" t="str">
        <f t="shared" si="16"/>
        <v>0-30</v>
      </c>
      <c r="AJ87" s="1" t="str">
        <f t="shared" si="17"/>
        <v>NO</v>
      </c>
      <c r="AK87" s="1">
        <f t="shared" si="18"/>
        <v>17220</v>
      </c>
      <c r="AL87" s="1">
        <f>U87*R87</f>
        <v>20500</v>
      </c>
      <c r="AM87" s="1">
        <f>U87*R87-O87</f>
        <v>5500</v>
      </c>
      <c r="AN87" s="23">
        <f t="shared" si="19"/>
        <v>220</v>
      </c>
      <c r="AO87" s="24">
        <v>46220</v>
      </c>
      <c r="AP87" s="25">
        <v>46223</v>
      </c>
      <c r="AQ87" s="24">
        <v>46237</v>
      </c>
      <c r="AR87" s="1" t="s">
        <v>214</v>
      </c>
      <c r="AS87" s="1" t="s">
        <v>207</v>
      </c>
      <c r="AT87" s="26" t="s">
        <v>215</v>
      </c>
      <c r="AU87" s="26"/>
      <c r="AV87" s="27">
        <f t="shared" si="20"/>
        <v>0</v>
      </c>
    </row>
    <row r="88" spans="1:48" x14ac:dyDescent="0.25">
      <c r="A88" s="1" t="str">
        <f t="shared" si="21"/>
        <v>ACTIVE</v>
      </c>
      <c r="B88" s="2" t="s">
        <v>206</v>
      </c>
      <c r="C88" s="2" t="s">
        <v>207</v>
      </c>
      <c r="D88" s="2" t="s">
        <v>206</v>
      </c>
      <c r="E88" s="2" t="s">
        <v>208</v>
      </c>
      <c r="F88" s="2">
        <v>8422</v>
      </c>
      <c r="G88" s="1" t="s">
        <v>220</v>
      </c>
      <c r="H88" s="2" t="s">
        <v>210</v>
      </c>
      <c r="I88" s="2" t="s">
        <v>10</v>
      </c>
      <c r="J88" s="1" t="s">
        <v>211</v>
      </c>
      <c r="K88" s="2" t="s">
        <v>170</v>
      </c>
      <c r="L88" s="2" t="s">
        <v>410</v>
      </c>
      <c r="M88" s="1" t="s">
        <v>411</v>
      </c>
      <c r="N88" s="1">
        <v>8126005120</v>
      </c>
      <c r="O88" s="1">
        <v>15000</v>
      </c>
      <c r="P88" s="1">
        <v>1000</v>
      </c>
      <c r="Q88" s="2">
        <f t="shared" si="11"/>
        <v>14000</v>
      </c>
      <c r="R88" s="1">
        <v>820</v>
      </c>
      <c r="S88" s="20">
        <f>T88*R88</f>
        <v>0</v>
      </c>
      <c r="T88" s="20"/>
      <c r="U88" s="1">
        <v>25</v>
      </c>
      <c r="V88" s="28">
        <v>4</v>
      </c>
      <c r="W88" s="1">
        <f t="shared" si="12"/>
        <v>21</v>
      </c>
      <c r="X88" s="1"/>
      <c r="Y88" s="21"/>
      <c r="Z88" s="22"/>
      <c r="AA88" s="1" t="s">
        <v>6</v>
      </c>
      <c r="AB88" s="2" t="s">
        <v>170</v>
      </c>
      <c r="AC88" s="21">
        <f>(T88+W88)*R88+X88-Y88</f>
        <v>17220</v>
      </c>
      <c r="AD88" s="1">
        <f>V88*R88-X88+Y88</f>
        <v>3280</v>
      </c>
      <c r="AE88" s="1">
        <f t="shared" si="13"/>
        <v>0</v>
      </c>
      <c r="AF88" s="1">
        <v>20</v>
      </c>
      <c r="AG88" s="1">
        <f t="shared" si="14"/>
        <v>0</v>
      </c>
      <c r="AH88" s="1">
        <f t="shared" si="15"/>
        <v>0</v>
      </c>
      <c r="AI88" s="1" t="str">
        <f t="shared" si="16"/>
        <v>0-30</v>
      </c>
      <c r="AJ88" s="1" t="str">
        <f t="shared" si="17"/>
        <v>NO</v>
      </c>
      <c r="AK88" s="1">
        <f t="shared" si="18"/>
        <v>17220</v>
      </c>
      <c r="AL88" s="1">
        <f>U88*R88</f>
        <v>20500</v>
      </c>
      <c r="AM88" s="1">
        <f>U88*R88-O88</f>
        <v>5500</v>
      </c>
      <c r="AN88" s="23">
        <f t="shared" si="19"/>
        <v>220</v>
      </c>
      <c r="AO88" s="24">
        <v>46220</v>
      </c>
      <c r="AP88" s="25">
        <v>46223</v>
      </c>
      <c r="AQ88" s="24">
        <v>46237</v>
      </c>
      <c r="AR88" s="1" t="s">
        <v>214</v>
      </c>
      <c r="AS88" s="1" t="s">
        <v>207</v>
      </c>
      <c r="AT88" s="26" t="s">
        <v>215</v>
      </c>
      <c r="AU88" s="26"/>
      <c r="AV88" s="27">
        <f t="shared" si="20"/>
        <v>0</v>
      </c>
    </row>
    <row r="89" spans="1:48" x14ac:dyDescent="0.25">
      <c r="A89" s="1" t="str">
        <f t="shared" si="21"/>
        <v>ACTIVE</v>
      </c>
      <c r="B89" s="2" t="s">
        <v>206</v>
      </c>
      <c r="C89" s="2" t="s">
        <v>207</v>
      </c>
      <c r="D89" s="2" t="s">
        <v>206</v>
      </c>
      <c r="E89" s="2" t="s">
        <v>208</v>
      </c>
      <c r="F89" s="2">
        <v>9773</v>
      </c>
      <c r="G89" s="1" t="s">
        <v>220</v>
      </c>
      <c r="H89" s="2" t="s">
        <v>210</v>
      </c>
      <c r="I89" s="2" t="s">
        <v>10</v>
      </c>
      <c r="J89" s="1" t="s">
        <v>407</v>
      </c>
      <c r="K89" s="2" t="s">
        <v>171</v>
      </c>
      <c r="L89" s="2" t="s">
        <v>87</v>
      </c>
      <c r="M89" s="1" t="s">
        <v>412</v>
      </c>
      <c r="N89" s="1">
        <v>6397789271</v>
      </c>
      <c r="O89" s="1">
        <v>15000</v>
      </c>
      <c r="P89" s="1">
        <v>1000</v>
      </c>
      <c r="Q89" s="2">
        <f t="shared" si="11"/>
        <v>14000</v>
      </c>
      <c r="R89" s="1">
        <v>820</v>
      </c>
      <c r="S89" s="20">
        <f>T89*R89</f>
        <v>0</v>
      </c>
      <c r="T89" s="20"/>
      <c r="U89" s="1">
        <v>25</v>
      </c>
      <c r="V89" s="28">
        <v>4</v>
      </c>
      <c r="W89" s="1">
        <f t="shared" si="12"/>
        <v>21</v>
      </c>
      <c r="X89" s="1"/>
      <c r="Y89" s="21"/>
      <c r="Z89" s="1"/>
      <c r="AA89" s="1" t="s">
        <v>6</v>
      </c>
      <c r="AB89" s="2" t="s">
        <v>171</v>
      </c>
      <c r="AC89" s="21">
        <f>(T89+W89)*R89+X89-Y89</f>
        <v>17220</v>
      </c>
      <c r="AD89" s="1">
        <f>V89*R89-X89+Y89</f>
        <v>3280</v>
      </c>
      <c r="AE89" s="1">
        <f t="shared" si="13"/>
        <v>0</v>
      </c>
      <c r="AF89" s="1">
        <v>20</v>
      </c>
      <c r="AG89" s="1">
        <f t="shared" si="14"/>
        <v>0</v>
      </c>
      <c r="AH89" s="1">
        <f t="shared" si="15"/>
        <v>0</v>
      </c>
      <c r="AI89" s="1" t="str">
        <f t="shared" si="16"/>
        <v>0-30</v>
      </c>
      <c r="AJ89" s="1" t="str">
        <f t="shared" si="17"/>
        <v>NO</v>
      </c>
      <c r="AK89" s="1">
        <f t="shared" si="18"/>
        <v>17220</v>
      </c>
      <c r="AL89" s="1">
        <f>U89*R89</f>
        <v>20500</v>
      </c>
      <c r="AM89" s="1">
        <f>U89*R89-O89</f>
        <v>5500</v>
      </c>
      <c r="AN89" s="23">
        <f t="shared" si="19"/>
        <v>220</v>
      </c>
      <c r="AO89" s="24">
        <v>46220</v>
      </c>
      <c r="AP89" s="25">
        <v>46223</v>
      </c>
      <c r="AQ89" s="24">
        <v>46237</v>
      </c>
      <c r="AR89" s="1" t="s">
        <v>214</v>
      </c>
      <c r="AS89" s="1" t="s">
        <v>207</v>
      </c>
      <c r="AT89" s="26" t="s">
        <v>215</v>
      </c>
      <c r="AU89" s="26"/>
      <c r="AV89" s="27">
        <f t="shared" si="20"/>
        <v>0</v>
      </c>
    </row>
    <row r="90" spans="1:48" x14ac:dyDescent="0.25">
      <c r="A90" s="1" t="str">
        <f t="shared" si="21"/>
        <v>ACTIVE</v>
      </c>
      <c r="B90" s="2" t="s">
        <v>206</v>
      </c>
      <c r="C90" s="2" t="s">
        <v>207</v>
      </c>
      <c r="D90" s="2" t="s">
        <v>206</v>
      </c>
      <c r="E90" s="2" t="s">
        <v>208</v>
      </c>
      <c r="F90" s="2">
        <v>2194</v>
      </c>
      <c r="G90" s="1" t="s">
        <v>220</v>
      </c>
      <c r="H90" s="2" t="s">
        <v>210</v>
      </c>
      <c r="I90" s="2" t="s">
        <v>10</v>
      </c>
      <c r="J90" s="1" t="s">
        <v>413</v>
      </c>
      <c r="K90" s="2" t="s">
        <v>172</v>
      </c>
      <c r="L90" s="2" t="s">
        <v>414</v>
      </c>
      <c r="M90" s="1" t="s">
        <v>415</v>
      </c>
      <c r="N90" s="1">
        <v>8650626340</v>
      </c>
      <c r="O90" s="1">
        <v>15000</v>
      </c>
      <c r="P90" s="1">
        <v>1000</v>
      </c>
      <c r="Q90" s="2">
        <f t="shared" si="11"/>
        <v>14000</v>
      </c>
      <c r="R90" s="1">
        <v>820</v>
      </c>
      <c r="S90" s="20">
        <f>T90*R90</f>
        <v>0</v>
      </c>
      <c r="T90" s="20"/>
      <c r="U90" s="1">
        <v>25</v>
      </c>
      <c r="V90" s="28">
        <v>5</v>
      </c>
      <c r="W90" s="1">
        <f t="shared" si="12"/>
        <v>20</v>
      </c>
      <c r="X90" s="1"/>
      <c r="Y90" s="21"/>
      <c r="Z90" s="1"/>
      <c r="AA90" s="1" t="s">
        <v>4</v>
      </c>
      <c r="AB90" s="2" t="s">
        <v>172</v>
      </c>
      <c r="AC90" s="21">
        <f>(T90+W90)*R90+X90-Y90</f>
        <v>16400</v>
      </c>
      <c r="AD90" s="1">
        <f>V90*R90-X90+Y90</f>
        <v>4100</v>
      </c>
      <c r="AE90" s="1">
        <f t="shared" si="13"/>
        <v>0</v>
      </c>
      <c r="AF90" s="1">
        <v>20</v>
      </c>
      <c r="AG90" s="1">
        <f t="shared" si="14"/>
        <v>0</v>
      </c>
      <c r="AH90" s="1">
        <f t="shared" si="15"/>
        <v>0</v>
      </c>
      <c r="AI90" s="1" t="str">
        <f t="shared" si="16"/>
        <v>0-30</v>
      </c>
      <c r="AJ90" s="1" t="str">
        <f t="shared" si="17"/>
        <v>NO</v>
      </c>
      <c r="AK90" s="1">
        <f t="shared" si="18"/>
        <v>16400</v>
      </c>
      <c r="AL90" s="1">
        <f>U90*R90</f>
        <v>20500</v>
      </c>
      <c r="AM90" s="1">
        <f>U90*R90-O90</f>
        <v>5500</v>
      </c>
      <c r="AN90" s="23">
        <f t="shared" si="19"/>
        <v>220</v>
      </c>
      <c r="AO90" s="24">
        <v>46220</v>
      </c>
      <c r="AP90" s="25">
        <v>46223</v>
      </c>
      <c r="AQ90" s="24">
        <v>46231</v>
      </c>
      <c r="AR90" s="1" t="s">
        <v>214</v>
      </c>
      <c r="AS90" s="1" t="s">
        <v>207</v>
      </c>
      <c r="AT90" s="26" t="s">
        <v>215</v>
      </c>
      <c r="AU90" s="26"/>
      <c r="AV90" s="27">
        <f t="shared" si="20"/>
        <v>0</v>
      </c>
    </row>
    <row r="91" spans="1:48" x14ac:dyDescent="0.25">
      <c r="A91" s="1" t="str">
        <f t="shared" si="21"/>
        <v>ACTIVE</v>
      </c>
      <c r="B91" s="2" t="s">
        <v>206</v>
      </c>
      <c r="C91" s="2" t="s">
        <v>207</v>
      </c>
      <c r="D91" s="2" t="s">
        <v>206</v>
      </c>
      <c r="E91" s="2" t="s">
        <v>208</v>
      </c>
      <c r="F91" s="2">
        <v>3112</v>
      </c>
      <c r="G91" s="1" t="s">
        <v>220</v>
      </c>
      <c r="H91" s="2" t="s">
        <v>210</v>
      </c>
      <c r="I91" s="2" t="s">
        <v>10</v>
      </c>
      <c r="J91" s="1" t="s">
        <v>416</v>
      </c>
      <c r="K91" s="2" t="s">
        <v>174</v>
      </c>
      <c r="L91" s="2" t="s">
        <v>417</v>
      </c>
      <c r="M91" s="1" t="s">
        <v>418</v>
      </c>
      <c r="N91" s="1">
        <v>9897553051</v>
      </c>
      <c r="O91" s="1">
        <v>15000</v>
      </c>
      <c r="P91" s="1">
        <v>1000</v>
      </c>
      <c r="Q91" s="2">
        <f t="shared" si="11"/>
        <v>14000</v>
      </c>
      <c r="R91" s="1">
        <v>820</v>
      </c>
      <c r="S91" s="20">
        <f>T91*R91</f>
        <v>0</v>
      </c>
      <c r="T91" s="20"/>
      <c r="U91" s="1">
        <v>25</v>
      </c>
      <c r="V91" s="28">
        <v>5</v>
      </c>
      <c r="W91" s="1">
        <f t="shared" si="12"/>
        <v>20</v>
      </c>
      <c r="X91" s="1"/>
      <c r="Y91" s="21"/>
      <c r="Z91" s="1"/>
      <c r="AA91" s="1" t="s">
        <v>4</v>
      </c>
      <c r="AB91" s="2" t="s">
        <v>174</v>
      </c>
      <c r="AC91" s="21">
        <f>(T91+W91)*R91+X91-Y91</f>
        <v>16400</v>
      </c>
      <c r="AD91" s="1">
        <f>V91*R91-X91+Y91</f>
        <v>4100</v>
      </c>
      <c r="AE91" s="1">
        <f t="shared" si="13"/>
        <v>0</v>
      </c>
      <c r="AF91" s="1">
        <v>20</v>
      </c>
      <c r="AG91" s="1">
        <f t="shared" si="14"/>
        <v>0</v>
      </c>
      <c r="AH91" s="1">
        <f t="shared" si="15"/>
        <v>0</v>
      </c>
      <c r="AI91" s="1" t="str">
        <f t="shared" si="16"/>
        <v>0-30</v>
      </c>
      <c r="AJ91" s="1" t="str">
        <f t="shared" si="17"/>
        <v>NO</v>
      </c>
      <c r="AK91" s="1">
        <f t="shared" si="18"/>
        <v>16400</v>
      </c>
      <c r="AL91" s="1">
        <f>U91*R91</f>
        <v>20500</v>
      </c>
      <c r="AM91" s="1">
        <f>U91*R91-O91</f>
        <v>5500</v>
      </c>
      <c r="AN91" s="23">
        <f t="shared" si="19"/>
        <v>220</v>
      </c>
      <c r="AO91" s="24">
        <v>46219</v>
      </c>
      <c r="AP91" s="25">
        <v>46223</v>
      </c>
      <c r="AQ91" s="24">
        <v>46231</v>
      </c>
      <c r="AR91" s="1" t="s">
        <v>214</v>
      </c>
      <c r="AS91" s="1" t="s">
        <v>207</v>
      </c>
      <c r="AT91" s="26" t="s">
        <v>215</v>
      </c>
      <c r="AU91" s="26"/>
      <c r="AV91" s="27">
        <f t="shared" si="20"/>
        <v>0</v>
      </c>
    </row>
    <row r="92" spans="1:48" x14ac:dyDescent="0.25">
      <c r="A92" s="1" t="str">
        <f t="shared" si="21"/>
        <v>ACTIVE</v>
      </c>
      <c r="B92" s="2" t="s">
        <v>206</v>
      </c>
      <c r="C92" s="2" t="s">
        <v>207</v>
      </c>
      <c r="D92" s="2" t="s">
        <v>206</v>
      </c>
      <c r="E92" s="2" t="s">
        <v>208</v>
      </c>
      <c r="F92" s="2">
        <v>1625</v>
      </c>
      <c r="G92" s="1" t="s">
        <v>220</v>
      </c>
      <c r="H92" s="2" t="s">
        <v>210</v>
      </c>
      <c r="I92" s="2" t="s">
        <v>10</v>
      </c>
      <c r="J92" s="1" t="s">
        <v>419</v>
      </c>
      <c r="K92" s="2" t="s">
        <v>175</v>
      </c>
      <c r="L92" s="2" t="s">
        <v>420</v>
      </c>
      <c r="M92" s="1" t="s">
        <v>421</v>
      </c>
      <c r="N92" s="1">
        <v>9410339384</v>
      </c>
      <c r="O92" s="1">
        <v>15000</v>
      </c>
      <c r="P92" s="1">
        <v>1000</v>
      </c>
      <c r="Q92" s="2">
        <f t="shared" si="11"/>
        <v>14000</v>
      </c>
      <c r="R92" s="1">
        <v>820</v>
      </c>
      <c r="S92" s="20">
        <f>T92*R92</f>
        <v>0</v>
      </c>
      <c r="T92" s="20"/>
      <c r="U92" s="1">
        <v>25</v>
      </c>
      <c r="V92" s="28">
        <v>4</v>
      </c>
      <c r="W92" s="1">
        <f t="shared" si="12"/>
        <v>21</v>
      </c>
      <c r="X92" s="1"/>
      <c r="Y92" s="21"/>
      <c r="Z92" s="22"/>
      <c r="AA92" s="1" t="s">
        <v>5</v>
      </c>
      <c r="AB92" s="2" t="s">
        <v>175</v>
      </c>
      <c r="AC92" s="21">
        <f>(T92+W92)*R92+X92-Y92</f>
        <v>17220</v>
      </c>
      <c r="AD92" s="1">
        <f>V92*R92-X92+Y92</f>
        <v>3280</v>
      </c>
      <c r="AE92" s="1">
        <f t="shared" si="13"/>
        <v>0</v>
      </c>
      <c r="AF92" s="1">
        <v>20</v>
      </c>
      <c r="AG92" s="1">
        <f t="shared" si="14"/>
        <v>0</v>
      </c>
      <c r="AH92" s="1">
        <f t="shared" si="15"/>
        <v>0</v>
      </c>
      <c r="AI92" s="1" t="str">
        <f t="shared" si="16"/>
        <v>0-30</v>
      </c>
      <c r="AJ92" s="1" t="str">
        <f t="shared" si="17"/>
        <v>NO</v>
      </c>
      <c r="AK92" s="1">
        <f t="shared" si="18"/>
        <v>17220</v>
      </c>
      <c r="AL92" s="1">
        <f>U92*R92</f>
        <v>20500</v>
      </c>
      <c r="AM92" s="1">
        <f>U92*R92-O92</f>
        <v>5500</v>
      </c>
      <c r="AN92" s="23">
        <f t="shared" si="19"/>
        <v>220</v>
      </c>
      <c r="AO92" s="24">
        <v>46207</v>
      </c>
      <c r="AP92" s="25">
        <v>46223</v>
      </c>
      <c r="AQ92" s="24">
        <v>46234</v>
      </c>
      <c r="AR92" s="1" t="s">
        <v>214</v>
      </c>
      <c r="AS92" s="1" t="s">
        <v>207</v>
      </c>
      <c r="AT92" s="26" t="s">
        <v>215</v>
      </c>
      <c r="AU92" s="26"/>
      <c r="AV92" s="27">
        <f t="shared" si="20"/>
        <v>0</v>
      </c>
    </row>
    <row r="93" spans="1:48" x14ac:dyDescent="0.25">
      <c r="A93" s="1" t="str">
        <f t="shared" si="21"/>
        <v>ACTIVE</v>
      </c>
      <c r="B93" s="2" t="s">
        <v>206</v>
      </c>
      <c r="C93" s="2" t="s">
        <v>207</v>
      </c>
      <c r="D93" s="2" t="s">
        <v>206</v>
      </c>
      <c r="E93" s="2" t="s">
        <v>208</v>
      </c>
      <c r="F93" s="2">
        <v>3355</v>
      </c>
      <c r="G93" s="1" t="s">
        <v>216</v>
      </c>
      <c r="H93" s="2" t="s">
        <v>210</v>
      </c>
      <c r="I93" s="2" t="s">
        <v>10</v>
      </c>
      <c r="J93" s="1" t="s">
        <v>422</v>
      </c>
      <c r="K93" s="2" t="s">
        <v>176</v>
      </c>
      <c r="L93" s="2" t="s">
        <v>423</v>
      </c>
      <c r="M93" s="1" t="s">
        <v>424</v>
      </c>
      <c r="N93" s="1">
        <v>9557323676</v>
      </c>
      <c r="O93" s="1">
        <v>15000</v>
      </c>
      <c r="P93" s="1">
        <v>1000</v>
      </c>
      <c r="Q93" s="2">
        <f t="shared" si="11"/>
        <v>14000</v>
      </c>
      <c r="R93" s="1">
        <v>820</v>
      </c>
      <c r="S93" s="20">
        <f>T93*R93</f>
        <v>0</v>
      </c>
      <c r="T93" s="20"/>
      <c r="U93" s="1">
        <v>25</v>
      </c>
      <c r="V93" s="28">
        <v>4</v>
      </c>
      <c r="W93" s="1">
        <f t="shared" si="12"/>
        <v>21</v>
      </c>
      <c r="X93" s="1"/>
      <c r="Y93" s="21"/>
      <c r="Z93" s="1"/>
      <c r="AA93" s="1" t="s">
        <v>6</v>
      </c>
      <c r="AB93" s="2" t="s">
        <v>176</v>
      </c>
      <c r="AC93" s="21">
        <f>(T93+W93)*R93+X93-Y93</f>
        <v>17220</v>
      </c>
      <c r="AD93" s="1">
        <f>V93*R93-X93+Y93</f>
        <v>3280</v>
      </c>
      <c r="AE93" s="1">
        <f t="shared" si="13"/>
        <v>0</v>
      </c>
      <c r="AF93" s="1">
        <v>20</v>
      </c>
      <c r="AG93" s="1">
        <f t="shared" si="14"/>
        <v>0</v>
      </c>
      <c r="AH93" s="1">
        <f t="shared" si="15"/>
        <v>0</v>
      </c>
      <c r="AI93" s="1" t="str">
        <f t="shared" si="16"/>
        <v>0-30</v>
      </c>
      <c r="AJ93" s="1" t="str">
        <f t="shared" si="17"/>
        <v>NO</v>
      </c>
      <c r="AK93" s="1">
        <f t="shared" si="18"/>
        <v>17220</v>
      </c>
      <c r="AL93" s="1">
        <f>U93*R93</f>
        <v>20500</v>
      </c>
      <c r="AM93" s="1">
        <f>U93*R93-O93</f>
        <v>5500</v>
      </c>
      <c r="AN93" s="23">
        <f t="shared" si="19"/>
        <v>220</v>
      </c>
      <c r="AO93" s="24">
        <v>46221</v>
      </c>
      <c r="AP93" s="25">
        <v>46225</v>
      </c>
      <c r="AQ93" s="24">
        <v>46237</v>
      </c>
      <c r="AR93" s="1" t="s">
        <v>214</v>
      </c>
      <c r="AS93" s="1" t="s">
        <v>207</v>
      </c>
      <c r="AT93" s="26" t="s">
        <v>215</v>
      </c>
      <c r="AU93" s="26"/>
      <c r="AV93" s="27">
        <f t="shared" si="20"/>
        <v>0</v>
      </c>
    </row>
    <row r="94" spans="1:48" x14ac:dyDescent="0.25">
      <c r="A94" s="1" t="str">
        <f t="shared" si="21"/>
        <v>ACTIVE</v>
      </c>
      <c r="B94" s="2" t="s">
        <v>206</v>
      </c>
      <c r="C94" s="2" t="s">
        <v>207</v>
      </c>
      <c r="D94" s="2" t="s">
        <v>206</v>
      </c>
      <c r="E94" s="2" t="s">
        <v>208</v>
      </c>
      <c r="F94" s="2">
        <v>4472</v>
      </c>
      <c r="G94" s="1" t="s">
        <v>216</v>
      </c>
      <c r="H94" s="2" t="s">
        <v>210</v>
      </c>
      <c r="I94" s="2" t="s">
        <v>10</v>
      </c>
      <c r="J94" s="1" t="s">
        <v>425</v>
      </c>
      <c r="K94" s="2" t="s">
        <v>177</v>
      </c>
      <c r="L94" s="2" t="s">
        <v>102</v>
      </c>
      <c r="M94" s="1" t="s">
        <v>426</v>
      </c>
      <c r="N94" s="1">
        <v>6399195401</v>
      </c>
      <c r="O94" s="1">
        <v>15000</v>
      </c>
      <c r="P94" s="1">
        <v>1000</v>
      </c>
      <c r="Q94" s="2">
        <f t="shared" si="11"/>
        <v>14000</v>
      </c>
      <c r="R94" s="1">
        <v>820</v>
      </c>
      <c r="S94" s="20">
        <f>T94*R94</f>
        <v>0</v>
      </c>
      <c r="T94" s="20"/>
      <c r="U94" s="1">
        <v>25</v>
      </c>
      <c r="V94" s="28">
        <v>4</v>
      </c>
      <c r="W94" s="1">
        <f t="shared" si="12"/>
        <v>21</v>
      </c>
      <c r="X94" s="1"/>
      <c r="Y94" s="21"/>
      <c r="Z94" s="1"/>
      <c r="AA94" s="1" t="s">
        <v>6</v>
      </c>
      <c r="AB94" s="2" t="s">
        <v>177</v>
      </c>
      <c r="AC94" s="21">
        <f>(T94+W94)*R94+X94-Y94</f>
        <v>17220</v>
      </c>
      <c r="AD94" s="1">
        <f>V94*R94-X94+Y94</f>
        <v>3280</v>
      </c>
      <c r="AE94" s="1">
        <f t="shared" si="13"/>
        <v>0</v>
      </c>
      <c r="AF94" s="1">
        <v>20</v>
      </c>
      <c r="AG94" s="1">
        <f t="shared" si="14"/>
        <v>0</v>
      </c>
      <c r="AH94" s="1">
        <f t="shared" si="15"/>
        <v>0</v>
      </c>
      <c r="AI94" s="1" t="str">
        <f t="shared" si="16"/>
        <v>0-30</v>
      </c>
      <c r="AJ94" s="1" t="str">
        <f t="shared" si="17"/>
        <v>NO</v>
      </c>
      <c r="AK94" s="1">
        <f t="shared" si="18"/>
        <v>17220</v>
      </c>
      <c r="AL94" s="1">
        <f>U94*R94</f>
        <v>20500</v>
      </c>
      <c r="AM94" s="1">
        <f>U94*R94-O94</f>
        <v>5500</v>
      </c>
      <c r="AN94" s="23">
        <f t="shared" si="19"/>
        <v>220</v>
      </c>
      <c r="AO94" s="24">
        <v>46221</v>
      </c>
      <c r="AP94" s="25">
        <v>46225</v>
      </c>
      <c r="AQ94" s="24">
        <v>46237</v>
      </c>
      <c r="AR94" s="1" t="s">
        <v>214</v>
      </c>
      <c r="AS94" s="1" t="s">
        <v>207</v>
      </c>
      <c r="AT94" s="26" t="s">
        <v>215</v>
      </c>
      <c r="AU94" s="26"/>
      <c r="AV94" s="27">
        <f t="shared" si="20"/>
        <v>0</v>
      </c>
    </row>
    <row r="95" spans="1:48" x14ac:dyDescent="0.25">
      <c r="A95" s="1" t="str">
        <f t="shared" si="21"/>
        <v>ACTIVE</v>
      </c>
      <c r="B95" s="2" t="s">
        <v>206</v>
      </c>
      <c r="C95" s="2" t="s">
        <v>207</v>
      </c>
      <c r="D95" s="2" t="s">
        <v>206</v>
      </c>
      <c r="E95" s="2" t="s">
        <v>208</v>
      </c>
      <c r="F95" s="2">
        <v>5682</v>
      </c>
      <c r="G95" s="1" t="s">
        <v>216</v>
      </c>
      <c r="H95" s="2" t="s">
        <v>210</v>
      </c>
      <c r="I95" s="2" t="s">
        <v>10</v>
      </c>
      <c r="J95" s="1" t="s">
        <v>427</v>
      </c>
      <c r="K95" s="2" t="s">
        <v>178</v>
      </c>
      <c r="L95" s="2" t="s">
        <v>428</v>
      </c>
      <c r="M95" s="1" t="s">
        <v>429</v>
      </c>
      <c r="N95" s="1">
        <v>8650942365</v>
      </c>
      <c r="O95" s="1">
        <v>15000</v>
      </c>
      <c r="P95" s="1">
        <v>1000</v>
      </c>
      <c r="Q95" s="2">
        <f t="shared" si="11"/>
        <v>14000</v>
      </c>
      <c r="R95" s="1">
        <v>820</v>
      </c>
      <c r="S95" s="20">
        <f>T95*R95</f>
        <v>0</v>
      </c>
      <c r="T95" s="20"/>
      <c r="U95" s="1">
        <v>25</v>
      </c>
      <c r="V95" s="28">
        <v>4</v>
      </c>
      <c r="W95" s="1">
        <f t="shared" si="12"/>
        <v>21</v>
      </c>
      <c r="X95" s="1"/>
      <c r="Y95" s="21"/>
      <c r="Z95" s="1"/>
      <c r="AA95" s="1" t="s">
        <v>4</v>
      </c>
      <c r="AB95" s="2" t="s">
        <v>178</v>
      </c>
      <c r="AC95" s="21">
        <f>(T95+W95)*R95+X95-Y95</f>
        <v>17220</v>
      </c>
      <c r="AD95" s="1">
        <f>V95*R95-X95+Y95</f>
        <v>3280</v>
      </c>
      <c r="AE95" s="1">
        <f t="shared" si="13"/>
        <v>0</v>
      </c>
      <c r="AF95" s="1">
        <v>20</v>
      </c>
      <c r="AG95" s="1">
        <f t="shared" si="14"/>
        <v>0</v>
      </c>
      <c r="AH95" s="1">
        <f t="shared" si="15"/>
        <v>0</v>
      </c>
      <c r="AI95" s="1" t="str">
        <f t="shared" si="16"/>
        <v>0-30</v>
      </c>
      <c r="AJ95" s="1" t="str">
        <f t="shared" si="17"/>
        <v>NO</v>
      </c>
      <c r="AK95" s="1">
        <f t="shared" si="18"/>
        <v>17220</v>
      </c>
      <c r="AL95" s="1">
        <f>U95*R95</f>
        <v>20500</v>
      </c>
      <c r="AM95" s="1">
        <f>U95*R95-O95</f>
        <v>5500</v>
      </c>
      <c r="AN95" s="23">
        <f t="shared" si="19"/>
        <v>220</v>
      </c>
      <c r="AO95" s="24">
        <v>46221</v>
      </c>
      <c r="AP95" s="25">
        <v>46225</v>
      </c>
      <c r="AQ95" s="24">
        <v>46238</v>
      </c>
      <c r="AR95" s="1" t="s">
        <v>214</v>
      </c>
      <c r="AS95" s="1" t="s">
        <v>207</v>
      </c>
      <c r="AT95" s="26" t="s">
        <v>215</v>
      </c>
      <c r="AU95" s="26"/>
      <c r="AV95" s="27">
        <f t="shared" si="20"/>
        <v>0</v>
      </c>
    </row>
    <row r="96" spans="1:48" x14ac:dyDescent="0.25">
      <c r="A96" s="1" t="str">
        <f t="shared" si="21"/>
        <v>ACTIVE</v>
      </c>
      <c r="B96" s="2" t="s">
        <v>206</v>
      </c>
      <c r="C96" s="2" t="s">
        <v>207</v>
      </c>
      <c r="D96" s="2" t="s">
        <v>206</v>
      </c>
      <c r="E96" s="2" t="s">
        <v>208</v>
      </c>
      <c r="F96" s="2"/>
      <c r="G96" s="1" t="s">
        <v>216</v>
      </c>
      <c r="H96" s="2" t="s">
        <v>210</v>
      </c>
      <c r="I96" s="2" t="s">
        <v>10</v>
      </c>
      <c r="J96" s="1" t="s">
        <v>281</v>
      </c>
      <c r="K96" s="2" t="s">
        <v>179</v>
      </c>
      <c r="L96" s="2" t="s">
        <v>430</v>
      </c>
      <c r="M96" s="1" t="s">
        <v>431</v>
      </c>
      <c r="N96" s="1">
        <v>7983141687</v>
      </c>
      <c r="O96" s="1">
        <v>15000</v>
      </c>
      <c r="P96" s="1">
        <v>1000</v>
      </c>
      <c r="Q96" s="2">
        <f t="shared" si="11"/>
        <v>14000</v>
      </c>
      <c r="R96" s="1">
        <v>820</v>
      </c>
      <c r="S96" s="20">
        <f>T96*R96</f>
        <v>0</v>
      </c>
      <c r="T96" s="20"/>
      <c r="U96" s="1">
        <v>25</v>
      </c>
      <c r="V96" s="28">
        <v>4</v>
      </c>
      <c r="W96" s="1">
        <f t="shared" si="12"/>
        <v>21</v>
      </c>
      <c r="X96" s="1"/>
      <c r="Y96" s="21"/>
      <c r="Z96" s="1"/>
      <c r="AA96" s="1" t="s">
        <v>3</v>
      </c>
      <c r="AB96" s="2" t="s">
        <v>179</v>
      </c>
      <c r="AC96" s="21">
        <f>(T96+W96)*R96+X96-Y96</f>
        <v>17220</v>
      </c>
      <c r="AD96" s="1">
        <f>V96*R96-X96+Y96</f>
        <v>3280</v>
      </c>
      <c r="AE96" s="1">
        <f t="shared" si="13"/>
        <v>0</v>
      </c>
      <c r="AF96" s="1">
        <v>20</v>
      </c>
      <c r="AG96" s="1">
        <f t="shared" si="14"/>
        <v>0</v>
      </c>
      <c r="AH96" s="1">
        <f t="shared" si="15"/>
        <v>0</v>
      </c>
      <c r="AI96" s="1" t="str">
        <f t="shared" si="16"/>
        <v>0-30</v>
      </c>
      <c r="AJ96" s="1" t="str">
        <f t="shared" si="17"/>
        <v>NO</v>
      </c>
      <c r="AK96" s="1">
        <f t="shared" si="18"/>
        <v>17220</v>
      </c>
      <c r="AL96" s="1">
        <f>U96*R96</f>
        <v>20500</v>
      </c>
      <c r="AM96" s="1">
        <f>U96*R96-O96</f>
        <v>5500</v>
      </c>
      <c r="AN96" s="23">
        <f t="shared" si="19"/>
        <v>220</v>
      </c>
      <c r="AO96" s="24">
        <v>46223</v>
      </c>
      <c r="AP96" s="25">
        <v>46227</v>
      </c>
      <c r="AQ96" s="24">
        <v>46239</v>
      </c>
      <c r="AR96" s="1" t="s">
        <v>214</v>
      </c>
      <c r="AS96" s="1" t="s">
        <v>207</v>
      </c>
      <c r="AT96" s="26" t="s">
        <v>215</v>
      </c>
      <c r="AU96" s="26"/>
      <c r="AV96" s="27">
        <f t="shared" si="20"/>
        <v>0</v>
      </c>
    </row>
    <row r="97" spans="1:48" x14ac:dyDescent="0.25">
      <c r="A97" s="1" t="str">
        <f t="shared" si="21"/>
        <v>ACTIVE</v>
      </c>
      <c r="B97" s="2" t="s">
        <v>206</v>
      </c>
      <c r="C97" s="2" t="s">
        <v>207</v>
      </c>
      <c r="D97" s="2" t="s">
        <v>206</v>
      </c>
      <c r="E97" s="2" t="s">
        <v>208</v>
      </c>
      <c r="F97" s="2"/>
      <c r="G97" s="1" t="s">
        <v>220</v>
      </c>
      <c r="H97" s="2" t="s">
        <v>210</v>
      </c>
      <c r="I97" s="2" t="s">
        <v>10</v>
      </c>
      <c r="J97" s="1" t="s">
        <v>407</v>
      </c>
      <c r="K97" s="2" t="s">
        <v>180</v>
      </c>
      <c r="L97" s="2" t="s">
        <v>432</v>
      </c>
      <c r="M97" s="1" t="s">
        <v>433</v>
      </c>
      <c r="N97" s="1">
        <v>8865907264</v>
      </c>
      <c r="O97" s="1">
        <v>15000</v>
      </c>
      <c r="P97" s="1">
        <v>1000</v>
      </c>
      <c r="Q97" s="2">
        <f t="shared" si="11"/>
        <v>14000</v>
      </c>
      <c r="R97" s="1">
        <v>820</v>
      </c>
      <c r="S97" s="20">
        <f>T97*R97</f>
        <v>0</v>
      </c>
      <c r="T97" s="20"/>
      <c r="U97" s="1">
        <v>25</v>
      </c>
      <c r="V97" s="28">
        <v>4</v>
      </c>
      <c r="W97" s="1">
        <f t="shared" si="12"/>
        <v>21</v>
      </c>
      <c r="X97" s="1"/>
      <c r="Y97" s="21"/>
      <c r="Z97" s="1"/>
      <c r="AA97" s="1" t="s">
        <v>6</v>
      </c>
      <c r="AB97" s="2" t="s">
        <v>180</v>
      </c>
      <c r="AC97" s="21">
        <f>(T97+W97)*R97+X97-Y97</f>
        <v>17220</v>
      </c>
      <c r="AD97" s="1">
        <f>V97*R97-X97+Y97</f>
        <v>3280</v>
      </c>
      <c r="AE97" s="1">
        <f t="shared" si="13"/>
        <v>0</v>
      </c>
      <c r="AF97" s="1">
        <v>20</v>
      </c>
      <c r="AG97" s="1">
        <f t="shared" si="14"/>
        <v>0</v>
      </c>
      <c r="AH97" s="1">
        <f t="shared" si="15"/>
        <v>0</v>
      </c>
      <c r="AI97" s="1" t="str">
        <f t="shared" si="16"/>
        <v>0-30</v>
      </c>
      <c r="AJ97" s="1" t="str">
        <f t="shared" si="17"/>
        <v>NO</v>
      </c>
      <c r="AK97" s="1">
        <f t="shared" si="18"/>
        <v>17220</v>
      </c>
      <c r="AL97" s="1">
        <f>U97*R97</f>
        <v>20500</v>
      </c>
      <c r="AM97" s="1">
        <f>U97*R97-O97</f>
        <v>5500</v>
      </c>
      <c r="AN97" s="23">
        <f t="shared" si="19"/>
        <v>220</v>
      </c>
      <c r="AO97" s="24">
        <v>46220</v>
      </c>
      <c r="AP97" s="25">
        <v>46227</v>
      </c>
      <c r="AQ97" s="24">
        <v>46237</v>
      </c>
      <c r="AR97" s="1" t="s">
        <v>214</v>
      </c>
      <c r="AS97" s="1" t="s">
        <v>207</v>
      </c>
      <c r="AT97" s="26" t="s">
        <v>215</v>
      </c>
      <c r="AU97" s="26"/>
      <c r="AV97" s="27">
        <f t="shared" si="20"/>
        <v>0</v>
      </c>
    </row>
    <row r="98" spans="1:48" x14ac:dyDescent="0.25">
      <c r="A98" s="1" t="str">
        <f t="shared" si="21"/>
        <v>ACTIVE</v>
      </c>
      <c r="B98" s="2" t="s">
        <v>206</v>
      </c>
      <c r="C98" s="2" t="s">
        <v>207</v>
      </c>
      <c r="D98" s="2" t="s">
        <v>206</v>
      </c>
      <c r="E98" s="2" t="s">
        <v>208</v>
      </c>
      <c r="F98" s="2"/>
      <c r="G98" s="1" t="s">
        <v>220</v>
      </c>
      <c r="H98" s="2" t="s">
        <v>210</v>
      </c>
      <c r="I98" s="2" t="s">
        <v>10</v>
      </c>
      <c r="J98" s="1" t="s">
        <v>407</v>
      </c>
      <c r="K98" s="2" t="s">
        <v>181</v>
      </c>
      <c r="L98" s="2" t="s">
        <v>434</v>
      </c>
      <c r="M98" s="1" t="s">
        <v>435</v>
      </c>
      <c r="N98" s="1">
        <v>9837628506</v>
      </c>
      <c r="O98" s="1">
        <v>15000</v>
      </c>
      <c r="P98" s="1">
        <v>1000</v>
      </c>
      <c r="Q98" s="2">
        <f t="shared" si="11"/>
        <v>14000</v>
      </c>
      <c r="R98" s="1">
        <v>820</v>
      </c>
      <c r="S98" s="20">
        <f>T98*R98</f>
        <v>0</v>
      </c>
      <c r="T98" s="20"/>
      <c r="U98" s="1">
        <v>25</v>
      </c>
      <c r="V98" s="28">
        <v>3</v>
      </c>
      <c r="W98" s="1">
        <f t="shared" si="12"/>
        <v>22</v>
      </c>
      <c r="X98" s="1"/>
      <c r="Y98" s="21"/>
      <c r="Z98" s="22"/>
      <c r="AA98" s="1" t="s">
        <v>7</v>
      </c>
      <c r="AB98" s="2" t="s">
        <v>181</v>
      </c>
      <c r="AC98" s="21">
        <f>(T98+W98)*R98+X98-Y98</f>
        <v>18040</v>
      </c>
      <c r="AD98" s="1">
        <f>V98*R98-X98+Y98</f>
        <v>2460</v>
      </c>
      <c r="AE98" s="1">
        <f t="shared" si="13"/>
        <v>0</v>
      </c>
      <c r="AF98" s="1">
        <v>20</v>
      </c>
      <c r="AG98" s="1">
        <f t="shared" si="14"/>
        <v>0</v>
      </c>
      <c r="AH98" s="1">
        <f t="shared" si="15"/>
        <v>0</v>
      </c>
      <c r="AI98" s="1" t="str">
        <f t="shared" si="16"/>
        <v>0-30</v>
      </c>
      <c r="AJ98" s="1" t="str">
        <f t="shared" si="17"/>
        <v>NO</v>
      </c>
      <c r="AK98" s="1">
        <f t="shared" si="18"/>
        <v>18040</v>
      </c>
      <c r="AL98" s="1">
        <f>U98*R98</f>
        <v>20500</v>
      </c>
      <c r="AM98" s="1">
        <f>U98*R98-O98</f>
        <v>5500</v>
      </c>
      <c r="AN98" s="23">
        <f t="shared" si="19"/>
        <v>220</v>
      </c>
      <c r="AO98" s="24">
        <v>46224</v>
      </c>
      <c r="AP98" s="25">
        <v>46227</v>
      </c>
      <c r="AQ98" s="24">
        <v>46240</v>
      </c>
      <c r="AR98" s="1" t="s">
        <v>214</v>
      </c>
      <c r="AS98" s="1" t="s">
        <v>207</v>
      </c>
      <c r="AT98" s="26" t="s">
        <v>215</v>
      </c>
      <c r="AU98" s="26"/>
      <c r="AV98" s="27">
        <f t="shared" si="20"/>
        <v>0</v>
      </c>
    </row>
    <row r="99" spans="1:48" x14ac:dyDescent="0.25">
      <c r="A99" s="1" t="str">
        <f t="shared" si="21"/>
        <v>ACTIVE</v>
      </c>
      <c r="B99" s="2" t="s">
        <v>206</v>
      </c>
      <c r="C99" s="2" t="s">
        <v>207</v>
      </c>
      <c r="D99" s="2" t="s">
        <v>206</v>
      </c>
      <c r="E99" s="2" t="s">
        <v>208</v>
      </c>
      <c r="F99" s="2"/>
      <c r="G99" s="1" t="s">
        <v>216</v>
      </c>
      <c r="H99" s="2" t="s">
        <v>210</v>
      </c>
      <c r="I99" s="2" t="s">
        <v>10</v>
      </c>
      <c r="J99" s="1" t="s">
        <v>436</v>
      </c>
      <c r="K99" s="2" t="s">
        <v>182</v>
      </c>
      <c r="L99" s="2" t="s">
        <v>437</v>
      </c>
      <c r="M99" s="1" t="s">
        <v>438</v>
      </c>
      <c r="N99" s="1">
        <v>8171708108</v>
      </c>
      <c r="O99" s="1">
        <v>15000</v>
      </c>
      <c r="P99" s="1">
        <v>1000</v>
      </c>
      <c r="Q99" s="2">
        <f t="shared" si="11"/>
        <v>14000</v>
      </c>
      <c r="R99" s="1">
        <v>820</v>
      </c>
      <c r="S99" s="20">
        <f>T99*R99</f>
        <v>0</v>
      </c>
      <c r="T99" s="20"/>
      <c r="U99" s="1">
        <v>25</v>
      </c>
      <c r="V99" s="28">
        <v>4</v>
      </c>
      <c r="W99" s="1">
        <f t="shared" si="12"/>
        <v>21</v>
      </c>
      <c r="X99" s="1"/>
      <c r="Y99" s="21"/>
      <c r="Z99" s="1"/>
      <c r="AA99" s="1" t="s">
        <v>3</v>
      </c>
      <c r="AB99" s="2" t="s">
        <v>182</v>
      </c>
      <c r="AC99" s="21">
        <f>(T99+W99)*R99+X99-Y99</f>
        <v>17220</v>
      </c>
      <c r="AD99" s="1">
        <f>V99*R99-X99+Y99</f>
        <v>3280</v>
      </c>
      <c r="AE99" s="1">
        <f t="shared" si="13"/>
        <v>0</v>
      </c>
      <c r="AF99" s="1">
        <v>20</v>
      </c>
      <c r="AG99" s="1">
        <f t="shared" si="14"/>
        <v>0</v>
      </c>
      <c r="AH99" s="1">
        <f t="shared" si="15"/>
        <v>0</v>
      </c>
      <c r="AI99" s="1" t="str">
        <f t="shared" si="16"/>
        <v>0-30</v>
      </c>
      <c r="AJ99" s="1" t="str">
        <f t="shared" si="17"/>
        <v>NO</v>
      </c>
      <c r="AK99" s="1">
        <f t="shared" si="18"/>
        <v>17220</v>
      </c>
      <c r="AL99" s="1">
        <f>U99*R99</f>
        <v>20500</v>
      </c>
      <c r="AM99" s="1">
        <f>U99*R99-O99</f>
        <v>5500</v>
      </c>
      <c r="AN99" s="23">
        <f t="shared" si="19"/>
        <v>220</v>
      </c>
      <c r="AO99" s="24">
        <v>46223</v>
      </c>
      <c r="AP99" s="25">
        <v>46227</v>
      </c>
      <c r="AQ99" s="24">
        <v>46239</v>
      </c>
      <c r="AR99" s="1" t="s">
        <v>214</v>
      </c>
      <c r="AS99" s="1" t="s">
        <v>207</v>
      </c>
      <c r="AT99" s="26" t="s">
        <v>215</v>
      </c>
      <c r="AU99" s="26"/>
      <c r="AV99" s="27">
        <f t="shared" si="20"/>
        <v>0</v>
      </c>
    </row>
    <row r="100" spans="1:48" x14ac:dyDescent="0.25">
      <c r="A100" s="1" t="str">
        <f t="shared" si="21"/>
        <v>ACTIVE</v>
      </c>
      <c r="B100" s="2" t="s">
        <v>206</v>
      </c>
      <c r="C100" s="2" t="s">
        <v>207</v>
      </c>
      <c r="D100" s="2" t="s">
        <v>206</v>
      </c>
      <c r="E100" s="2" t="s">
        <v>208</v>
      </c>
      <c r="F100" s="2"/>
      <c r="G100" s="1" t="s">
        <v>216</v>
      </c>
      <c r="H100" s="2" t="s">
        <v>210</v>
      </c>
      <c r="I100" s="2" t="s">
        <v>10</v>
      </c>
      <c r="J100" s="1" t="s">
        <v>281</v>
      </c>
      <c r="K100" s="2" t="s">
        <v>184</v>
      </c>
      <c r="L100" s="2" t="s">
        <v>439</v>
      </c>
      <c r="M100" s="1" t="s">
        <v>440</v>
      </c>
      <c r="N100" s="1">
        <v>7078495902</v>
      </c>
      <c r="O100" s="1">
        <v>15000</v>
      </c>
      <c r="P100" s="1">
        <v>1000</v>
      </c>
      <c r="Q100" s="2">
        <f t="shared" si="11"/>
        <v>14000</v>
      </c>
      <c r="R100" s="1">
        <v>820</v>
      </c>
      <c r="S100" s="20">
        <f>T100*R100</f>
        <v>0</v>
      </c>
      <c r="T100" s="20"/>
      <c r="U100" s="1">
        <v>25</v>
      </c>
      <c r="V100" s="28">
        <v>4</v>
      </c>
      <c r="W100" s="1">
        <f t="shared" si="12"/>
        <v>21</v>
      </c>
      <c r="X100" s="1"/>
      <c r="Y100" s="21"/>
      <c r="Z100" s="1"/>
      <c r="AA100" s="1" t="s">
        <v>3</v>
      </c>
      <c r="AB100" s="2" t="s">
        <v>184</v>
      </c>
      <c r="AC100" s="21">
        <f>(T100+W100)*R100+X100-Y100</f>
        <v>17220</v>
      </c>
      <c r="AD100" s="1">
        <f>V100*R100-X100+Y100</f>
        <v>3280</v>
      </c>
      <c r="AE100" s="1">
        <f t="shared" si="13"/>
        <v>0</v>
      </c>
      <c r="AF100" s="1">
        <v>20</v>
      </c>
      <c r="AG100" s="1">
        <f t="shared" si="14"/>
        <v>0</v>
      </c>
      <c r="AH100" s="1">
        <f t="shared" si="15"/>
        <v>0</v>
      </c>
      <c r="AI100" s="1" t="str">
        <f t="shared" si="16"/>
        <v>0-30</v>
      </c>
      <c r="AJ100" s="1" t="str">
        <f t="shared" si="17"/>
        <v>NO</v>
      </c>
      <c r="AK100" s="1">
        <f t="shared" si="18"/>
        <v>17220</v>
      </c>
      <c r="AL100" s="1">
        <f>U100*R100</f>
        <v>20500</v>
      </c>
      <c r="AM100" s="1">
        <f>U100*R100-O100</f>
        <v>5500</v>
      </c>
      <c r="AN100" s="23">
        <f t="shared" si="19"/>
        <v>220</v>
      </c>
      <c r="AO100" s="24">
        <v>46223</v>
      </c>
      <c r="AP100" s="25">
        <v>46227</v>
      </c>
      <c r="AQ100" s="24">
        <v>46239</v>
      </c>
      <c r="AR100" s="1" t="s">
        <v>214</v>
      </c>
      <c r="AS100" s="1" t="s">
        <v>207</v>
      </c>
      <c r="AT100" s="26" t="s">
        <v>215</v>
      </c>
      <c r="AU100" s="26"/>
      <c r="AV100" s="27">
        <f t="shared" si="20"/>
        <v>0</v>
      </c>
    </row>
    <row r="101" spans="1:48" x14ac:dyDescent="0.25">
      <c r="A101" s="1" t="str">
        <f t="shared" si="21"/>
        <v>ACTIVE</v>
      </c>
      <c r="B101" s="2" t="s">
        <v>206</v>
      </c>
      <c r="C101" s="2" t="s">
        <v>207</v>
      </c>
      <c r="D101" s="2" t="s">
        <v>206</v>
      </c>
      <c r="E101" s="2" t="s">
        <v>208</v>
      </c>
      <c r="F101" s="2"/>
      <c r="G101" s="1" t="s">
        <v>220</v>
      </c>
      <c r="H101" s="2" t="s">
        <v>210</v>
      </c>
      <c r="I101" s="2" t="s">
        <v>10</v>
      </c>
      <c r="J101" s="1" t="s">
        <v>441</v>
      </c>
      <c r="K101" s="2" t="s">
        <v>186</v>
      </c>
      <c r="L101" s="2" t="s">
        <v>442</v>
      </c>
      <c r="M101" s="1" t="s">
        <v>443</v>
      </c>
      <c r="N101" s="1">
        <v>8979542634</v>
      </c>
      <c r="O101" s="1">
        <v>15000</v>
      </c>
      <c r="P101" s="1">
        <v>1000</v>
      </c>
      <c r="Q101" s="2">
        <f t="shared" si="11"/>
        <v>14000</v>
      </c>
      <c r="R101" s="1">
        <v>820</v>
      </c>
      <c r="S101" s="20">
        <f>T101*R101</f>
        <v>0</v>
      </c>
      <c r="T101" s="20"/>
      <c r="U101" s="1">
        <v>25</v>
      </c>
      <c r="V101" s="28">
        <v>4</v>
      </c>
      <c r="W101" s="1">
        <f t="shared" si="12"/>
        <v>21</v>
      </c>
      <c r="X101" s="1"/>
      <c r="Y101" s="21"/>
      <c r="Z101" s="1"/>
      <c r="AA101" s="1" t="s">
        <v>4</v>
      </c>
      <c r="AB101" s="2" t="s">
        <v>186</v>
      </c>
      <c r="AC101" s="21">
        <f>(T101+W101)*R101+X101-Y101</f>
        <v>17220</v>
      </c>
      <c r="AD101" s="1">
        <f>V101*R101-X101+Y101</f>
        <v>3280</v>
      </c>
      <c r="AE101" s="1">
        <f t="shared" si="13"/>
        <v>0</v>
      </c>
      <c r="AF101" s="1">
        <v>20</v>
      </c>
      <c r="AG101" s="1">
        <f t="shared" si="14"/>
        <v>0</v>
      </c>
      <c r="AH101" s="1">
        <f t="shared" si="15"/>
        <v>0</v>
      </c>
      <c r="AI101" s="1" t="str">
        <f t="shared" si="16"/>
        <v>0-30</v>
      </c>
      <c r="AJ101" s="1" t="str">
        <f t="shared" si="17"/>
        <v>NO</v>
      </c>
      <c r="AK101" s="1">
        <f t="shared" si="18"/>
        <v>17220</v>
      </c>
      <c r="AL101" s="1">
        <f>U101*R101</f>
        <v>20500</v>
      </c>
      <c r="AM101" s="1">
        <f>U101*R101-O101</f>
        <v>5500</v>
      </c>
      <c r="AN101" s="23">
        <f t="shared" si="19"/>
        <v>220</v>
      </c>
      <c r="AO101" s="24">
        <v>46224</v>
      </c>
      <c r="AP101" s="25">
        <v>46227</v>
      </c>
      <c r="AQ101" s="24">
        <v>46238</v>
      </c>
      <c r="AR101" s="1" t="s">
        <v>214</v>
      </c>
      <c r="AS101" s="1" t="s">
        <v>207</v>
      </c>
      <c r="AT101" s="26" t="s">
        <v>215</v>
      </c>
      <c r="AU101" s="26"/>
      <c r="AV101" s="27">
        <f t="shared" si="20"/>
        <v>0</v>
      </c>
    </row>
    <row r="102" spans="1:48" x14ac:dyDescent="0.25">
      <c r="A102" s="1" t="str">
        <f t="shared" si="21"/>
        <v>ACTIVE</v>
      </c>
      <c r="B102" s="2" t="s">
        <v>206</v>
      </c>
      <c r="C102" s="2" t="s">
        <v>207</v>
      </c>
      <c r="D102" s="2" t="s">
        <v>206</v>
      </c>
      <c r="E102" s="2" t="s">
        <v>208</v>
      </c>
      <c r="F102" s="2"/>
      <c r="G102" s="1" t="s">
        <v>220</v>
      </c>
      <c r="H102" s="2" t="s">
        <v>210</v>
      </c>
      <c r="I102" s="2" t="s">
        <v>10</v>
      </c>
      <c r="J102" s="1" t="s">
        <v>444</v>
      </c>
      <c r="K102" s="2" t="s">
        <v>187</v>
      </c>
      <c r="L102" s="2" t="s">
        <v>445</v>
      </c>
      <c r="M102" s="1" t="s">
        <v>446</v>
      </c>
      <c r="N102" s="1">
        <v>9068399347</v>
      </c>
      <c r="O102" s="1">
        <v>15000</v>
      </c>
      <c r="P102" s="1">
        <v>1000</v>
      </c>
      <c r="Q102" s="2">
        <f t="shared" si="11"/>
        <v>14000</v>
      </c>
      <c r="R102" s="1">
        <v>820</v>
      </c>
      <c r="S102" s="20">
        <f>T102*R102</f>
        <v>0</v>
      </c>
      <c r="T102" s="20"/>
      <c r="U102" s="1">
        <v>25</v>
      </c>
      <c r="V102" s="28">
        <v>3</v>
      </c>
      <c r="W102" s="1">
        <f t="shared" si="12"/>
        <v>22</v>
      </c>
      <c r="X102" s="1"/>
      <c r="Y102" s="21">
        <v>820</v>
      </c>
      <c r="Z102" s="22">
        <v>46254</v>
      </c>
      <c r="AA102" s="1" t="s">
        <v>7</v>
      </c>
      <c r="AB102" s="2" t="s">
        <v>187</v>
      </c>
      <c r="AC102" s="21">
        <f>(T102+W102)*R102+X102-Y102</f>
        <v>17220</v>
      </c>
      <c r="AD102" s="1">
        <f>V102*R102-X102+Y102</f>
        <v>3280</v>
      </c>
      <c r="AE102" s="1">
        <f t="shared" si="13"/>
        <v>0</v>
      </c>
      <c r="AF102" s="1">
        <v>20</v>
      </c>
      <c r="AG102" s="1">
        <f t="shared" si="14"/>
        <v>0</v>
      </c>
      <c r="AH102" s="1">
        <f t="shared" si="15"/>
        <v>0</v>
      </c>
      <c r="AI102" s="1" t="str">
        <f t="shared" si="16"/>
        <v>0-30</v>
      </c>
      <c r="AJ102" s="1" t="str">
        <f t="shared" si="17"/>
        <v>NO</v>
      </c>
      <c r="AK102" s="1">
        <f t="shared" si="18"/>
        <v>17220</v>
      </c>
      <c r="AL102" s="1">
        <f>U102*R102</f>
        <v>20500</v>
      </c>
      <c r="AM102" s="1">
        <f>U102*R102-O102</f>
        <v>5500</v>
      </c>
      <c r="AN102" s="23">
        <f t="shared" si="19"/>
        <v>220</v>
      </c>
      <c r="AO102" s="24">
        <v>46224</v>
      </c>
      <c r="AP102" s="25">
        <v>46227</v>
      </c>
      <c r="AQ102" s="24">
        <v>46240</v>
      </c>
      <c r="AR102" s="1" t="s">
        <v>214</v>
      </c>
      <c r="AS102" s="1" t="s">
        <v>207</v>
      </c>
      <c r="AT102" s="26" t="s">
        <v>215</v>
      </c>
      <c r="AU102" s="26"/>
      <c r="AV102" s="27">
        <f t="shared" si="20"/>
        <v>0</v>
      </c>
    </row>
    <row r="103" spans="1:48" x14ac:dyDescent="0.25">
      <c r="A103" s="1" t="str">
        <f t="shared" si="21"/>
        <v>ACTIVE</v>
      </c>
      <c r="B103" s="2" t="s">
        <v>206</v>
      </c>
      <c r="C103" s="2" t="s">
        <v>207</v>
      </c>
      <c r="D103" s="2" t="s">
        <v>206</v>
      </c>
      <c r="E103" s="2" t="s">
        <v>208</v>
      </c>
      <c r="F103" s="2"/>
      <c r="G103" s="1" t="s">
        <v>220</v>
      </c>
      <c r="H103" s="2" t="s">
        <v>210</v>
      </c>
      <c r="I103" s="2" t="s">
        <v>10</v>
      </c>
      <c r="J103" s="1" t="s">
        <v>211</v>
      </c>
      <c r="K103" s="2" t="s">
        <v>188</v>
      </c>
      <c r="L103" s="2" t="s">
        <v>447</v>
      </c>
      <c r="M103" s="1" t="s">
        <v>448</v>
      </c>
      <c r="N103" s="1">
        <v>7500222530</v>
      </c>
      <c r="O103" s="1">
        <v>15000</v>
      </c>
      <c r="P103" s="1">
        <v>1000</v>
      </c>
      <c r="Q103" s="2">
        <f t="shared" si="11"/>
        <v>14000</v>
      </c>
      <c r="R103" s="1">
        <v>820</v>
      </c>
      <c r="S103" s="20">
        <f>T103*R103</f>
        <v>0</v>
      </c>
      <c r="T103" s="20"/>
      <c r="U103" s="1">
        <v>25</v>
      </c>
      <c r="V103" s="28">
        <v>4</v>
      </c>
      <c r="W103" s="1">
        <f t="shared" si="12"/>
        <v>21</v>
      </c>
      <c r="X103" s="1"/>
      <c r="Y103" s="21"/>
      <c r="Z103" s="22"/>
      <c r="AA103" s="1" t="s">
        <v>6</v>
      </c>
      <c r="AB103" s="2" t="s">
        <v>188</v>
      </c>
      <c r="AC103" s="21">
        <f>(T103+W103)*R103+X103-Y103</f>
        <v>17220</v>
      </c>
      <c r="AD103" s="1">
        <f>V103*R103-X103+Y103</f>
        <v>3280</v>
      </c>
      <c r="AE103" s="1">
        <f t="shared" si="13"/>
        <v>0</v>
      </c>
      <c r="AF103" s="1">
        <v>20</v>
      </c>
      <c r="AG103" s="1">
        <f t="shared" si="14"/>
        <v>0</v>
      </c>
      <c r="AH103" s="1">
        <f t="shared" si="15"/>
        <v>0</v>
      </c>
      <c r="AI103" s="1" t="str">
        <f t="shared" si="16"/>
        <v>0-30</v>
      </c>
      <c r="AJ103" s="1" t="str">
        <f t="shared" si="17"/>
        <v>NO</v>
      </c>
      <c r="AK103" s="1">
        <f t="shared" si="18"/>
        <v>17220</v>
      </c>
      <c r="AL103" s="1">
        <f>U103*R103</f>
        <v>20500</v>
      </c>
      <c r="AM103" s="1">
        <f>U103*R103-O103</f>
        <v>5500</v>
      </c>
      <c r="AN103" s="23">
        <f t="shared" si="19"/>
        <v>220</v>
      </c>
      <c r="AO103" s="24">
        <v>46224</v>
      </c>
      <c r="AP103" s="25">
        <v>46227</v>
      </c>
      <c r="AQ103" s="24">
        <v>46237</v>
      </c>
      <c r="AR103" s="1" t="s">
        <v>214</v>
      </c>
      <c r="AS103" s="1" t="s">
        <v>207</v>
      </c>
      <c r="AT103" s="26" t="s">
        <v>215</v>
      </c>
      <c r="AU103" s="26"/>
      <c r="AV103" s="27">
        <f t="shared" si="20"/>
        <v>0</v>
      </c>
    </row>
    <row r="104" spans="1:48" x14ac:dyDescent="0.25">
      <c r="A104" s="1" t="str">
        <f t="shared" si="21"/>
        <v>ACTIVE</v>
      </c>
      <c r="B104" s="2" t="s">
        <v>206</v>
      </c>
      <c r="C104" s="2" t="s">
        <v>207</v>
      </c>
      <c r="D104" s="2" t="s">
        <v>206</v>
      </c>
      <c r="E104" s="2" t="s">
        <v>208</v>
      </c>
      <c r="F104" s="2"/>
      <c r="G104" s="1" t="s">
        <v>216</v>
      </c>
      <c r="H104" s="2" t="s">
        <v>210</v>
      </c>
      <c r="I104" s="2" t="s">
        <v>10</v>
      </c>
      <c r="J104" s="1" t="s">
        <v>422</v>
      </c>
      <c r="K104" s="2" t="s">
        <v>189</v>
      </c>
      <c r="L104" s="2" t="s">
        <v>88</v>
      </c>
      <c r="M104" s="1" t="s">
        <v>114</v>
      </c>
      <c r="N104" s="1">
        <v>7900709575</v>
      </c>
      <c r="O104" s="1">
        <v>15000</v>
      </c>
      <c r="P104" s="1">
        <v>1000</v>
      </c>
      <c r="Q104" s="2">
        <f t="shared" si="11"/>
        <v>14000</v>
      </c>
      <c r="R104" s="1">
        <v>820</v>
      </c>
      <c r="S104" s="20">
        <f>T104*R104</f>
        <v>0</v>
      </c>
      <c r="T104" s="20"/>
      <c r="U104" s="1">
        <v>25</v>
      </c>
      <c r="V104" s="28">
        <v>4</v>
      </c>
      <c r="W104" s="1">
        <f t="shared" si="12"/>
        <v>21</v>
      </c>
      <c r="X104" s="1"/>
      <c r="Y104" s="21"/>
      <c r="Z104" s="1"/>
      <c r="AA104" s="1" t="s">
        <v>6</v>
      </c>
      <c r="AB104" s="2" t="s">
        <v>189</v>
      </c>
      <c r="AC104" s="21">
        <f>(T104+W104)*R104+X104-Y104</f>
        <v>17220</v>
      </c>
      <c r="AD104" s="1">
        <f>V104*R104-X104+Y104</f>
        <v>3280</v>
      </c>
      <c r="AE104" s="1">
        <f t="shared" si="13"/>
        <v>0</v>
      </c>
      <c r="AF104" s="1">
        <v>20</v>
      </c>
      <c r="AG104" s="1">
        <f t="shared" si="14"/>
        <v>0</v>
      </c>
      <c r="AH104" s="1">
        <f t="shared" si="15"/>
        <v>0</v>
      </c>
      <c r="AI104" s="1" t="str">
        <f t="shared" si="16"/>
        <v>0-30</v>
      </c>
      <c r="AJ104" s="1" t="str">
        <f t="shared" si="17"/>
        <v>NO</v>
      </c>
      <c r="AK104" s="1">
        <f t="shared" si="18"/>
        <v>17220</v>
      </c>
      <c r="AL104" s="1">
        <f>U104*R104</f>
        <v>20500</v>
      </c>
      <c r="AM104" s="1">
        <f>U104*R104-O104</f>
        <v>5500</v>
      </c>
      <c r="AN104" s="23">
        <f t="shared" si="19"/>
        <v>220</v>
      </c>
      <c r="AO104" s="24">
        <v>46221</v>
      </c>
      <c r="AP104" s="25">
        <v>46227</v>
      </c>
      <c r="AQ104" s="24">
        <v>46237</v>
      </c>
      <c r="AR104" s="1" t="s">
        <v>214</v>
      </c>
      <c r="AS104" s="1" t="s">
        <v>207</v>
      </c>
      <c r="AT104" s="26" t="s">
        <v>215</v>
      </c>
      <c r="AU104" s="26"/>
      <c r="AV104" s="27">
        <f t="shared" si="20"/>
        <v>0</v>
      </c>
    </row>
    <row r="105" spans="1:48" x14ac:dyDescent="0.25">
      <c r="A105" s="1" t="str">
        <f t="shared" si="21"/>
        <v>ACTIVE</v>
      </c>
      <c r="B105" s="2" t="s">
        <v>206</v>
      </c>
      <c r="C105" s="2" t="s">
        <v>207</v>
      </c>
      <c r="D105" s="2" t="s">
        <v>206</v>
      </c>
      <c r="E105" s="2" t="s">
        <v>208</v>
      </c>
      <c r="F105" s="2"/>
      <c r="G105" s="1" t="s">
        <v>220</v>
      </c>
      <c r="H105" s="2" t="s">
        <v>210</v>
      </c>
      <c r="I105" s="2" t="s">
        <v>10</v>
      </c>
      <c r="J105" s="1" t="s">
        <v>449</v>
      </c>
      <c r="K105" s="2" t="s">
        <v>450</v>
      </c>
      <c r="L105" s="2" t="s">
        <v>451</v>
      </c>
      <c r="M105" s="1" t="s">
        <v>452</v>
      </c>
      <c r="N105" s="1">
        <v>9389227922</v>
      </c>
      <c r="O105" s="1">
        <v>15000</v>
      </c>
      <c r="P105" s="1">
        <v>1000</v>
      </c>
      <c r="Q105" s="2">
        <f t="shared" si="11"/>
        <v>14000</v>
      </c>
      <c r="R105" s="1">
        <v>820</v>
      </c>
      <c r="S105" s="20">
        <f>T105*R105</f>
        <v>0</v>
      </c>
      <c r="T105" s="20"/>
      <c r="U105" s="1">
        <v>25</v>
      </c>
      <c r="V105" s="28">
        <v>3</v>
      </c>
      <c r="W105" s="1">
        <f t="shared" si="12"/>
        <v>22</v>
      </c>
      <c r="X105" s="1"/>
      <c r="Y105" s="21">
        <v>1640</v>
      </c>
      <c r="Z105" s="22">
        <v>46259</v>
      </c>
      <c r="AA105" s="1" t="s">
        <v>5</v>
      </c>
      <c r="AB105" s="2" t="s">
        <v>450</v>
      </c>
      <c r="AC105" s="21">
        <f>(T105+W105)*R105+X105-Y105</f>
        <v>16400</v>
      </c>
      <c r="AD105" s="1">
        <f>V105*R105-X105+Y105</f>
        <v>4100</v>
      </c>
      <c r="AE105" s="1">
        <f t="shared" si="13"/>
        <v>0</v>
      </c>
      <c r="AF105" s="1">
        <v>20</v>
      </c>
      <c r="AG105" s="1">
        <f t="shared" si="14"/>
        <v>0</v>
      </c>
      <c r="AH105" s="1">
        <f t="shared" si="15"/>
        <v>0</v>
      </c>
      <c r="AI105" s="1" t="str">
        <f t="shared" si="16"/>
        <v>0-30</v>
      </c>
      <c r="AJ105" s="1" t="str">
        <f t="shared" si="17"/>
        <v>NO</v>
      </c>
      <c r="AK105" s="1">
        <f t="shared" si="18"/>
        <v>16400</v>
      </c>
      <c r="AL105" s="1">
        <f>U105*R105</f>
        <v>20500</v>
      </c>
      <c r="AM105" s="1">
        <f>U105*R105-O105</f>
        <v>5500</v>
      </c>
      <c r="AN105" s="23">
        <f t="shared" si="19"/>
        <v>220</v>
      </c>
      <c r="AO105" s="24">
        <v>46225</v>
      </c>
      <c r="AP105" s="25">
        <v>46231</v>
      </c>
      <c r="AQ105" s="24">
        <v>46241</v>
      </c>
      <c r="AR105" s="1" t="s">
        <v>214</v>
      </c>
      <c r="AS105" s="1" t="s">
        <v>207</v>
      </c>
      <c r="AT105" s="26" t="s">
        <v>215</v>
      </c>
      <c r="AU105" s="26"/>
      <c r="AV105" s="27">
        <f t="shared" si="20"/>
        <v>0</v>
      </c>
    </row>
    <row r="106" spans="1:48" x14ac:dyDescent="0.25">
      <c r="A106" s="1" t="str">
        <f t="shared" si="21"/>
        <v>ACTIVE</v>
      </c>
      <c r="B106" s="2" t="s">
        <v>206</v>
      </c>
      <c r="C106" s="2" t="s">
        <v>207</v>
      </c>
      <c r="D106" s="2" t="s">
        <v>206</v>
      </c>
      <c r="E106" s="2" t="s">
        <v>208</v>
      </c>
      <c r="F106" s="2"/>
      <c r="G106" s="1" t="s">
        <v>220</v>
      </c>
      <c r="H106" s="2" t="s">
        <v>210</v>
      </c>
      <c r="I106" s="2" t="s">
        <v>10</v>
      </c>
      <c r="J106" s="1" t="s">
        <v>453</v>
      </c>
      <c r="K106" s="2" t="s">
        <v>454</v>
      </c>
      <c r="L106" s="2" t="s">
        <v>455</v>
      </c>
      <c r="M106" s="1" t="s">
        <v>456</v>
      </c>
      <c r="N106" s="1">
        <v>8791775750</v>
      </c>
      <c r="O106" s="1">
        <v>15000</v>
      </c>
      <c r="P106" s="1">
        <v>1000</v>
      </c>
      <c r="Q106" s="2">
        <f t="shared" si="11"/>
        <v>14000</v>
      </c>
      <c r="R106" s="1">
        <v>820</v>
      </c>
      <c r="S106" s="20">
        <f>T106*R106</f>
        <v>0</v>
      </c>
      <c r="T106" s="20"/>
      <c r="U106" s="1">
        <v>25</v>
      </c>
      <c r="V106" s="28">
        <v>3</v>
      </c>
      <c r="W106" s="1">
        <f t="shared" si="12"/>
        <v>22</v>
      </c>
      <c r="X106" s="1"/>
      <c r="Y106" s="21">
        <v>820</v>
      </c>
      <c r="Z106" s="22">
        <v>46258</v>
      </c>
      <c r="AA106" s="1" t="s">
        <v>6</v>
      </c>
      <c r="AB106" s="2" t="s">
        <v>454</v>
      </c>
      <c r="AC106" s="21">
        <f>(T106+W106)*R106+X106-Y106</f>
        <v>17220</v>
      </c>
      <c r="AD106" s="1">
        <f>V106*R106-X106+Y106</f>
        <v>3280</v>
      </c>
      <c r="AE106" s="1">
        <f t="shared" si="13"/>
        <v>0</v>
      </c>
      <c r="AF106" s="1">
        <v>20</v>
      </c>
      <c r="AG106" s="1">
        <f t="shared" si="14"/>
        <v>0</v>
      </c>
      <c r="AH106" s="1">
        <f t="shared" si="15"/>
        <v>0</v>
      </c>
      <c r="AI106" s="1" t="str">
        <f t="shared" si="16"/>
        <v>0-30</v>
      </c>
      <c r="AJ106" s="1" t="str">
        <f t="shared" si="17"/>
        <v>NO</v>
      </c>
      <c r="AK106" s="1">
        <f t="shared" si="18"/>
        <v>17220</v>
      </c>
      <c r="AL106" s="1">
        <f>U106*R106</f>
        <v>20500</v>
      </c>
      <c r="AM106" s="1">
        <f>U106*R106-O106</f>
        <v>5500</v>
      </c>
      <c r="AN106" s="23">
        <f t="shared" si="19"/>
        <v>220</v>
      </c>
      <c r="AO106" s="24">
        <v>46225</v>
      </c>
      <c r="AP106" s="25">
        <v>46231</v>
      </c>
      <c r="AQ106" s="24">
        <v>46244</v>
      </c>
      <c r="AR106" s="1" t="s">
        <v>214</v>
      </c>
      <c r="AS106" s="1" t="s">
        <v>207</v>
      </c>
      <c r="AT106" s="26" t="s">
        <v>215</v>
      </c>
      <c r="AU106" s="26"/>
      <c r="AV106" s="27">
        <f t="shared" si="20"/>
        <v>0</v>
      </c>
    </row>
    <row r="107" spans="1:48" x14ac:dyDescent="0.25">
      <c r="A107" s="1" t="str">
        <f t="shared" si="21"/>
        <v>ACTIVE</v>
      </c>
      <c r="B107" s="2" t="s">
        <v>206</v>
      </c>
      <c r="C107" s="2" t="s">
        <v>207</v>
      </c>
      <c r="D107" s="2" t="s">
        <v>206</v>
      </c>
      <c r="E107" s="2" t="s">
        <v>208</v>
      </c>
      <c r="F107" s="2">
        <v>3986</v>
      </c>
      <c r="G107" s="1" t="s">
        <v>220</v>
      </c>
      <c r="H107" s="2" t="s">
        <v>210</v>
      </c>
      <c r="I107" s="2" t="s">
        <v>10</v>
      </c>
      <c r="J107" s="1" t="s">
        <v>245</v>
      </c>
      <c r="K107" s="2" t="s">
        <v>457</v>
      </c>
      <c r="L107" s="2" t="s">
        <v>458</v>
      </c>
      <c r="M107" s="1" t="s">
        <v>459</v>
      </c>
      <c r="N107" s="1">
        <v>9917823280</v>
      </c>
      <c r="O107" s="1">
        <v>15000</v>
      </c>
      <c r="P107" s="1">
        <v>1000</v>
      </c>
      <c r="Q107" s="2">
        <f t="shared" si="11"/>
        <v>14000</v>
      </c>
      <c r="R107" s="1">
        <v>820</v>
      </c>
      <c r="S107" s="20">
        <f>T107*R107</f>
        <v>0</v>
      </c>
      <c r="T107" s="20"/>
      <c r="U107" s="1">
        <v>25</v>
      </c>
      <c r="V107" s="28">
        <v>2</v>
      </c>
      <c r="W107" s="1">
        <f t="shared" si="12"/>
        <v>23</v>
      </c>
      <c r="X107" s="1"/>
      <c r="Y107" s="21"/>
      <c r="Z107" s="22"/>
      <c r="AA107" s="1" t="s">
        <v>5</v>
      </c>
      <c r="AB107" s="2" t="s">
        <v>457</v>
      </c>
      <c r="AC107" s="21">
        <f>(T107+W107)*R107+X107-Y107</f>
        <v>18860</v>
      </c>
      <c r="AD107" s="1">
        <f>V107*R107-X107+Y107</f>
        <v>1640</v>
      </c>
      <c r="AE107" s="1">
        <f t="shared" si="13"/>
        <v>0</v>
      </c>
      <c r="AF107" s="1">
        <v>20</v>
      </c>
      <c r="AG107" s="1">
        <f t="shared" si="14"/>
        <v>0</v>
      </c>
      <c r="AH107" s="1">
        <f t="shared" si="15"/>
        <v>0</v>
      </c>
      <c r="AI107" s="1" t="str">
        <f t="shared" si="16"/>
        <v>0-30</v>
      </c>
      <c r="AJ107" s="1" t="str">
        <f t="shared" si="17"/>
        <v>NO</v>
      </c>
      <c r="AK107" s="1">
        <f t="shared" si="18"/>
        <v>18860</v>
      </c>
      <c r="AL107" s="1">
        <f>U107*R107</f>
        <v>20500</v>
      </c>
      <c r="AM107" s="1">
        <f>U107*R107-O107</f>
        <v>5500</v>
      </c>
      <c r="AN107" s="23">
        <f t="shared" si="19"/>
        <v>220</v>
      </c>
      <c r="AO107" s="24">
        <v>46225</v>
      </c>
      <c r="AP107" s="25">
        <v>46233</v>
      </c>
      <c r="AQ107" s="24">
        <v>46248</v>
      </c>
      <c r="AR107" s="1" t="s">
        <v>214</v>
      </c>
      <c r="AS107" s="1" t="s">
        <v>207</v>
      </c>
      <c r="AT107" s="26" t="s">
        <v>215</v>
      </c>
      <c r="AU107" s="26"/>
      <c r="AV107" s="27">
        <f t="shared" si="20"/>
        <v>0</v>
      </c>
    </row>
    <row r="108" spans="1:48" x14ac:dyDescent="0.25">
      <c r="A108" s="1" t="str">
        <f t="shared" si="21"/>
        <v>ACTIVE</v>
      </c>
      <c r="B108" s="2" t="s">
        <v>206</v>
      </c>
      <c r="C108" s="2" t="s">
        <v>207</v>
      </c>
      <c r="D108" s="2" t="s">
        <v>206</v>
      </c>
      <c r="E108" s="2" t="s">
        <v>208</v>
      </c>
      <c r="F108" s="2">
        <v>5735</v>
      </c>
      <c r="G108" s="1" t="s">
        <v>220</v>
      </c>
      <c r="H108" s="2" t="s">
        <v>210</v>
      </c>
      <c r="I108" s="2" t="s">
        <v>10</v>
      </c>
      <c r="J108" s="1" t="s">
        <v>245</v>
      </c>
      <c r="K108" s="2" t="s">
        <v>460</v>
      </c>
      <c r="L108" s="2" t="s">
        <v>461</v>
      </c>
      <c r="M108" s="1" t="s">
        <v>462</v>
      </c>
      <c r="N108" s="1">
        <v>7078104658</v>
      </c>
      <c r="O108" s="1">
        <v>15000</v>
      </c>
      <c r="P108" s="1">
        <v>1000</v>
      </c>
      <c r="Q108" s="2">
        <f t="shared" si="11"/>
        <v>14000</v>
      </c>
      <c r="R108" s="1">
        <v>820</v>
      </c>
      <c r="S108" s="20">
        <f>T108*R108</f>
        <v>0</v>
      </c>
      <c r="T108" s="20"/>
      <c r="U108" s="1">
        <v>25</v>
      </c>
      <c r="V108" s="28">
        <v>3</v>
      </c>
      <c r="W108" s="1">
        <f t="shared" si="12"/>
        <v>22</v>
      </c>
      <c r="X108" s="1"/>
      <c r="Y108" s="21">
        <v>1640</v>
      </c>
      <c r="Z108" s="22">
        <v>46259</v>
      </c>
      <c r="AA108" s="1" t="s">
        <v>5</v>
      </c>
      <c r="AB108" s="2" t="s">
        <v>460</v>
      </c>
      <c r="AC108" s="21">
        <f>(T108+W108)*R108+X108-Y108</f>
        <v>16400</v>
      </c>
      <c r="AD108" s="1">
        <f>V108*R108-X108+Y108</f>
        <v>4100</v>
      </c>
      <c r="AE108" s="1">
        <f t="shared" si="13"/>
        <v>0</v>
      </c>
      <c r="AF108" s="1">
        <v>20</v>
      </c>
      <c r="AG108" s="1">
        <f t="shared" si="14"/>
        <v>0</v>
      </c>
      <c r="AH108" s="1">
        <f t="shared" si="15"/>
        <v>0</v>
      </c>
      <c r="AI108" s="1" t="str">
        <f t="shared" si="16"/>
        <v>0-30</v>
      </c>
      <c r="AJ108" s="1" t="str">
        <f t="shared" si="17"/>
        <v>NO</v>
      </c>
      <c r="AK108" s="1">
        <f t="shared" si="18"/>
        <v>16400</v>
      </c>
      <c r="AL108" s="1">
        <f>U108*R108</f>
        <v>20500</v>
      </c>
      <c r="AM108" s="1">
        <f>U108*R108-O108</f>
        <v>5500</v>
      </c>
      <c r="AN108" s="23">
        <f t="shared" si="19"/>
        <v>220</v>
      </c>
      <c r="AO108" s="24">
        <v>46227</v>
      </c>
      <c r="AP108" s="25">
        <v>46233</v>
      </c>
      <c r="AQ108" s="24">
        <v>46241</v>
      </c>
      <c r="AR108" s="1" t="s">
        <v>214</v>
      </c>
      <c r="AS108" s="1" t="s">
        <v>207</v>
      </c>
      <c r="AT108" s="26" t="s">
        <v>215</v>
      </c>
      <c r="AU108" s="26"/>
      <c r="AV108" s="27">
        <f t="shared" si="20"/>
        <v>0</v>
      </c>
    </row>
    <row r="109" spans="1:48" x14ac:dyDescent="0.25">
      <c r="A109" s="1" t="str">
        <f t="shared" si="21"/>
        <v>ACTIVE</v>
      </c>
      <c r="B109" s="2" t="s">
        <v>206</v>
      </c>
      <c r="C109" s="2" t="s">
        <v>207</v>
      </c>
      <c r="D109" s="2" t="s">
        <v>206</v>
      </c>
      <c r="E109" s="2" t="s">
        <v>208</v>
      </c>
      <c r="F109" s="2">
        <v>3530</v>
      </c>
      <c r="G109" s="1" t="s">
        <v>220</v>
      </c>
      <c r="H109" s="2" t="s">
        <v>210</v>
      </c>
      <c r="I109" s="2" t="s">
        <v>10</v>
      </c>
      <c r="J109" s="1" t="s">
        <v>245</v>
      </c>
      <c r="K109" s="2" t="s">
        <v>463</v>
      </c>
      <c r="L109" s="2" t="s">
        <v>113</v>
      </c>
      <c r="M109" s="1" t="s">
        <v>464</v>
      </c>
      <c r="N109" s="1">
        <v>8534955723</v>
      </c>
      <c r="O109" s="1">
        <v>15000</v>
      </c>
      <c r="P109" s="1">
        <v>1000</v>
      </c>
      <c r="Q109" s="2">
        <f t="shared" si="11"/>
        <v>14000</v>
      </c>
      <c r="R109" s="1">
        <v>820</v>
      </c>
      <c r="S109" s="20">
        <f>T109*R109</f>
        <v>0</v>
      </c>
      <c r="T109" s="20"/>
      <c r="U109" s="1">
        <v>25</v>
      </c>
      <c r="V109" s="28">
        <v>3</v>
      </c>
      <c r="W109" s="1">
        <f t="shared" si="12"/>
        <v>22</v>
      </c>
      <c r="X109" s="1"/>
      <c r="Y109" s="21">
        <v>820</v>
      </c>
      <c r="Z109" s="22">
        <v>46260</v>
      </c>
      <c r="AA109" s="1" t="s">
        <v>3</v>
      </c>
      <c r="AB109" s="2" t="s">
        <v>463</v>
      </c>
      <c r="AC109" s="21">
        <f>(T109+W109)*R109+X109-Y109</f>
        <v>17220</v>
      </c>
      <c r="AD109" s="1">
        <f>V109*R109-X109+Y109</f>
        <v>3280</v>
      </c>
      <c r="AE109" s="1">
        <f t="shared" si="13"/>
        <v>0</v>
      </c>
      <c r="AF109" s="1">
        <v>20</v>
      </c>
      <c r="AG109" s="1">
        <f t="shared" si="14"/>
        <v>0</v>
      </c>
      <c r="AH109" s="1">
        <f t="shared" si="15"/>
        <v>0</v>
      </c>
      <c r="AI109" s="1" t="str">
        <f t="shared" si="16"/>
        <v>0-30</v>
      </c>
      <c r="AJ109" s="1" t="str">
        <f t="shared" si="17"/>
        <v>NO</v>
      </c>
      <c r="AK109" s="1">
        <f t="shared" si="18"/>
        <v>17220</v>
      </c>
      <c r="AL109" s="1">
        <f>U109*R109</f>
        <v>20500</v>
      </c>
      <c r="AM109" s="1">
        <f>U109*R109-O109</f>
        <v>5500</v>
      </c>
      <c r="AN109" s="23">
        <f t="shared" si="19"/>
        <v>220</v>
      </c>
      <c r="AO109" s="24">
        <v>46231</v>
      </c>
      <c r="AP109" s="25">
        <v>46233</v>
      </c>
      <c r="AQ109" s="24">
        <v>46246</v>
      </c>
      <c r="AR109" s="1" t="s">
        <v>214</v>
      </c>
      <c r="AS109" s="1" t="s">
        <v>207</v>
      </c>
      <c r="AT109" s="26" t="s">
        <v>215</v>
      </c>
      <c r="AU109" s="26"/>
      <c r="AV109" s="27">
        <f t="shared" si="20"/>
        <v>0</v>
      </c>
    </row>
    <row r="110" spans="1:48" x14ac:dyDescent="0.25">
      <c r="A110" s="1" t="str">
        <f t="shared" si="21"/>
        <v>ACTIVE</v>
      </c>
      <c r="B110" s="2" t="s">
        <v>206</v>
      </c>
      <c r="C110" s="2" t="s">
        <v>207</v>
      </c>
      <c r="D110" s="2" t="s">
        <v>206</v>
      </c>
      <c r="E110" s="2" t="s">
        <v>208</v>
      </c>
      <c r="F110" s="2">
        <v>1306</v>
      </c>
      <c r="G110" s="1" t="s">
        <v>216</v>
      </c>
      <c r="H110" s="2" t="s">
        <v>210</v>
      </c>
      <c r="I110" s="2" t="s">
        <v>10</v>
      </c>
      <c r="J110" s="1" t="s">
        <v>465</v>
      </c>
      <c r="K110" s="2" t="s">
        <v>466</v>
      </c>
      <c r="L110" s="2" t="s">
        <v>394</v>
      </c>
      <c r="M110" s="1" t="s">
        <v>467</v>
      </c>
      <c r="N110" s="1">
        <v>6396477629</v>
      </c>
      <c r="O110" s="1">
        <v>15000</v>
      </c>
      <c r="P110" s="1">
        <v>1000</v>
      </c>
      <c r="Q110" s="2">
        <f t="shared" si="11"/>
        <v>14000</v>
      </c>
      <c r="R110" s="1">
        <v>820</v>
      </c>
      <c r="S110" s="20">
        <f>T110*R110</f>
        <v>0</v>
      </c>
      <c r="T110" s="20"/>
      <c r="U110" s="1">
        <v>25</v>
      </c>
      <c r="V110" s="28">
        <v>3</v>
      </c>
      <c r="W110" s="1">
        <f t="shared" si="12"/>
        <v>22</v>
      </c>
      <c r="X110" s="1"/>
      <c r="Y110" s="21"/>
      <c r="Z110" s="22"/>
      <c r="AA110" s="1" t="s">
        <v>7</v>
      </c>
      <c r="AB110" s="2" t="s">
        <v>466</v>
      </c>
      <c r="AC110" s="21">
        <f>(T110+W110)*R110+X110-Y110</f>
        <v>18040</v>
      </c>
      <c r="AD110" s="1">
        <f>V110*R110-X110+Y110</f>
        <v>2460</v>
      </c>
      <c r="AE110" s="1">
        <f t="shared" si="13"/>
        <v>0</v>
      </c>
      <c r="AF110" s="1">
        <v>20</v>
      </c>
      <c r="AG110" s="1">
        <f t="shared" si="14"/>
        <v>0</v>
      </c>
      <c r="AH110" s="1">
        <f t="shared" si="15"/>
        <v>0</v>
      </c>
      <c r="AI110" s="1" t="str">
        <f t="shared" si="16"/>
        <v>0-30</v>
      </c>
      <c r="AJ110" s="1" t="str">
        <f t="shared" si="17"/>
        <v>NO</v>
      </c>
      <c r="AK110" s="1">
        <f t="shared" si="18"/>
        <v>18040</v>
      </c>
      <c r="AL110" s="1">
        <f>U110*R110</f>
        <v>20500</v>
      </c>
      <c r="AM110" s="1">
        <f>U110*R110-O110</f>
        <v>5500</v>
      </c>
      <c r="AN110" s="23">
        <f t="shared" si="19"/>
        <v>220</v>
      </c>
      <c r="AO110" s="24">
        <v>46225</v>
      </c>
      <c r="AP110" s="25">
        <v>46233</v>
      </c>
      <c r="AQ110" s="24">
        <v>46240</v>
      </c>
      <c r="AR110" s="1" t="s">
        <v>214</v>
      </c>
      <c r="AS110" s="1" t="s">
        <v>207</v>
      </c>
      <c r="AT110" s="26" t="s">
        <v>215</v>
      </c>
      <c r="AU110" s="26"/>
      <c r="AV110" s="27">
        <f t="shared" si="20"/>
        <v>0</v>
      </c>
    </row>
    <row r="111" spans="1:48" x14ac:dyDescent="0.25">
      <c r="A111" s="1" t="str">
        <f t="shared" si="21"/>
        <v>ACTIVE</v>
      </c>
      <c r="B111" s="2" t="s">
        <v>206</v>
      </c>
      <c r="C111" s="2" t="s">
        <v>207</v>
      </c>
      <c r="D111" s="2" t="s">
        <v>206</v>
      </c>
      <c r="E111" s="2" t="s">
        <v>208</v>
      </c>
      <c r="F111" s="2">
        <v>8338</v>
      </c>
      <c r="G111" s="1" t="s">
        <v>220</v>
      </c>
      <c r="H111" s="2" t="s">
        <v>210</v>
      </c>
      <c r="I111" s="2" t="s">
        <v>10</v>
      </c>
      <c r="J111" s="1" t="s">
        <v>403</v>
      </c>
      <c r="K111" s="2" t="s">
        <v>468</v>
      </c>
      <c r="L111" s="2" t="s">
        <v>469</v>
      </c>
      <c r="M111" s="1" t="s">
        <v>470</v>
      </c>
      <c r="N111" s="1">
        <v>9917946636</v>
      </c>
      <c r="O111" s="1">
        <v>15000</v>
      </c>
      <c r="P111" s="1">
        <v>1000</v>
      </c>
      <c r="Q111" s="2">
        <f t="shared" si="11"/>
        <v>14000</v>
      </c>
      <c r="R111" s="1">
        <v>820</v>
      </c>
      <c r="S111" s="20">
        <f>T111*R111</f>
        <v>0</v>
      </c>
      <c r="T111" s="20"/>
      <c r="U111" s="1">
        <v>25</v>
      </c>
      <c r="V111" s="28">
        <v>3</v>
      </c>
      <c r="W111" s="1">
        <f t="shared" si="12"/>
        <v>22</v>
      </c>
      <c r="X111" s="1"/>
      <c r="Y111" s="21">
        <v>820</v>
      </c>
      <c r="Z111" s="22">
        <v>46258</v>
      </c>
      <c r="AA111" s="1" t="s">
        <v>6</v>
      </c>
      <c r="AB111" s="2" t="s">
        <v>468</v>
      </c>
      <c r="AC111" s="21">
        <f>(T111+W111)*R111+X111-Y111</f>
        <v>17220</v>
      </c>
      <c r="AD111" s="1">
        <f>V111*R111-X111+Y111</f>
        <v>3280</v>
      </c>
      <c r="AE111" s="1">
        <f t="shared" si="13"/>
        <v>0</v>
      </c>
      <c r="AF111" s="1">
        <v>20</v>
      </c>
      <c r="AG111" s="1">
        <f t="shared" si="14"/>
        <v>0</v>
      </c>
      <c r="AH111" s="1">
        <f t="shared" si="15"/>
        <v>0</v>
      </c>
      <c r="AI111" s="1" t="str">
        <f t="shared" si="16"/>
        <v>0-30</v>
      </c>
      <c r="AJ111" s="1" t="str">
        <f t="shared" si="17"/>
        <v>NO</v>
      </c>
      <c r="AK111" s="1">
        <f t="shared" si="18"/>
        <v>17220</v>
      </c>
      <c r="AL111" s="1">
        <f>U111*R111</f>
        <v>20500</v>
      </c>
      <c r="AM111" s="1">
        <f>U111*R111-O111</f>
        <v>5500</v>
      </c>
      <c r="AN111" s="23">
        <f t="shared" si="19"/>
        <v>220</v>
      </c>
      <c r="AO111" s="24">
        <v>46224</v>
      </c>
      <c r="AP111" s="25">
        <v>46233</v>
      </c>
      <c r="AQ111" s="24">
        <v>46244</v>
      </c>
      <c r="AR111" s="1" t="s">
        <v>214</v>
      </c>
      <c r="AS111" s="1" t="s">
        <v>207</v>
      </c>
      <c r="AT111" s="26" t="s">
        <v>215</v>
      </c>
      <c r="AU111" s="26"/>
      <c r="AV111" s="27">
        <f t="shared" si="20"/>
        <v>0</v>
      </c>
    </row>
    <row r="112" spans="1:48" x14ac:dyDescent="0.25">
      <c r="A112" s="1" t="str">
        <f t="shared" si="21"/>
        <v>ACTIVE</v>
      </c>
      <c r="B112" s="2" t="s">
        <v>206</v>
      </c>
      <c r="C112" s="2" t="s">
        <v>207</v>
      </c>
      <c r="D112" s="2" t="s">
        <v>206</v>
      </c>
      <c r="E112" s="2" t="s">
        <v>208</v>
      </c>
      <c r="F112" s="2">
        <v>1374</v>
      </c>
      <c r="G112" s="1" t="s">
        <v>220</v>
      </c>
      <c r="H112" s="2" t="s">
        <v>210</v>
      </c>
      <c r="I112" s="2" t="s">
        <v>42</v>
      </c>
      <c r="J112" s="1" t="s">
        <v>471</v>
      </c>
      <c r="K112" s="2" t="s">
        <v>472</v>
      </c>
      <c r="L112" s="2" t="s">
        <v>473</v>
      </c>
      <c r="M112" s="1" t="s">
        <v>474</v>
      </c>
      <c r="N112" s="1">
        <v>7078164193</v>
      </c>
      <c r="O112" s="1">
        <v>15000</v>
      </c>
      <c r="P112" s="1">
        <v>1000</v>
      </c>
      <c r="Q112" s="2">
        <f t="shared" si="11"/>
        <v>14000</v>
      </c>
      <c r="R112" s="1">
        <v>820</v>
      </c>
      <c r="S112" s="20">
        <f>T112*R112</f>
        <v>0</v>
      </c>
      <c r="T112" s="20"/>
      <c r="U112" s="1">
        <v>25</v>
      </c>
      <c r="V112" s="28">
        <v>2</v>
      </c>
      <c r="W112" s="1">
        <f t="shared" si="12"/>
        <v>23</v>
      </c>
      <c r="X112" s="1"/>
      <c r="Y112" s="21"/>
      <c r="Z112" s="1"/>
      <c r="AA112" s="1" t="s">
        <v>3</v>
      </c>
      <c r="AB112" s="2" t="s">
        <v>472</v>
      </c>
      <c r="AC112" s="21">
        <f>(T112+W112)*R112+X112-Y112</f>
        <v>18860</v>
      </c>
      <c r="AD112" s="1">
        <f>V112*R112-X112+Y112</f>
        <v>1640</v>
      </c>
      <c r="AE112" s="1">
        <f t="shared" si="13"/>
        <v>0</v>
      </c>
      <c r="AF112" s="1">
        <v>20</v>
      </c>
      <c r="AG112" s="1">
        <f t="shared" si="14"/>
        <v>0</v>
      </c>
      <c r="AH112" s="1">
        <f t="shared" si="15"/>
        <v>0</v>
      </c>
      <c r="AI112" s="1" t="str">
        <f t="shared" si="16"/>
        <v>0-30</v>
      </c>
      <c r="AJ112" s="1" t="str">
        <f t="shared" si="17"/>
        <v>NO</v>
      </c>
      <c r="AK112" s="1">
        <f t="shared" si="18"/>
        <v>18860</v>
      </c>
      <c r="AL112" s="1">
        <f>U112*R112</f>
        <v>20500</v>
      </c>
      <c r="AM112" s="1">
        <f>U112*R112-O112</f>
        <v>5500</v>
      </c>
      <c r="AN112" s="23">
        <f t="shared" si="19"/>
        <v>220</v>
      </c>
      <c r="AO112" s="24">
        <v>46219</v>
      </c>
      <c r="AP112" s="25">
        <v>46240</v>
      </c>
      <c r="AQ112" s="24">
        <v>46253</v>
      </c>
      <c r="AR112" s="1" t="s">
        <v>214</v>
      </c>
      <c r="AS112" s="1" t="s">
        <v>207</v>
      </c>
      <c r="AT112" s="26" t="s">
        <v>215</v>
      </c>
      <c r="AU112" s="26"/>
      <c r="AV112" s="27">
        <f t="shared" si="20"/>
        <v>0</v>
      </c>
    </row>
    <row r="113" spans="1:48" x14ac:dyDescent="0.25">
      <c r="A113" s="1" t="str">
        <f t="shared" si="21"/>
        <v>ACTIVE</v>
      </c>
      <c r="B113" s="2" t="s">
        <v>206</v>
      </c>
      <c r="C113" s="2" t="s">
        <v>207</v>
      </c>
      <c r="D113" s="2" t="s">
        <v>206</v>
      </c>
      <c r="E113" s="2" t="s">
        <v>208</v>
      </c>
      <c r="F113" s="2">
        <v>1601</v>
      </c>
      <c r="G113" s="1" t="s">
        <v>220</v>
      </c>
      <c r="H113" s="2" t="s">
        <v>210</v>
      </c>
      <c r="I113" s="2" t="s">
        <v>42</v>
      </c>
      <c r="J113" s="1" t="s">
        <v>211</v>
      </c>
      <c r="K113" s="2" t="s">
        <v>475</v>
      </c>
      <c r="L113" s="2" t="s">
        <v>476</v>
      </c>
      <c r="M113" s="1" t="s">
        <v>477</v>
      </c>
      <c r="N113" s="1">
        <v>8057772214</v>
      </c>
      <c r="O113" s="1">
        <v>15000</v>
      </c>
      <c r="P113" s="1">
        <v>1000</v>
      </c>
      <c r="Q113" s="2">
        <f t="shared" si="11"/>
        <v>14000</v>
      </c>
      <c r="R113" s="1">
        <v>820</v>
      </c>
      <c r="S113" s="20">
        <f>T113*R113</f>
        <v>0</v>
      </c>
      <c r="T113" s="20"/>
      <c r="U113" s="1">
        <v>25</v>
      </c>
      <c r="V113" s="28">
        <v>1</v>
      </c>
      <c r="W113" s="1">
        <f t="shared" si="12"/>
        <v>24</v>
      </c>
      <c r="X113" s="1"/>
      <c r="Y113" s="21"/>
      <c r="Z113" s="1"/>
      <c r="AA113" s="1" t="s">
        <v>7</v>
      </c>
      <c r="AB113" s="2" t="s">
        <v>475</v>
      </c>
      <c r="AC113" s="21">
        <f>(T113+W113)*R113+X113-Y113</f>
        <v>19680</v>
      </c>
      <c r="AD113" s="1">
        <f>V113*R113-X113+Y113</f>
        <v>820</v>
      </c>
      <c r="AE113" s="1">
        <f t="shared" si="13"/>
        <v>0</v>
      </c>
      <c r="AF113" s="1">
        <v>20</v>
      </c>
      <c r="AG113" s="1">
        <f t="shared" si="14"/>
        <v>0</v>
      </c>
      <c r="AH113" s="1">
        <f t="shared" si="15"/>
        <v>0</v>
      </c>
      <c r="AI113" s="1" t="str">
        <f t="shared" si="16"/>
        <v>0-30</v>
      </c>
      <c r="AJ113" s="1" t="str">
        <f t="shared" si="17"/>
        <v>NO</v>
      </c>
      <c r="AK113" s="1">
        <f t="shared" si="18"/>
        <v>19680</v>
      </c>
      <c r="AL113" s="1">
        <f>U113*R113</f>
        <v>20500</v>
      </c>
      <c r="AM113" s="1">
        <f>U113*R113-O113</f>
        <v>5500</v>
      </c>
      <c r="AN113" s="23">
        <f t="shared" si="19"/>
        <v>220</v>
      </c>
      <c r="AO113" s="24">
        <v>46219</v>
      </c>
      <c r="AP113" s="25">
        <v>46240</v>
      </c>
      <c r="AQ113" s="24">
        <v>46254</v>
      </c>
      <c r="AR113" s="1" t="s">
        <v>214</v>
      </c>
      <c r="AS113" s="1" t="s">
        <v>207</v>
      </c>
      <c r="AT113" s="26" t="s">
        <v>215</v>
      </c>
      <c r="AU113" s="26"/>
      <c r="AV113" s="27">
        <f t="shared" si="20"/>
        <v>0</v>
      </c>
    </row>
    <row r="114" spans="1:48" x14ac:dyDescent="0.25">
      <c r="A114" s="1" t="str">
        <f t="shared" si="21"/>
        <v>ACTIVE</v>
      </c>
      <c r="B114" s="2" t="s">
        <v>206</v>
      </c>
      <c r="C114" s="2" t="s">
        <v>207</v>
      </c>
      <c r="D114" s="2" t="s">
        <v>206</v>
      </c>
      <c r="E114" s="2" t="s">
        <v>208</v>
      </c>
      <c r="F114" s="2">
        <v>7261</v>
      </c>
      <c r="G114" s="1" t="s">
        <v>220</v>
      </c>
      <c r="H114" s="2" t="s">
        <v>210</v>
      </c>
      <c r="I114" s="2" t="s">
        <v>42</v>
      </c>
      <c r="J114" s="1" t="s">
        <v>281</v>
      </c>
      <c r="K114" s="2" t="s">
        <v>478</v>
      </c>
      <c r="L114" s="2" t="s">
        <v>479</v>
      </c>
      <c r="M114" s="1" t="s">
        <v>480</v>
      </c>
      <c r="N114" s="1">
        <v>8958109073</v>
      </c>
      <c r="O114" s="1">
        <v>15000</v>
      </c>
      <c r="P114" s="1">
        <v>1000</v>
      </c>
      <c r="Q114" s="2">
        <f t="shared" si="11"/>
        <v>14000</v>
      </c>
      <c r="R114" s="1">
        <v>820</v>
      </c>
      <c r="S114" s="20">
        <f>T114*R114</f>
        <v>0</v>
      </c>
      <c r="T114" s="20"/>
      <c r="U114" s="1">
        <v>25</v>
      </c>
      <c r="V114" s="28">
        <v>2</v>
      </c>
      <c r="W114" s="1">
        <f t="shared" si="12"/>
        <v>23</v>
      </c>
      <c r="X114" s="1"/>
      <c r="Y114" s="21"/>
      <c r="Z114" s="1"/>
      <c r="AA114" s="1" t="s">
        <v>3</v>
      </c>
      <c r="AB114" s="2" t="s">
        <v>478</v>
      </c>
      <c r="AC114" s="21">
        <f>(T114+W114)*R114+X114-Y114</f>
        <v>18860</v>
      </c>
      <c r="AD114" s="1">
        <f>V114*R114-X114+Y114</f>
        <v>1640</v>
      </c>
      <c r="AE114" s="1">
        <f t="shared" si="13"/>
        <v>0</v>
      </c>
      <c r="AF114" s="1">
        <v>20</v>
      </c>
      <c r="AG114" s="1">
        <f t="shared" si="14"/>
        <v>0</v>
      </c>
      <c r="AH114" s="1">
        <f t="shared" si="15"/>
        <v>0</v>
      </c>
      <c r="AI114" s="1" t="str">
        <f t="shared" si="16"/>
        <v>0-30</v>
      </c>
      <c r="AJ114" s="1" t="str">
        <f t="shared" si="17"/>
        <v>NO</v>
      </c>
      <c r="AK114" s="1">
        <f t="shared" si="18"/>
        <v>18860</v>
      </c>
      <c r="AL114" s="1">
        <f>U114*R114</f>
        <v>20500</v>
      </c>
      <c r="AM114" s="1">
        <f>U114*R114-O114</f>
        <v>5500</v>
      </c>
      <c r="AN114" s="23">
        <f t="shared" si="19"/>
        <v>220</v>
      </c>
      <c r="AO114" s="24">
        <v>46219</v>
      </c>
      <c r="AP114" s="25">
        <v>46240</v>
      </c>
      <c r="AQ114" s="24">
        <v>46253</v>
      </c>
      <c r="AR114" s="1" t="s">
        <v>214</v>
      </c>
      <c r="AS114" s="1" t="s">
        <v>207</v>
      </c>
      <c r="AT114" s="26" t="s">
        <v>215</v>
      </c>
      <c r="AU114" s="26"/>
      <c r="AV114" s="27">
        <f t="shared" si="20"/>
        <v>0</v>
      </c>
    </row>
    <row r="115" spans="1:48" x14ac:dyDescent="0.25">
      <c r="A115" s="1" t="str">
        <f t="shared" si="21"/>
        <v>ACTIVE</v>
      </c>
      <c r="B115" s="2" t="s">
        <v>206</v>
      </c>
      <c r="C115" s="2" t="s">
        <v>207</v>
      </c>
      <c r="D115" s="2" t="s">
        <v>206</v>
      </c>
      <c r="E115" s="2" t="s">
        <v>208</v>
      </c>
      <c r="F115" s="2">
        <v>2009</v>
      </c>
      <c r="G115" s="1" t="s">
        <v>220</v>
      </c>
      <c r="H115" s="2" t="s">
        <v>210</v>
      </c>
      <c r="I115" s="2" t="s">
        <v>42</v>
      </c>
      <c r="J115" s="1" t="s">
        <v>481</v>
      </c>
      <c r="K115" s="2" t="s">
        <v>482</v>
      </c>
      <c r="L115" s="2" t="s">
        <v>483</v>
      </c>
      <c r="M115" s="1" t="s">
        <v>484</v>
      </c>
      <c r="N115" s="1">
        <v>7451952506</v>
      </c>
      <c r="O115" s="1">
        <v>15000</v>
      </c>
      <c r="P115" s="1">
        <v>1000</v>
      </c>
      <c r="Q115" s="2">
        <f t="shared" si="11"/>
        <v>14000</v>
      </c>
      <c r="R115" s="1">
        <v>820</v>
      </c>
      <c r="S115" s="20">
        <f>T115*R115</f>
        <v>0</v>
      </c>
      <c r="T115" s="20"/>
      <c r="U115" s="1">
        <v>25</v>
      </c>
      <c r="V115" s="28">
        <v>2</v>
      </c>
      <c r="W115" s="1">
        <f t="shared" si="12"/>
        <v>23</v>
      </c>
      <c r="X115" s="1"/>
      <c r="Y115" s="21"/>
      <c r="Z115" s="22"/>
      <c r="AA115" s="1" t="s">
        <v>3</v>
      </c>
      <c r="AB115" s="2" t="s">
        <v>482</v>
      </c>
      <c r="AC115" s="21">
        <f>(T115+W115)*R115+X115-Y115</f>
        <v>18860</v>
      </c>
      <c r="AD115" s="1">
        <f>V115*R115-X115+Y115</f>
        <v>1640</v>
      </c>
      <c r="AE115" s="1">
        <f t="shared" si="13"/>
        <v>0</v>
      </c>
      <c r="AF115" s="1">
        <v>20</v>
      </c>
      <c r="AG115" s="1">
        <f t="shared" si="14"/>
        <v>0</v>
      </c>
      <c r="AH115" s="1">
        <f t="shared" si="15"/>
        <v>0</v>
      </c>
      <c r="AI115" s="1" t="str">
        <f t="shared" si="16"/>
        <v>0-30</v>
      </c>
      <c r="AJ115" s="1" t="str">
        <f t="shared" si="17"/>
        <v>NO</v>
      </c>
      <c r="AK115" s="1">
        <f t="shared" si="18"/>
        <v>18860</v>
      </c>
      <c r="AL115" s="1">
        <f>U115*R115</f>
        <v>20500</v>
      </c>
      <c r="AM115" s="1">
        <f>U115*R115-O115</f>
        <v>5500</v>
      </c>
      <c r="AN115" s="23">
        <f t="shared" si="19"/>
        <v>220</v>
      </c>
      <c r="AO115" s="24">
        <v>46239</v>
      </c>
      <c r="AP115" s="25">
        <v>46241</v>
      </c>
      <c r="AQ115" s="24">
        <v>46253</v>
      </c>
      <c r="AR115" s="1" t="s">
        <v>214</v>
      </c>
      <c r="AS115" s="1" t="s">
        <v>207</v>
      </c>
      <c r="AT115" s="26" t="s">
        <v>215</v>
      </c>
      <c r="AU115" s="26"/>
      <c r="AV115" s="27">
        <f t="shared" si="20"/>
        <v>0</v>
      </c>
    </row>
    <row r="116" spans="1:48" x14ac:dyDescent="0.25">
      <c r="A116" s="1" t="str">
        <f t="shared" si="21"/>
        <v>ACTIVE</v>
      </c>
      <c r="B116" s="2" t="s">
        <v>206</v>
      </c>
      <c r="C116" s="2" t="s">
        <v>207</v>
      </c>
      <c r="D116" s="2" t="s">
        <v>206</v>
      </c>
      <c r="E116" s="2" t="s">
        <v>208</v>
      </c>
      <c r="F116" s="2">
        <v>6277</v>
      </c>
      <c r="G116" s="1" t="s">
        <v>220</v>
      </c>
      <c r="H116" s="2" t="s">
        <v>210</v>
      </c>
      <c r="I116" s="2" t="s">
        <v>42</v>
      </c>
      <c r="J116" s="1" t="s">
        <v>481</v>
      </c>
      <c r="K116" s="2" t="s">
        <v>485</v>
      </c>
      <c r="L116" s="2" t="s">
        <v>486</v>
      </c>
      <c r="M116" s="1" t="s">
        <v>487</v>
      </c>
      <c r="N116" s="1">
        <v>9219141462</v>
      </c>
      <c r="O116" s="1">
        <v>15000</v>
      </c>
      <c r="P116" s="1">
        <v>1000</v>
      </c>
      <c r="Q116" s="2">
        <f t="shared" si="11"/>
        <v>14000</v>
      </c>
      <c r="R116" s="1">
        <v>820</v>
      </c>
      <c r="S116" s="20">
        <f>T116*R116</f>
        <v>0</v>
      </c>
      <c r="T116" s="20"/>
      <c r="U116" s="1">
        <v>25</v>
      </c>
      <c r="V116" s="28">
        <v>2</v>
      </c>
      <c r="W116" s="1">
        <f t="shared" si="12"/>
        <v>23</v>
      </c>
      <c r="X116" s="1"/>
      <c r="Y116" s="21"/>
      <c r="Z116" s="22"/>
      <c r="AA116" s="1" t="s">
        <v>3</v>
      </c>
      <c r="AB116" s="2" t="s">
        <v>485</v>
      </c>
      <c r="AC116" s="21">
        <f>(T116+W116)*R116+X116-Y116</f>
        <v>18860</v>
      </c>
      <c r="AD116" s="1">
        <f>V116*R116-X116+Y116</f>
        <v>1640</v>
      </c>
      <c r="AE116" s="1">
        <f t="shared" si="13"/>
        <v>0</v>
      </c>
      <c r="AF116" s="1">
        <v>20</v>
      </c>
      <c r="AG116" s="1">
        <f t="shared" si="14"/>
        <v>0</v>
      </c>
      <c r="AH116" s="1">
        <f t="shared" si="15"/>
        <v>0</v>
      </c>
      <c r="AI116" s="1" t="str">
        <f t="shared" si="16"/>
        <v>0-30</v>
      </c>
      <c r="AJ116" s="1" t="str">
        <f t="shared" si="17"/>
        <v>NO</v>
      </c>
      <c r="AK116" s="1">
        <f t="shared" si="18"/>
        <v>18860</v>
      </c>
      <c r="AL116" s="1">
        <f>U116*R116</f>
        <v>20500</v>
      </c>
      <c r="AM116" s="1">
        <f>U116*R116-O116</f>
        <v>5500</v>
      </c>
      <c r="AN116" s="23">
        <f t="shared" si="19"/>
        <v>220</v>
      </c>
      <c r="AO116" s="24">
        <v>46239</v>
      </c>
      <c r="AP116" s="25">
        <v>46241</v>
      </c>
      <c r="AQ116" s="24">
        <v>46253</v>
      </c>
      <c r="AR116" s="1" t="s">
        <v>214</v>
      </c>
      <c r="AS116" s="1" t="s">
        <v>207</v>
      </c>
      <c r="AT116" s="26" t="s">
        <v>215</v>
      </c>
      <c r="AU116" s="26"/>
      <c r="AV116" s="27">
        <f t="shared" si="20"/>
        <v>0</v>
      </c>
    </row>
    <row r="117" spans="1:48" x14ac:dyDescent="0.25">
      <c r="A117" s="1" t="str">
        <f t="shared" si="21"/>
        <v>ACTIVE</v>
      </c>
      <c r="B117" s="2" t="s">
        <v>206</v>
      </c>
      <c r="C117" s="2" t="s">
        <v>207</v>
      </c>
      <c r="D117" s="2" t="s">
        <v>206</v>
      </c>
      <c r="E117" s="2" t="s">
        <v>208</v>
      </c>
      <c r="F117" s="2">
        <v>5587</v>
      </c>
      <c r="G117" s="1" t="s">
        <v>216</v>
      </c>
      <c r="H117" s="2" t="s">
        <v>210</v>
      </c>
      <c r="I117" s="2" t="s">
        <v>42</v>
      </c>
      <c r="J117" s="1" t="s">
        <v>488</v>
      </c>
      <c r="K117" s="2" t="s">
        <v>489</v>
      </c>
      <c r="L117" s="2" t="s">
        <v>490</v>
      </c>
      <c r="M117" s="1" t="s">
        <v>491</v>
      </c>
      <c r="N117" s="1">
        <v>9286212067</v>
      </c>
      <c r="O117" s="1">
        <v>15000</v>
      </c>
      <c r="P117" s="1">
        <v>1000</v>
      </c>
      <c r="Q117" s="2">
        <f t="shared" si="11"/>
        <v>14000</v>
      </c>
      <c r="R117" s="1">
        <v>820</v>
      </c>
      <c r="S117" s="20">
        <f>T117*R117</f>
        <v>0</v>
      </c>
      <c r="T117" s="20"/>
      <c r="U117" s="1">
        <v>25</v>
      </c>
      <c r="V117" s="28">
        <v>2</v>
      </c>
      <c r="W117" s="1">
        <f t="shared" si="12"/>
        <v>23</v>
      </c>
      <c r="X117" s="1"/>
      <c r="Y117" s="21"/>
      <c r="Z117" s="1"/>
      <c r="AA117" s="1" t="s">
        <v>4</v>
      </c>
      <c r="AB117" s="2" t="s">
        <v>489</v>
      </c>
      <c r="AC117" s="21">
        <f>(T117+W117)*R117+X117-Y117</f>
        <v>18860</v>
      </c>
      <c r="AD117" s="1">
        <f>V117*R117-X117+Y117</f>
        <v>1640</v>
      </c>
      <c r="AE117" s="1">
        <f t="shared" si="13"/>
        <v>0</v>
      </c>
      <c r="AF117" s="1">
        <v>20</v>
      </c>
      <c r="AG117" s="1">
        <f t="shared" si="14"/>
        <v>0</v>
      </c>
      <c r="AH117" s="1">
        <f t="shared" si="15"/>
        <v>0</v>
      </c>
      <c r="AI117" s="1" t="str">
        <f t="shared" si="16"/>
        <v>0-30</v>
      </c>
      <c r="AJ117" s="1" t="str">
        <f t="shared" si="17"/>
        <v>NO</v>
      </c>
      <c r="AK117" s="1">
        <f t="shared" si="18"/>
        <v>18860</v>
      </c>
      <c r="AL117" s="1">
        <f>U117*R117</f>
        <v>20500</v>
      </c>
      <c r="AM117" s="1">
        <f>U117*R117-O117</f>
        <v>5500</v>
      </c>
      <c r="AN117" s="23">
        <f t="shared" si="19"/>
        <v>220</v>
      </c>
      <c r="AO117" s="24">
        <v>46239</v>
      </c>
      <c r="AP117" s="25">
        <v>46241</v>
      </c>
      <c r="AQ117" s="24">
        <v>46252</v>
      </c>
      <c r="AR117" s="1" t="s">
        <v>214</v>
      </c>
      <c r="AS117" s="1" t="s">
        <v>207</v>
      </c>
      <c r="AT117" s="26" t="s">
        <v>215</v>
      </c>
      <c r="AU117" s="26"/>
      <c r="AV117" s="27">
        <f t="shared" si="20"/>
        <v>0</v>
      </c>
    </row>
    <row r="118" spans="1:48" x14ac:dyDescent="0.25">
      <c r="A118" s="1" t="str">
        <f t="shared" si="21"/>
        <v>ACTIVE</v>
      </c>
      <c r="B118" s="2" t="s">
        <v>206</v>
      </c>
      <c r="C118" s="2" t="s">
        <v>207</v>
      </c>
      <c r="D118" s="2" t="s">
        <v>206</v>
      </c>
      <c r="E118" s="2" t="s">
        <v>208</v>
      </c>
      <c r="F118" s="2">
        <v>7243</v>
      </c>
      <c r="G118" s="1" t="s">
        <v>216</v>
      </c>
      <c r="H118" s="2" t="s">
        <v>210</v>
      </c>
      <c r="I118" s="2" t="s">
        <v>42</v>
      </c>
      <c r="J118" s="1" t="s">
        <v>251</v>
      </c>
      <c r="K118" s="2" t="s">
        <v>492</v>
      </c>
      <c r="L118" s="2" t="s">
        <v>388</v>
      </c>
      <c r="M118" s="1" t="s">
        <v>493</v>
      </c>
      <c r="N118" s="1">
        <v>9105135694</v>
      </c>
      <c r="O118" s="1">
        <v>15000</v>
      </c>
      <c r="P118" s="1">
        <v>1000</v>
      </c>
      <c r="Q118" s="2">
        <f t="shared" si="11"/>
        <v>14000</v>
      </c>
      <c r="R118" s="1">
        <v>820</v>
      </c>
      <c r="S118" s="20">
        <f>T118*R118</f>
        <v>0</v>
      </c>
      <c r="T118" s="20"/>
      <c r="U118" s="1">
        <v>25</v>
      </c>
      <c r="V118" s="28">
        <v>2</v>
      </c>
      <c r="W118" s="1">
        <f t="shared" si="12"/>
        <v>23</v>
      </c>
      <c r="X118" s="1"/>
      <c r="Y118" s="21"/>
      <c r="Z118" s="1"/>
      <c r="AA118" s="1" t="s">
        <v>3</v>
      </c>
      <c r="AB118" s="2" t="s">
        <v>492</v>
      </c>
      <c r="AC118" s="21">
        <f>(T118+W118)*R118+X118-Y118</f>
        <v>18860</v>
      </c>
      <c r="AD118" s="1">
        <f>V118*R118-X118+Y118</f>
        <v>1640</v>
      </c>
      <c r="AE118" s="1">
        <f t="shared" si="13"/>
        <v>0</v>
      </c>
      <c r="AF118" s="1">
        <v>20</v>
      </c>
      <c r="AG118" s="1">
        <f t="shared" si="14"/>
        <v>0</v>
      </c>
      <c r="AH118" s="1">
        <f t="shared" si="15"/>
        <v>0</v>
      </c>
      <c r="AI118" s="1" t="str">
        <f t="shared" si="16"/>
        <v>0-30</v>
      </c>
      <c r="AJ118" s="1" t="str">
        <f t="shared" si="17"/>
        <v>NO</v>
      </c>
      <c r="AK118" s="1">
        <f t="shared" si="18"/>
        <v>18860</v>
      </c>
      <c r="AL118" s="1">
        <f>U118*R118</f>
        <v>20500</v>
      </c>
      <c r="AM118" s="1">
        <f>U118*R118-O118</f>
        <v>5500</v>
      </c>
      <c r="AN118" s="23">
        <f t="shared" si="19"/>
        <v>220</v>
      </c>
      <c r="AO118" s="24">
        <v>46240</v>
      </c>
      <c r="AP118" s="25">
        <v>46242</v>
      </c>
      <c r="AQ118" s="24">
        <v>46253</v>
      </c>
      <c r="AR118" s="1" t="s">
        <v>214</v>
      </c>
      <c r="AS118" s="1" t="s">
        <v>207</v>
      </c>
      <c r="AT118" s="26" t="s">
        <v>215</v>
      </c>
      <c r="AU118" s="26"/>
      <c r="AV118" s="27">
        <f t="shared" si="20"/>
        <v>0</v>
      </c>
    </row>
    <row r="119" spans="1:48" x14ac:dyDescent="0.25">
      <c r="A119" s="1" t="str">
        <f t="shared" si="21"/>
        <v>ACTIVE</v>
      </c>
      <c r="B119" s="2" t="s">
        <v>206</v>
      </c>
      <c r="C119" s="2" t="s">
        <v>207</v>
      </c>
      <c r="D119" s="2" t="s">
        <v>206</v>
      </c>
      <c r="E119" s="2" t="s">
        <v>208</v>
      </c>
      <c r="F119" s="2">
        <v>4951</v>
      </c>
      <c r="G119" s="1" t="s">
        <v>216</v>
      </c>
      <c r="H119" s="2" t="s">
        <v>210</v>
      </c>
      <c r="I119" s="2" t="s">
        <v>42</v>
      </c>
      <c r="J119" s="1" t="s">
        <v>494</v>
      </c>
      <c r="K119" s="2" t="s">
        <v>495</v>
      </c>
      <c r="L119" s="2" t="s">
        <v>496</v>
      </c>
      <c r="M119" s="1" t="s">
        <v>497</v>
      </c>
      <c r="N119" s="1">
        <v>9639256029</v>
      </c>
      <c r="O119" s="1">
        <v>15000</v>
      </c>
      <c r="P119" s="1">
        <v>1000</v>
      </c>
      <c r="Q119" s="2">
        <f t="shared" si="11"/>
        <v>14000</v>
      </c>
      <c r="R119" s="1">
        <v>820</v>
      </c>
      <c r="S119" s="20">
        <f>T119*R119</f>
        <v>0</v>
      </c>
      <c r="T119" s="20"/>
      <c r="U119" s="1">
        <v>25</v>
      </c>
      <c r="V119" s="28">
        <v>2</v>
      </c>
      <c r="W119" s="1">
        <f t="shared" si="12"/>
        <v>23</v>
      </c>
      <c r="X119" s="1"/>
      <c r="Y119" s="21"/>
      <c r="Z119" s="1"/>
      <c r="AA119" s="1" t="s">
        <v>4</v>
      </c>
      <c r="AB119" s="2" t="s">
        <v>495</v>
      </c>
      <c r="AC119" s="21">
        <f>(T119+W119)*R119+X119-Y119</f>
        <v>18860</v>
      </c>
      <c r="AD119" s="1">
        <f>V119*R119-X119+Y119</f>
        <v>1640</v>
      </c>
      <c r="AE119" s="1">
        <f t="shared" si="13"/>
        <v>0</v>
      </c>
      <c r="AF119" s="1">
        <v>20</v>
      </c>
      <c r="AG119" s="1">
        <f t="shared" si="14"/>
        <v>0</v>
      </c>
      <c r="AH119" s="1">
        <f t="shared" si="15"/>
        <v>0</v>
      </c>
      <c r="AI119" s="1" t="str">
        <f t="shared" si="16"/>
        <v>0-30</v>
      </c>
      <c r="AJ119" s="1" t="str">
        <f t="shared" si="17"/>
        <v>NO</v>
      </c>
      <c r="AK119" s="1">
        <f t="shared" si="18"/>
        <v>18860</v>
      </c>
      <c r="AL119" s="1">
        <f>U119*R119</f>
        <v>20500</v>
      </c>
      <c r="AM119" s="1">
        <f>U119*R119-O119</f>
        <v>5500</v>
      </c>
      <c r="AN119" s="23">
        <f t="shared" si="19"/>
        <v>220</v>
      </c>
      <c r="AO119" s="24">
        <v>46240</v>
      </c>
      <c r="AP119" s="25">
        <v>46242</v>
      </c>
      <c r="AQ119" s="24">
        <v>46252</v>
      </c>
      <c r="AR119" s="1" t="s">
        <v>214</v>
      </c>
      <c r="AS119" s="1" t="s">
        <v>207</v>
      </c>
      <c r="AT119" s="26" t="s">
        <v>215</v>
      </c>
      <c r="AU119" s="26"/>
      <c r="AV119" s="27">
        <f t="shared" si="20"/>
        <v>0</v>
      </c>
    </row>
    <row r="120" spans="1:48" x14ac:dyDescent="0.25">
      <c r="A120" s="1" t="str">
        <f t="shared" si="21"/>
        <v>ACTIVE</v>
      </c>
      <c r="B120" s="2" t="s">
        <v>206</v>
      </c>
      <c r="C120" s="2" t="s">
        <v>207</v>
      </c>
      <c r="D120" s="2" t="s">
        <v>206</v>
      </c>
      <c r="E120" s="2" t="s">
        <v>208</v>
      </c>
      <c r="F120" s="2">
        <v>4646</v>
      </c>
      <c r="G120" s="1" t="s">
        <v>216</v>
      </c>
      <c r="H120" s="2" t="s">
        <v>210</v>
      </c>
      <c r="I120" s="2" t="s">
        <v>42</v>
      </c>
      <c r="J120" s="1" t="s">
        <v>228</v>
      </c>
      <c r="K120" s="2" t="s">
        <v>498</v>
      </c>
      <c r="L120" s="2" t="s">
        <v>499</v>
      </c>
      <c r="M120" s="1" t="s">
        <v>367</v>
      </c>
      <c r="N120" s="1">
        <v>8384857733</v>
      </c>
      <c r="O120" s="1">
        <v>15000</v>
      </c>
      <c r="P120" s="1">
        <v>1000</v>
      </c>
      <c r="Q120" s="2">
        <f t="shared" si="11"/>
        <v>14000</v>
      </c>
      <c r="R120" s="1">
        <v>820</v>
      </c>
      <c r="S120" s="20">
        <f>T120*R120</f>
        <v>0</v>
      </c>
      <c r="T120" s="20"/>
      <c r="U120" s="1">
        <v>25</v>
      </c>
      <c r="V120" s="28">
        <v>1</v>
      </c>
      <c r="W120" s="1">
        <f t="shared" si="12"/>
        <v>24</v>
      </c>
      <c r="X120" s="1"/>
      <c r="Y120" s="21">
        <v>820</v>
      </c>
      <c r="Z120" s="22">
        <v>46258</v>
      </c>
      <c r="AA120" s="1" t="s">
        <v>6</v>
      </c>
      <c r="AB120" s="2" t="s">
        <v>498</v>
      </c>
      <c r="AC120" s="21">
        <f>(T120+W120)*R120+X120-Y120</f>
        <v>18860</v>
      </c>
      <c r="AD120" s="1">
        <f>V120*R120-X120+Y120</f>
        <v>1640</v>
      </c>
      <c r="AE120" s="1">
        <f t="shared" si="13"/>
        <v>0</v>
      </c>
      <c r="AF120" s="1">
        <v>20</v>
      </c>
      <c r="AG120" s="1">
        <f t="shared" si="14"/>
        <v>0</v>
      </c>
      <c r="AH120" s="1">
        <f t="shared" si="15"/>
        <v>0</v>
      </c>
      <c r="AI120" s="1" t="str">
        <f t="shared" si="16"/>
        <v>0-30</v>
      </c>
      <c r="AJ120" s="1" t="str">
        <f t="shared" si="17"/>
        <v>NO</v>
      </c>
      <c r="AK120" s="1">
        <f t="shared" si="18"/>
        <v>18860</v>
      </c>
      <c r="AL120" s="1">
        <f>U120*R120</f>
        <v>20500</v>
      </c>
      <c r="AM120" s="1">
        <f>U120*R120-O120</f>
        <v>5500</v>
      </c>
      <c r="AN120" s="23">
        <f t="shared" si="19"/>
        <v>220</v>
      </c>
      <c r="AO120" s="24">
        <v>46245</v>
      </c>
      <c r="AP120" s="25">
        <v>46248</v>
      </c>
      <c r="AQ120" s="24">
        <v>46258</v>
      </c>
      <c r="AR120" s="1" t="s">
        <v>214</v>
      </c>
      <c r="AS120" s="1" t="s">
        <v>207</v>
      </c>
      <c r="AT120" s="26" t="s">
        <v>215</v>
      </c>
      <c r="AU120" s="26"/>
      <c r="AV120" s="27">
        <f t="shared" si="20"/>
        <v>0</v>
      </c>
    </row>
    <row r="121" spans="1:48" x14ac:dyDescent="0.25">
      <c r="A121" s="1" t="str">
        <f t="shared" si="21"/>
        <v>ACTIVE</v>
      </c>
      <c r="B121" s="2" t="s">
        <v>206</v>
      </c>
      <c r="C121" s="2" t="s">
        <v>207</v>
      </c>
      <c r="D121" s="2" t="s">
        <v>206</v>
      </c>
      <c r="E121" s="2" t="s">
        <v>208</v>
      </c>
      <c r="F121" s="2">
        <v>9407</v>
      </c>
      <c r="G121" s="1" t="s">
        <v>220</v>
      </c>
      <c r="H121" s="2" t="s">
        <v>210</v>
      </c>
      <c r="I121" s="2" t="s">
        <v>42</v>
      </c>
      <c r="J121" s="1" t="s">
        <v>500</v>
      </c>
      <c r="K121" s="2" t="s">
        <v>501</v>
      </c>
      <c r="L121" s="2" t="s">
        <v>502</v>
      </c>
      <c r="M121" s="1" t="s">
        <v>44</v>
      </c>
      <c r="N121" s="1">
        <v>8273338307</v>
      </c>
      <c r="O121" s="1">
        <v>15000</v>
      </c>
      <c r="P121" s="1">
        <v>1000</v>
      </c>
      <c r="Q121" s="2">
        <f t="shared" si="11"/>
        <v>14000</v>
      </c>
      <c r="R121" s="1">
        <v>820</v>
      </c>
      <c r="S121" s="20">
        <f>T121*R121</f>
        <v>0</v>
      </c>
      <c r="T121" s="20"/>
      <c r="U121" s="1">
        <v>25</v>
      </c>
      <c r="V121" s="28">
        <v>1</v>
      </c>
      <c r="W121" s="1">
        <f t="shared" si="12"/>
        <v>24</v>
      </c>
      <c r="X121" s="1"/>
      <c r="Y121" s="21">
        <v>820</v>
      </c>
      <c r="Z121" s="22">
        <v>46258</v>
      </c>
      <c r="AA121" s="1" t="s">
        <v>6</v>
      </c>
      <c r="AB121" s="2" t="s">
        <v>501</v>
      </c>
      <c r="AC121" s="21">
        <f>(T121+W121)*R121+X121-Y121</f>
        <v>18860</v>
      </c>
      <c r="AD121" s="1">
        <f>V121*R121-X121+Y121</f>
        <v>1640</v>
      </c>
      <c r="AE121" s="1">
        <f t="shared" si="13"/>
        <v>0</v>
      </c>
      <c r="AF121" s="1">
        <v>20</v>
      </c>
      <c r="AG121" s="1">
        <f t="shared" si="14"/>
        <v>0</v>
      </c>
      <c r="AH121" s="1">
        <f t="shared" si="15"/>
        <v>0</v>
      </c>
      <c r="AI121" s="1" t="str">
        <f t="shared" si="16"/>
        <v>0-30</v>
      </c>
      <c r="AJ121" s="1" t="str">
        <f t="shared" si="17"/>
        <v>NO</v>
      </c>
      <c r="AK121" s="1">
        <f t="shared" si="18"/>
        <v>18860</v>
      </c>
      <c r="AL121" s="1">
        <f>U121*R121</f>
        <v>20500</v>
      </c>
      <c r="AM121" s="1">
        <f>U121*R121-O121</f>
        <v>5500</v>
      </c>
      <c r="AN121" s="23">
        <f t="shared" si="19"/>
        <v>220</v>
      </c>
      <c r="AO121" s="24">
        <v>46245</v>
      </c>
      <c r="AP121" s="25">
        <v>46248</v>
      </c>
      <c r="AQ121" s="24">
        <v>46258</v>
      </c>
      <c r="AR121" s="1" t="s">
        <v>214</v>
      </c>
      <c r="AS121" s="1" t="s">
        <v>207</v>
      </c>
      <c r="AT121" s="26" t="s">
        <v>215</v>
      </c>
      <c r="AU121" s="26"/>
      <c r="AV121" s="27">
        <f t="shared" si="20"/>
        <v>0</v>
      </c>
    </row>
    <row r="122" spans="1:48" x14ac:dyDescent="0.25">
      <c r="A122" s="1" t="str">
        <f t="shared" si="21"/>
        <v>ACTIVE</v>
      </c>
      <c r="B122" s="2" t="s">
        <v>206</v>
      </c>
      <c r="C122" s="2" t="s">
        <v>207</v>
      </c>
      <c r="D122" s="2" t="s">
        <v>206</v>
      </c>
      <c r="E122" s="2" t="s">
        <v>208</v>
      </c>
      <c r="F122" s="2">
        <v>3860</v>
      </c>
      <c r="G122" s="1" t="s">
        <v>220</v>
      </c>
      <c r="H122" s="2" t="s">
        <v>210</v>
      </c>
      <c r="I122" s="2" t="s">
        <v>42</v>
      </c>
      <c r="J122" s="1" t="s">
        <v>211</v>
      </c>
      <c r="K122" s="2" t="s">
        <v>503</v>
      </c>
      <c r="L122" s="2" t="s">
        <v>96</v>
      </c>
      <c r="M122" s="1" t="s">
        <v>504</v>
      </c>
      <c r="N122" s="1">
        <v>9012075326</v>
      </c>
      <c r="O122" s="1">
        <v>15000</v>
      </c>
      <c r="P122" s="1">
        <v>1000</v>
      </c>
      <c r="Q122" s="2">
        <f t="shared" si="11"/>
        <v>14000</v>
      </c>
      <c r="R122" s="1">
        <v>820</v>
      </c>
      <c r="S122" s="20">
        <f>T122*R122</f>
        <v>0</v>
      </c>
      <c r="T122" s="20"/>
      <c r="U122" s="1">
        <v>25</v>
      </c>
      <c r="V122" s="28">
        <v>1</v>
      </c>
      <c r="W122" s="1">
        <f t="shared" si="12"/>
        <v>24</v>
      </c>
      <c r="X122" s="1"/>
      <c r="Y122" s="21"/>
      <c r="Z122" s="1"/>
      <c r="AA122" s="1" t="s">
        <v>6</v>
      </c>
      <c r="AB122" s="2" t="s">
        <v>503</v>
      </c>
      <c r="AC122" s="21">
        <f>(T122+W122)*R122+X122-Y122</f>
        <v>19680</v>
      </c>
      <c r="AD122" s="1">
        <f>V122*R122-X122+Y122</f>
        <v>820</v>
      </c>
      <c r="AE122" s="1">
        <f t="shared" si="13"/>
        <v>0</v>
      </c>
      <c r="AF122" s="1">
        <v>20</v>
      </c>
      <c r="AG122" s="1">
        <f t="shared" si="14"/>
        <v>0</v>
      </c>
      <c r="AH122" s="1">
        <f t="shared" si="15"/>
        <v>0</v>
      </c>
      <c r="AI122" s="1" t="str">
        <f t="shared" si="16"/>
        <v>0-30</v>
      </c>
      <c r="AJ122" s="1" t="str">
        <f t="shared" si="17"/>
        <v>NO</v>
      </c>
      <c r="AK122" s="1">
        <f t="shared" si="18"/>
        <v>19680</v>
      </c>
      <c r="AL122" s="1">
        <f>U122*R122</f>
        <v>20500</v>
      </c>
      <c r="AM122" s="1">
        <f>U122*R122-O122</f>
        <v>5500</v>
      </c>
      <c r="AN122" s="23">
        <f t="shared" si="19"/>
        <v>220</v>
      </c>
      <c r="AO122" s="24">
        <v>46245</v>
      </c>
      <c r="AP122" s="25">
        <v>46248</v>
      </c>
      <c r="AQ122" s="24">
        <v>46258</v>
      </c>
      <c r="AR122" s="1" t="s">
        <v>214</v>
      </c>
      <c r="AS122" s="1" t="s">
        <v>207</v>
      </c>
      <c r="AT122" s="26" t="s">
        <v>215</v>
      </c>
      <c r="AU122" s="26"/>
      <c r="AV122" s="27">
        <f t="shared" si="20"/>
        <v>0</v>
      </c>
    </row>
    <row r="123" spans="1:48" x14ac:dyDescent="0.25">
      <c r="A123" s="1" t="str">
        <f t="shared" si="21"/>
        <v>ACTIVE</v>
      </c>
      <c r="B123" s="2" t="s">
        <v>206</v>
      </c>
      <c r="C123" s="2" t="s">
        <v>207</v>
      </c>
      <c r="D123" s="2" t="s">
        <v>206</v>
      </c>
      <c r="E123" s="2" t="s">
        <v>208</v>
      </c>
      <c r="F123" s="2">
        <v>6954</v>
      </c>
      <c r="G123" s="1" t="s">
        <v>220</v>
      </c>
      <c r="H123" s="2" t="s">
        <v>210</v>
      </c>
      <c r="I123" s="2" t="s">
        <v>42</v>
      </c>
      <c r="J123" s="1" t="s">
        <v>505</v>
      </c>
      <c r="K123" s="2" t="s">
        <v>506</v>
      </c>
      <c r="L123" s="2" t="s">
        <v>115</v>
      </c>
      <c r="M123" s="1" t="s">
        <v>507</v>
      </c>
      <c r="N123" s="1">
        <v>9690360537</v>
      </c>
      <c r="O123" s="1">
        <v>15000</v>
      </c>
      <c r="P123" s="1">
        <v>1000</v>
      </c>
      <c r="Q123" s="2">
        <f t="shared" si="11"/>
        <v>14000</v>
      </c>
      <c r="R123" s="1">
        <v>820</v>
      </c>
      <c r="S123" s="20">
        <f>T123*R123</f>
        <v>0</v>
      </c>
      <c r="T123" s="20"/>
      <c r="U123" s="1">
        <v>25</v>
      </c>
      <c r="V123" s="28">
        <v>1</v>
      </c>
      <c r="W123" s="1">
        <f t="shared" si="12"/>
        <v>24</v>
      </c>
      <c r="X123" s="1"/>
      <c r="Y123" s="21">
        <v>1640</v>
      </c>
      <c r="Z123" s="22">
        <v>46260</v>
      </c>
      <c r="AA123" s="1" t="s">
        <v>3</v>
      </c>
      <c r="AB123" s="2" t="s">
        <v>506</v>
      </c>
      <c r="AC123" s="21">
        <f>(T123+W123)*R123+X123-Y123</f>
        <v>18040</v>
      </c>
      <c r="AD123" s="1">
        <f>V123*R123-X123+Y123</f>
        <v>2460</v>
      </c>
      <c r="AE123" s="1">
        <f t="shared" si="13"/>
        <v>0</v>
      </c>
      <c r="AF123" s="1">
        <v>20</v>
      </c>
      <c r="AG123" s="1">
        <f t="shared" si="14"/>
        <v>0</v>
      </c>
      <c r="AH123" s="1">
        <f t="shared" si="15"/>
        <v>0</v>
      </c>
      <c r="AI123" s="1" t="str">
        <f t="shared" si="16"/>
        <v>0-30</v>
      </c>
      <c r="AJ123" s="1" t="str">
        <f t="shared" si="17"/>
        <v>NO</v>
      </c>
      <c r="AK123" s="1">
        <f t="shared" si="18"/>
        <v>18040</v>
      </c>
      <c r="AL123" s="1">
        <f>U123*R123</f>
        <v>20500</v>
      </c>
      <c r="AM123" s="1">
        <f>U123*R123-O123</f>
        <v>5500</v>
      </c>
      <c r="AN123" s="23">
        <f t="shared" si="19"/>
        <v>220</v>
      </c>
      <c r="AO123" s="24">
        <v>46245</v>
      </c>
      <c r="AP123" s="25">
        <v>46248</v>
      </c>
      <c r="AQ123" s="24">
        <v>46260</v>
      </c>
      <c r="AR123" s="1" t="s">
        <v>214</v>
      </c>
      <c r="AS123" s="1" t="s">
        <v>207</v>
      </c>
      <c r="AT123" s="26" t="s">
        <v>215</v>
      </c>
      <c r="AU123" s="26"/>
      <c r="AV123" s="27">
        <f t="shared" si="20"/>
        <v>0</v>
      </c>
    </row>
    <row r="124" spans="1:48" x14ac:dyDescent="0.25">
      <c r="A124" s="1" t="str">
        <f t="shared" si="21"/>
        <v>ACTIVE</v>
      </c>
      <c r="B124" s="2" t="s">
        <v>206</v>
      </c>
      <c r="C124" s="2" t="s">
        <v>207</v>
      </c>
      <c r="D124" s="2" t="s">
        <v>206</v>
      </c>
      <c r="E124" s="2" t="s">
        <v>208</v>
      </c>
      <c r="F124" s="2">
        <v>7027</v>
      </c>
      <c r="G124" s="1" t="s">
        <v>216</v>
      </c>
      <c r="H124" s="2" t="s">
        <v>210</v>
      </c>
      <c r="I124" s="2" t="s">
        <v>42</v>
      </c>
      <c r="J124" s="1" t="s">
        <v>390</v>
      </c>
      <c r="K124" s="2" t="s">
        <v>508</v>
      </c>
      <c r="L124" s="2" t="s">
        <v>509</v>
      </c>
      <c r="M124" s="1" t="s">
        <v>510</v>
      </c>
      <c r="N124" s="1">
        <v>8439643075</v>
      </c>
      <c r="O124" s="1">
        <v>15000</v>
      </c>
      <c r="P124" s="1">
        <v>1000</v>
      </c>
      <c r="Q124" s="2">
        <f t="shared" si="11"/>
        <v>14000</v>
      </c>
      <c r="R124" s="1">
        <v>820</v>
      </c>
      <c r="S124" s="20">
        <f>T124*R124</f>
        <v>0</v>
      </c>
      <c r="T124" s="20"/>
      <c r="U124" s="1">
        <v>25</v>
      </c>
      <c r="V124" s="28">
        <v>1</v>
      </c>
      <c r="W124" s="1">
        <f t="shared" si="12"/>
        <v>24</v>
      </c>
      <c r="X124" s="1"/>
      <c r="Y124" s="21"/>
      <c r="Z124" s="1"/>
      <c r="AA124" s="1" t="s">
        <v>4</v>
      </c>
      <c r="AB124" s="2" t="s">
        <v>508</v>
      </c>
      <c r="AC124" s="21">
        <f>(T124+W124)*R124+X124-Y124</f>
        <v>19680</v>
      </c>
      <c r="AD124" s="1">
        <f>V124*R124-X124+Y124</f>
        <v>820</v>
      </c>
      <c r="AE124" s="1">
        <f t="shared" si="13"/>
        <v>0</v>
      </c>
      <c r="AF124" s="1">
        <v>20</v>
      </c>
      <c r="AG124" s="1">
        <f t="shared" si="14"/>
        <v>0</v>
      </c>
      <c r="AH124" s="1">
        <f t="shared" si="15"/>
        <v>0</v>
      </c>
      <c r="AI124" s="1" t="str">
        <f t="shared" si="16"/>
        <v>0-30</v>
      </c>
      <c r="AJ124" s="1" t="str">
        <f t="shared" si="17"/>
        <v>NO</v>
      </c>
      <c r="AK124" s="1">
        <f t="shared" si="18"/>
        <v>19680</v>
      </c>
      <c r="AL124" s="1">
        <f>U124*R124</f>
        <v>20500</v>
      </c>
      <c r="AM124" s="1">
        <f>U124*R124-O124</f>
        <v>5500</v>
      </c>
      <c r="AN124" s="23">
        <f t="shared" si="19"/>
        <v>220</v>
      </c>
      <c r="AO124" s="24">
        <v>46245</v>
      </c>
      <c r="AP124" s="25">
        <v>46248</v>
      </c>
      <c r="AQ124" s="24">
        <v>46259</v>
      </c>
      <c r="AR124" s="1" t="s">
        <v>214</v>
      </c>
      <c r="AS124" s="1" t="s">
        <v>207</v>
      </c>
      <c r="AT124" s="26" t="s">
        <v>215</v>
      </c>
      <c r="AU124" s="26"/>
      <c r="AV124" s="27">
        <f t="shared" si="20"/>
        <v>0</v>
      </c>
    </row>
    <row r="125" spans="1:48" x14ac:dyDescent="0.25">
      <c r="A125" s="1" t="str">
        <f t="shared" si="21"/>
        <v>ACTIVE</v>
      </c>
      <c r="B125" s="2" t="s">
        <v>206</v>
      </c>
      <c r="C125" s="2" t="s">
        <v>207</v>
      </c>
      <c r="D125" s="2" t="s">
        <v>206</v>
      </c>
      <c r="E125" s="2" t="s">
        <v>208</v>
      </c>
      <c r="F125" s="2">
        <v>2064</v>
      </c>
      <c r="G125" s="1" t="s">
        <v>220</v>
      </c>
      <c r="H125" s="2" t="s">
        <v>210</v>
      </c>
      <c r="I125" s="2" t="s">
        <v>42</v>
      </c>
      <c r="J125" s="1" t="s">
        <v>228</v>
      </c>
      <c r="K125" s="2" t="s">
        <v>511</v>
      </c>
      <c r="L125" s="2" t="s">
        <v>161</v>
      </c>
      <c r="M125" s="1" t="s">
        <v>512</v>
      </c>
      <c r="N125" s="1">
        <v>7037912446</v>
      </c>
      <c r="O125" s="1">
        <v>15000</v>
      </c>
      <c r="P125" s="1">
        <v>1000</v>
      </c>
      <c r="Q125" s="2">
        <f t="shared" si="11"/>
        <v>14000</v>
      </c>
      <c r="R125" s="1">
        <v>820</v>
      </c>
      <c r="S125" s="20">
        <f>T125*R125</f>
        <v>0</v>
      </c>
      <c r="T125" s="20"/>
      <c r="U125" s="1">
        <v>25</v>
      </c>
      <c r="V125" s="28">
        <v>1</v>
      </c>
      <c r="W125" s="1">
        <f t="shared" si="12"/>
        <v>24</v>
      </c>
      <c r="X125" s="1"/>
      <c r="Y125" s="21">
        <v>820</v>
      </c>
      <c r="Z125" s="22">
        <v>46258</v>
      </c>
      <c r="AA125" s="1" t="s">
        <v>6</v>
      </c>
      <c r="AB125" s="2" t="s">
        <v>511</v>
      </c>
      <c r="AC125" s="21">
        <f>(T125+W125)*R125+X125-Y125</f>
        <v>18860</v>
      </c>
      <c r="AD125" s="1">
        <f>V125*R125-X125+Y125</f>
        <v>1640</v>
      </c>
      <c r="AE125" s="1">
        <f t="shared" si="13"/>
        <v>0</v>
      </c>
      <c r="AF125" s="1">
        <v>20</v>
      </c>
      <c r="AG125" s="1">
        <f t="shared" si="14"/>
        <v>0</v>
      </c>
      <c r="AH125" s="1">
        <f t="shared" si="15"/>
        <v>0</v>
      </c>
      <c r="AI125" s="1" t="str">
        <f t="shared" si="16"/>
        <v>0-30</v>
      </c>
      <c r="AJ125" s="1" t="str">
        <f t="shared" si="17"/>
        <v>NO</v>
      </c>
      <c r="AK125" s="1">
        <f t="shared" si="18"/>
        <v>18860</v>
      </c>
      <c r="AL125" s="1">
        <f>U125*R125</f>
        <v>20500</v>
      </c>
      <c r="AM125" s="1">
        <f>U125*R125-O125</f>
        <v>5500</v>
      </c>
      <c r="AN125" s="23">
        <f t="shared" si="19"/>
        <v>220</v>
      </c>
      <c r="AO125" s="24">
        <v>46245</v>
      </c>
      <c r="AP125" s="25">
        <v>46248</v>
      </c>
      <c r="AQ125" s="24">
        <v>46258</v>
      </c>
      <c r="AR125" s="1" t="s">
        <v>214</v>
      </c>
      <c r="AS125" s="1" t="s">
        <v>207</v>
      </c>
      <c r="AT125" s="26" t="s">
        <v>215</v>
      </c>
      <c r="AU125" s="26"/>
      <c r="AV125" s="27">
        <f t="shared" si="20"/>
        <v>0</v>
      </c>
    </row>
    <row r="126" spans="1:48" x14ac:dyDescent="0.25">
      <c r="A126" s="1" t="str">
        <f t="shared" si="21"/>
        <v>ACTIVE</v>
      </c>
      <c r="B126" s="2" t="s">
        <v>206</v>
      </c>
      <c r="C126" s="2" t="s">
        <v>207</v>
      </c>
      <c r="D126" s="2" t="s">
        <v>206</v>
      </c>
      <c r="E126" s="2" t="s">
        <v>208</v>
      </c>
      <c r="F126" s="2">
        <v>5</v>
      </c>
      <c r="G126" s="1" t="s">
        <v>220</v>
      </c>
      <c r="H126" s="2" t="s">
        <v>210</v>
      </c>
      <c r="I126" s="2" t="s">
        <v>42</v>
      </c>
      <c r="J126" s="1" t="s">
        <v>211</v>
      </c>
      <c r="K126" s="2" t="s">
        <v>513</v>
      </c>
      <c r="L126" s="2" t="s">
        <v>514</v>
      </c>
      <c r="M126" s="1" t="s">
        <v>44</v>
      </c>
      <c r="N126" s="1">
        <v>8791788460</v>
      </c>
      <c r="O126" s="1">
        <v>15000</v>
      </c>
      <c r="P126" s="1">
        <v>1000</v>
      </c>
      <c r="Q126" s="2">
        <f t="shared" si="11"/>
        <v>14000</v>
      </c>
      <c r="R126" s="1">
        <v>820</v>
      </c>
      <c r="S126" s="20">
        <f>T126*R126</f>
        <v>0</v>
      </c>
      <c r="T126" s="20"/>
      <c r="U126" s="1">
        <v>25</v>
      </c>
      <c r="V126" s="28">
        <v>0</v>
      </c>
      <c r="W126" s="1">
        <f t="shared" si="12"/>
        <v>25</v>
      </c>
      <c r="X126" s="1"/>
      <c r="Y126" s="21"/>
      <c r="Z126" s="1"/>
      <c r="AA126" s="1" t="s">
        <v>6</v>
      </c>
      <c r="AB126" s="2" t="s">
        <v>513</v>
      </c>
      <c r="AC126" s="21">
        <f>(T126+W126)*R126+X126-Y126</f>
        <v>20500</v>
      </c>
      <c r="AD126" s="1">
        <f>V126*R126-X126+Y126</f>
        <v>0</v>
      </c>
      <c r="AE126" s="1">
        <f t="shared" si="13"/>
        <v>0</v>
      </c>
      <c r="AF126" s="1">
        <v>20</v>
      </c>
      <c r="AG126" s="1">
        <f t="shared" si="14"/>
        <v>0</v>
      </c>
      <c r="AH126" s="1">
        <f t="shared" si="15"/>
        <v>0</v>
      </c>
      <c r="AI126" s="1" t="str">
        <f t="shared" si="16"/>
        <v>0-30</v>
      </c>
      <c r="AJ126" s="1" t="str">
        <f t="shared" si="17"/>
        <v>NO</v>
      </c>
      <c r="AK126" s="1">
        <f t="shared" si="18"/>
        <v>20500</v>
      </c>
      <c r="AL126" s="1">
        <f>U126*R126</f>
        <v>20500</v>
      </c>
      <c r="AM126" s="1">
        <f>U126*R126-O126</f>
        <v>5500</v>
      </c>
      <c r="AN126" s="23">
        <f t="shared" si="19"/>
        <v>220</v>
      </c>
      <c r="AO126" s="24">
        <v>46246</v>
      </c>
      <c r="AP126" s="25">
        <v>46248</v>
      </c>
      <c r="AQ126" s="24">
        <v>46265</v>
      </c>
      <c r="AR126" s="1" t="s">
        <v>214</v>
      </c>
      <c r="AS126" s="1" t="s">
        <v>207</v>
      </c>
      <c r="AT126" s="26" t="s">
        <v>215</v>
      </c>
      <c r="AU126" s="26"/>
      <c r="AV126" s="27">
        <f t="shared" si="20"/>
        <v>0</v>
      </c>
    </row>
    <row r="127" spans="1:48" x14ac:dyDescent="0.25">
      <c r="A127" s="1" t="str">
        <f t="shared" si="21"/>
        <v>ACTIVE</v>
      </c>
      <c r="B127" s="2" t="s">
        <v>206</v>
      </c>
      <c r="C127" s="2" t="s">
        <v>207</v>
      </c>
      <c r="D127" s="2" t="s">
        <v>206</v>
      </c>
      <c r="E127" s="2" t="s">
        <v>208</v>
      </c>
      <c r="F127" s="2">
        <v>6418</v>
      </c>
      <c r="G127" s="1" t="s">
        <v>216</v>
      </c>
      <c r="H127" s="2" t="s">
        <v>210</v>
      </c>
      <c r="I127" s="2" t="s">
        <v>42</v>
      </c>
      <c r="J127" s="1" t="s">
        <v>481</v>
      </c>
      <c r="K127" s="2" t="s">
        <v>515</v>
      </c>
      <c r="L127" s="2" t="s">
        <v>115</v>
      </c>
      <c r="M127" s="1" t="s">
        <v>516</v>
      </c>
      <c r="N127" s="1">
        <v>6399029327</v>
      </c>
      <c r="O127" s="1">
        <v>15000</v>
      </c>
      <c r="P127" s="1">
        <v>1000</v>
      </c>
      <c r="Q127" s="2">
        <f t="shared" si="11"/>
        <v>14000</v>
      </c>
      <c r="R127" s="1">
        <v>820</v>
      </c>
      <c r="S127" s="20">
        <f>T127*R127</f>
        <v>0</v>
      </c>
      <c r="T127" s="20"/>
      <c r="U127" s="1">
        <v>25</v>
      </c>
      <c r="V127" s="28">
        <v>1</v>
      </c>
      <c r="W127" s="1">
        <f t="shared" si="12"/>
        <v>24</v>
      </c>
      <c r="X127" s="1"/>
      <c r="Y127" s="21"/>
      <c r="Z127" s="1"/>
      <c r="AA127" s="1" t="s">
        <v>5</v>
      </c>
      <c r="AB127" s="2" t="s">
        <v>515</v>
      </c>
      <c r="AC127" s="21">
        <f>(T127+W127)*R127+X127-Y127</f>
        <v>19680</v>
      </c>
      <c r="AD127" s="1">
        <f>V127*R127-X127+Y127</f>
        <v>820</v>
      </c>
      <c r="AE127" s="1">
        <f t="shared" si="13"/>
        <v>0</v>
      </c>
      <c r="AF127" s="1">
        <v>20</v>
      </c>
      <c r="AG127" s="1">
        <f t="shared" si="14"/>
        <v>0</v>
      </c>
      <c r="AH127" s="1">
        <f t="shared" si="15"/>
        <v>0</v>
      </c>
      <c r="AI127" s="1" t="str">
        <f t="shared" si="16"/>
        <v>0-30</v>
      </c>
      <c r="AJ127" s="1" t="str">
        <f t="shared" si="17"/>
        <v>NO</v>
      </c>
      <c r="AK127" s="1">
        <f t="shared" si="18"/>
        <v>19680</v>
      </c>
      <c r="AL127" s="1">
        <f>U127*R127</f>
        <v>20500</v>
      </c>
      <c r="AM127" s="1">
        <f>U127*R127-O127</f>
        <v>5500</v>
      </c>
      <c r="AN127" s="23">
        <f t="shared" si="19"/>
        <v>220</v>
      </c>
      <c r="AO127" s="24">
        <v>46246</v>
      </c>
      <c r="AP127" s="25">
        <v>46248</v>
      </c>
      <c r="AQ127" s="24">
        <v>46255</v>
      </c>
      <c r="AR127" s="1" t="s">
        <v>214</v>
      </c>
      <c r="AS127" s="1" t="s">
        <v>207</v>
      </c>
      <c r="AT127" s="26" t="s">
        <v>215</v>
      </c>
      <c r="AU127" s="26"/>
      <c r="AV127" s="27">
        <f t="shared" si="20"/>
        <v>0</v>
      </c>
    </row>
    <row r="128" spans="1:48" x14ac:dyDescent="0.25">
      <c r="A128" s="1" t="str">
        <f t="shared" si="21"/>
        <v>ACTIVE</v>
      </c>
      <c r="B128" s="2" t="s">
        <v>206</v>
      </c>
      <c r="C128" s="2" t="s">
        <v>207</v>
      </c>
      <c r="D128" s="2" t="s">
        <v>206</v>
      </c>
      <c r="E128" s="2" t="s">
        <v>208</v>
      </c>
      <c r="F128" s="2">
        <v>5161</v>
      </c>
      <c r="G128" s="1" t="s">
        <v>220</v>
      </c>
      <c r="H128" s="2" t="s">
        <v>210</v>
      </c>
      <c r="I128" s="2" t="s">
        <v>42</v>
      </c>
      <c r="J128" s="1" t="s">
        <v>481</v>
      </c>
      <c r="K128" s="2" t="s">
        <v>517</v>
      </c>
      <c r="L128" s="2" t="s">
        <v>107</v>
      </c>
      <c r="M128" s="1" t="s">
        <v>216</v>
      </c>
      <c r="N128" s="1">
        <v>843326074</v>
      </c>
      <c r="O128" s="1">
        <v>15000</v>
      </c>
      <c r="P128" s="1">
        <v>1000</v>
      </c>
      <c r="Q128" s="2">
        <f t="shared" si="11"/>
        <v>14000</v>
      </c>
      <c r="R128" s="1">
        <v>820</v>
      </c>
      <c r="S128" s="20">
        <f>T128*R128</f>
        <v>0</v>
      </c>
      <c r="T128" s="20"/>
      <c r="U128" s="1">
        <v>25</v>
      </c>
      <c r="V128" s="28">
        <v>0</v>
      </c>
      <c r="W128" s="1">
        <f t="shared" si="12"/>
        <v>25</v>
      </c>
      <c r="X128" s="1"/>
      <c r="Y128" s="21"/>
      <c r="Z128" s="1"/>
      <c r="AA128" s="1" t="s">
        <v>6</v>
      </c>
      <c r="AB128" s="2" t="s">
        <v>517</v>
      </c>
      <c r="AC128" s="21">
        <f>(T128+W128)*R128+X128-Y128</f>
        <v>20500</v>
      </c>
      <c r="AD128" s="1">
        <f>V128*R128-X128+Y128</f>
        <v>0</v>
      </c>
      <c r="AE128" s="1">
        <f t="shared" si="13"/>
        <v>0</v>
      </c>
      <c r="AF128" s="1">
        <v>20</v>
      </c>
      <c r="AG128" s="1">
        <f t="shared" si="14"/>
        <v>0</v>
      </c>
      <c r="AH128" s="1">
        <f t="shared" si="15"/>
        <v>0</v>
      </c>
      <c r="AI128" s="1" t="str">
        <f t="shared" si="16"/>
        <v>0-30</v>
      </c>
      <c r="AJ128" s="1" t="str">
        <f t="shared" si="17"/>
        <v>NO</v>
      </c>
      <c r="AK128" s="1">
        <f t="shared" si="18"/>
        <v>20500</v>
      </c>
      <c r="AL128" s="1">
        <f>U128*R128</f>
        <v>20500</v>
      </c>
      <c r="AM128" s="1">
        <f>U128*R128-O128</f>
        <v>5500</v>
      </c>
      <c r="AN128" s="23">
        <f t="shared" si="19"/>
        <v>220</v>
      </c>
      <c r="AO128" s="24">
        <v>46246</v>
      </c>
      <c r="AP128" s="25">
        <v>46251</v>
      </c>
      <c r="AQ128" s="24">
        <v>46265</v>
      </c>
      <c r="AR128" s="1" t="s">
        <v>214</v>
      </c>
      <c r="AS128" s="1" t="s">
        <v>207</v>
      </c>
      <c r="AT128" s="26" t="s">
        <v>215</v>
      </c>
      <c r="AU128" s="26"/>
      <c r="AV128" s="27">
        <f t="shared" si="20"/>
        <v>0</v>
      </c>
    </row>
    <row r="129" spans="1:48" x14ac:dyDescent="0.25">
      <c r="A129" s="1" t="str">
        <f t="shared" si="21"/>
        <v>ACTIVE</v>
      </c>
      <c r="B129" s="2" t="s">
        <v>206</v>
      </c>
      <c r="C129" s="2" t="s">
        <v>207</v>
      </c>
      <c r="D129" s="2" t="s">
        <v>206</v>
      </c>
      <c r="E129" s="2" t="s">
        <v>208</v>
      </c>
      <c r="F129" s="2">
        <v>2695</v>
      </c>
      <c r="G129" s="1" t="s">
        <v>220</v>
      </c>
      <c r="H129" s="2" t="s">
        <v>210</v>
      </c>
      <c r="I129" s="2" t="s">
        <v>42</v>
      </c>
      <c r="J129" s="1" t="s">
        <v>211</v>
      </c>
      <c r="K129" s="2" t="s">
        <v>518</v>
      </c>
      <c r="L129" s="2" t="s">
        <v>105</v>
      </c>
      <c r="M129" s="1" t="s">
        <v>519</v>
      </c>
      <c r="N129" s="1">
        <v>7500652128</v>
      </c>
      <c r="O129" s="1">
        <v>15000</v>
      </c>
      <c r="P129" s="1">
        <v>1000</v>
      </c>
      <c r="Q129" s="2">
        <f t="shared" si="11"/>
        <v>14000</v>
      </c>
      <c r="R129" s="1">
        <v>820</v>
      </c>
      <c r="S129" s="20">
        <f>T129*R129</f>
        <v>0</v>
      </c>
      <c r="T129" s="20"/>
      <c r="U129" s="1">
        <v>25</v>
      </c>
      <c r="V129" s="28">
        <v>0</v>
      </c>
      <c r="W129" s="1">
        <f t="shared" si="12"/>
        <v>25</v>
      </c>
      <c r="X129" s="1"/>
      <c r="Y129" s="21"/>
      <c r="Z129" s="1"/>
      <c r="AA129" s="1" t="s">
        <v>6</v>
      </c>
      <c r="AB129" s="2" t="s">
        <v>518</v>
      </c>
      <c r="AC129" s="21">
        <f>(T129+W129)*R129+X129-Y129</f>
        <v>20500</v>
      </c>
      <c r="AD129" s="1">
        <f>V129*R129-X129+Y129</f>
        <v>0</v>
      </c>
      <c r="AE129" s="1">
        <f t="shared" si="13"/>
        <v>0</v>
      </c>
      <c r="AF129" s="1">
        <v>20</v>
      </c>
      <c r="AG129" s="1">
        <f t="shared" si="14"/>
        <v>0</v>
      </c>
      <c r="AH129" s="1">
        <f t="shared" si="15"/>
        <v>0</v>
      </c>
      <c r="AI129" s="1" t="str">
        <f t="shared" si="16"/>
        <v>0-30</v>
      </c>
      <c r="AJ129" s="1" t="str">
        <f t="shared" si="17"/>
        <v>NO</v>
      </c>
      <c r="AK129" s="1">
        <f t="shared" si="18"/>
        <v>20500</v>
      </c>
      <c r="AL129" s="1">
        <f>U129*R129</f>
        <v>20500</v>
      </c>
      <c r="AM129" s="1">
        <f>U129*R129-O129</f>
        <v>5500</v>
      </c>
      <c r="AN129" s="23">
        <f t="shared" si="19"/>
        <v>220</v>
      </c>
      <c r="AO129" s="24">
        <v>46246</v>
      </c>
      <c r="AP129" s="25">
        <v>46251</v>
      </c>
      <c r="AQ129" s="24">
        <v>46265</v>
      </c>
      <c r="AR129" s="1" t="s">
        <v>214</v>
      </c>
      <c r="AS129" s="1" t="s">
        <v>207</v>
      </c>
      <c r="AT129" s="26" t="s">
        <v>215</v>
      </c>
      <c r="AU129" s="26"/>
      <c r="AV129" s="27">
        <f t="shared" si="20"/>
        <v>0</v>
      </c>
    </row>
    <row r="130" spans="1:48" x14ac:dyDescent="0.25">
      <c r="A130" s="1" t="str">
        <f t="shared" si="21"/>
        <v>ACTIVE</v>
      </c>
      <c r="B130" s="2" t="s">
        <v>206</v>
      </c>
      <c r="C130" s="2" t="s">
        <v>207</v>
      </c>
      <c r="D130" s="2" t="s">
        <v>206</v>
      </c>
      <c r="E130" s="2" t="s">
        <v>208</v>
      </c>
      <c r="F130" s="2">
        <v>9962</v>
      </c>
      <c r="G130" s="1" t="s">
        <v>216</v>
      </c>
      <c r="H130" s="2" t="s">
        <v>210</v>
      </c>
      <c r="I130" s="2" t="s">
        <v>42</v>
      </c>
      <c r="J130" s="1" t="s">
        <v>520</v>
      </c>
      <c r="K130" s="2" t="s">
        <v>521</v>
      </c>
      <c r="L130" s="2" t="s">
        <v>183</v>
      </c>
      <c r="M130" s="1" t="s">
        <v>230</v>
      </c>
      <c r="N130" s="1">
        <v>9368824233</v>
      </c>
      <c r="O130" s="1">
        <v>15000</v>
      </c>
      <c r="P130" s="1">
        <v>1000</v>
      </c>
      <c r="Q130" s="2">
        <f t="shared" si="11"/>
        <v>14000</v>
      </c>
      <c r="R130" s="1">
        <v>820</v>
      </c>
      <c r="S130" s="20">
        <f>T130*R130</f>
        <v>0</v>
      </c>
      <c r="T130" s="20"/>
      <c r="U130" s="1">
        <v>25</v>
      </c>
      <c r="V130" s="28">
        <v>0</v>
      </c>
      <c r="W130" s="1">
        <f t="shared" si="12"/>
        <v>25</v>
      </c>
      <c r="X130" s="1"/>
      <c r="Y130" s="21"/>
      <c r="Z130" s="1"/>
      <c r="AA130" s="1" t="s">
        <v>6</v>
      </c>
      <c r="AB130" s="2" t="s">
        <v>521</v>
      </c>
      <c r="AC130" s="21">
        <f>(T130+W130)*R130+X130-Y130</f>
        <v>20500</v>
      </c>
      <c r="AD130" s="1">
        <f>V130*R130-X130+Y130</f>
        <v>0</v>
      </c>
      <c r="AE130" s="1">
        <f t="shared" si="13"/>
        <v>0</v>
      </c>
      <c r="AF130" s="1">
        <v>20</v>
      </c>
      <c r="AG130" s="1">
        <f t="shared" si="14"/>
        <v>0</v>
      </c>
      <c r="AH130" s="1">
        <f t="shared" si="15"/>
        <v>0</v>
      </c>
      <c r="AI130" s="1" t="str">
        <f t="shared" si="16"/>
        <v>0-30</v>
      </c>
      <c r="AJ130" s="1" t="str">
        <f t="shared" si="17"/>
        <v>NO</v>
      </c>
      <c r="AK130" s="1">
        <f t="shared" si="18"/>
        <v>20500</v>
      </c>
      <c r="AL130" s="1">
        <f>U130*R130</f>
        <v>20500</v>
      </c>
      <c r="AM130" s="1">
        <f>U130*R130-O130</f>
        <v>5500</v>
      </c>
      <c r="AN130" s="23">
        <f t="shared" si="19"/>
        <v>220</v>
      </c>
      <c r="AO130" s="24">
        <v>46246</v>
      </c>
      <c r="AP130" s="25">
        <v>46251</v>
      </c>
      <c r="AQ130" s="24">
        <v>46265</v>
      </c>
      <c r="AR130" s="1" t="s">
        <v>214</v>
      </c>
      <c r="AS130" s="1" t="s">
        <v>207</v>
      </c>
      <c r="AT130" s="26" t="s">
        <v>215</v>
      </c>
      <c r="AU130" s="26"/>
      <c r="AV130" s="27">
        <f t="shared" si="20"/>
        <v>0</v>
      </c>
    </row>
    <row r="131" spans="1:48" x14ac:dyDescent="0.25">
      <c r="A131" s="1" t="str">
        <f t="shared" si="21"/>
        <v>ACTIVE</v>
      </c>
      <c r="B131" s="2" t="s">
        <v>206</v>
      </c>
      <c r="C131" s="2" t="s">
        <v>207</v>
      </c>
      <c r="D131" s="2" t="s">
        <v>206</v>
      </c>
      <c r="E131" s="2" t="s">
        <v>208</v>
      </c>
      <c r="F131" s="2">
        <v>1064</v>
      </c>
      <c r="G131" s="1" t="s">
        <v>220</v>
      </c>
      <c r="H131" s="2" t="s">
        <v>210</v>
      </c>
      <c r="I131" s="2" t="s">
        <v>42</v>
      </c>
      <c r="J131" s="1" t="s">
        <v>211</v>
      </c>
      <c r="K131" s="2" t="s">
        <v>522</v>
      </c>
      <c r="L131" s="2" t="s">
        <v>523</v>
      </c>
      <c r="M131" s="1" t="s">
        <v>524</v>
      </c>
      <c r="N131" s="1">
        <v>7078110813</v>
      </c>
      <c r="O131" s="1">
        <v>10000</v>
      </c>
      <c r="P131" s="1">
        <v>800</v>
      </c>
      <c r="Q131" s="2">
        <f t="shared" ref="Q131:Q176" si="22">O131-P131</f>
        <v>9200</v>
      </c>
      <c r="R131" s="1">
        <v>700</v>
      </c>
      <c r="S131" s="20">
        <f>T131*R131</f>
        <v>0</v>
      </c>
      <c r="T131" s="20"/>
      <c r="U131" s="1">
        <v>20</v>
      </c>
      <c r="V131" s="28">
        <v>0</v>
      </c>
      <c r="W131" s="1">
        <f t="shared" si="12"/>
        <v>20</v>
      </c>
      <c r="X131" s="1"/>
      <c r="Y131" s="21"/>
      <c r="Z131" s="1"/>
      <c r="AA131" s="1" t="s">
        <v>6</v>
      </c>
      <c r="AB131" s="2" t="s">
        <v>522</v>
      </c>
      <c r="AC131" s="21">
        <f>(T131+W131)*R131+X131-Y131</f>
        <v>14000</v>
      </c>
      <c r="AD131" s="1">
        <f>V131*R131-X131+Y131</f>
        <v>0</v>
      </c>
      <c r="AE131" s="1">
        <f t="shared" ref="AE131:AE176" si="23">T131*7</f>
        <v>0</v>
      </c>
      <c r="AF131" s="1">
        <v>20</v>
      </c>
      <c r="AG131" s="1">
        <f t="shared" ref="AG131:AG176" si="24">AE131*AF131</f>
        <v>0</v>
      </c>
      <c r="AH131" s="1">
        <f t="shared" ref="AH131:AH176" si="25">AE131</f>
        <v>0</v>
      </c>
      <c r="AI131" s="1" t="str">
        <f t="shared" ref="AI131:AI176" si="26">IF(AH131&lt;=30,"0-30",IF(AH131&lt;=60,"31-60",IF(AH131&lt;=90,"61-90","NPA")))</f>
        <v>0-30</v>
      </c>
      <c r="AJ131" s="1" t="str">
        <f t="shared" ref="AJ131:AJ176" si="27">IF(AE131&gt;90,"YES","NO")</f>
        <v>NO</v>
      </c>
      <c r="AK131" s="1">
        <f t="shared" ref="AK131:AK176" si="28">AC131+AG131</f>
        <v>14000</v>
      </c>
      <c r="AL131" s="1">
        <f>U131*R131</f>
        <v>14000</v>
      </c>
      <c r="AM131" s="1">
        <f>U131*R131-O131</f>
        <v>4000</v>
      </c>
      <c r="AN131" s="23">
        <f t="shared" ref="AN131:AN176" si="29">AM131/U131</f>
        <v>200</v>
      </c>
      <c r="AO131" s="24">
        <v>46246</v>
      </c>
      <c r="AP131" s="25">
        <v>46251</v>
      </c>
      <c r="AQ131" s="24">
        <v>46265</v>
      </c>
      <c r="AR131" s="1" t="s">
        <v>214</v>
      </c>
      <c r="AS131" s="1" t="s">
        <v>207</v>
      </c>
      <c r="AT131" s="26" t="s">
        <v>215</v>
      </c>
      <c r="AU131" s="26"/>
      <c r="AV131" s="27">
        <f t="shared" ref="AV131:AV176" si="30">S131+X131</f>
        <v>0</v>
      </c>
    </row>
    <row r="132" spans="1:48" x14ac:dyDescent="0.25">
      <c r="A132" s="1" t="str">
        <f t="shared" ref="A132:A176" si="31">IF(AC132=0,"CLOSE","ACTIVE")</f>
        <v>ACTIVE</v>
      </c>
      <c r="B132" s="2" t="s">
        <v>206</v>
      </c>
      <c r="C132" s="2" t="s">
        <v>207</v>
      </c>
      <c r="D132" s="2" t="s">
        <v>206</v>
      </c>
      <c r="E132" s="2" t="s">
        <v>208</v>
      </c>
      <c r="F132" s="2">
        <v>4814</v>
      </c>
      <c r="G132" s="1" t="s">
        <v>220</v>
      </c>
      <c r="H132" s="2" t="s">
        <v>210</v>
      </c>
      <c r="I132" s="2" t="s">
        <v>42</v>
      </c>
      <c r="J132" s="1" t="s">
        <v>211</v>
      </c>
      <c r="K132" s="2" t="s">
        <v>525</v>
      </c>
      <c r="L132" s="1" t="s">
        <v>107</v>
      </c>
      <c r="M132" s="1" t="s">
        <v>100</v>
      </c>
      <c r="N132" s="1">
        <v>8954751157</v>
      </c>
      <c r="O132" s="1">
        <v>15000</v>
      </c>
      <c r="P132" s="1">
        <v>1000</v>
      </c>
      <c r="Q132" s="2">
        <f t="shared" si="22"/>
        <v>14000</v>
      </c>
      <c r="R132" s="1">
        <v>820</v>
      </c>
      <c r="S132" s="20">
        <f>T132*R132</f>
        <v>0</v>
      </c>
      <c r="T132" s="20"/>
      <c r="U132" s="1">
        <v>25</v>
      </c>
      <c r="V132" s="28">
        <v>0</v>
      </c>
      <c r="W132" s="1">
        <f t="shared" si="12"/>
        <v>25</v>
      </c>
      <c r="X132" s="1"/>
      <c r="Y132" s="21"/>
      <c r="Z132" s="1"/>
      <c r="AA132" s="1" t="s">
        <v>6</v>
      </c>
      <c r="AB132" s="2" t="s">
        <v>525</v>
      </c>
      <c r="AC132" s="21">
        <f>(T132+W132)*R132+X132-Y132</f>
        <v>20500</v>
      </c>
      <c r="AD132" s="1">
        <f>V132*R132-X132+Y132</f>
        <v>0</v>
      </c>
      <c r="AE132" s="1">
        <f t="shared" si="23"/>
        <v>0</v>
      </c>
      <c r="AF132" s="1">
        <v>20</v>
      </c>
      <c r="AG132" s="1">
        <f t="shared" si="24"/>
        <v>0</v>
      </c>
      <c r="AH132" s="1">
        <f t="shared" si="25"/>
        <v>0</v>
      </c>
      <c r="AI132" s="1" t="str">
        <f t="shared" si="26"/>
        <v>0-30</v>
      </c>
      <c r="AJ132" s="1" t="str">
        <f t="shared" si="27"/>
        <v>NO</v>
      </c>
      <c r="AK132" s="1">
        <f t="shared" si="28"/>
        <v>20500</v>
      </c>
      <c r="AL132" s="1">
        <f>U132*R132</f>
        <v>20500</v>
      </c>
      <c r="AM132" s="1">
        <f>U132*R132-O132</f>
        <v>5500</v>
      </c>
      <c r="AN132" s="23">
        <f t="shared" si="29"/>
        <v>220</v>
      </c>
      <c r="AO132" s="24">
        <v>46246</v>
      </c>
      <c r="AP132" s="25">
        <v>46251</v>
      </c>
      <c r="AQ132" s="24">
        <v>46265</v>
      </c>
      <c r="AR132" s="1" t="s">
        <v>214</v>
      </c>
      <c r="AS132" s="1" t="s">
        <v>207</v>
      </c>
      <c r="AT132" s="26" t="s">
        <v>215</v>
      </c>
      <c r="AU132" s="26"/>
      <c r="AV132" s="27">
        <f t="shared" si="30"/>
        <v>0</v>
      </c>
    </row>
    <row r="133" spans="1:48" x14ac:dyDescent="0.25">
      <c r="A133" s="1" t="str">
        <f t="shared" si="31"/>
        <v>ACTIVE</v>
      </c>
      <c r="B133" s="2" t="s">
        <v>206</v>
      </c>
      <c r="C133" s="2" t="s">
        <v>207</v>
      </c>
      <c r="D133" s="2" t="s">
        <v>206</v>
      </c>
      <c r="E133" s="2" t="s">
        <v>208</v>
      </c>
      <c r="F133" s="2">
        <v>5125</v>
      </c>
      <c r="G133" s="1" t="s">
        <v>220</v>
      </c>
      <c r="H133" s="2" t="s">
        <v>210</v>
      </c>
      <c r="I133" s="2" t="s">
        <v>42</v>
      </c>
      <c r="J133" s="1" t="s">
        <v>481</v>
      </c>
      <c r="K133" s="2" t="s">
        <v>526</v>
      </c>
      <c r="L133" s="1" t="s">
        <v>111</v>
      </c>
      <c r="M133" s="1" t="s">
        <v>527</v>
      </c>
      <c r="N133" s="1">
        <v>8077499414</v>
      </c>
      <c r="O133" s="1">
        <v>15000</v>
      </c>
      <c r="P133" s="1">
        <v>1000</v>
      </c>
      <c r="Q133" s="2">
        <f t="shared" si="22"/>
        <v>14000</v>
      </c>
      <c r="R133" s="1">
        <v>820</v>
      </c>
      <c r="S133" s="20">
        <f>T133*R133</f>
        <v>0</v>
      </c>
      <c r="T133" s="20"/>
      <c r="U133" s="1">
        <v>25</v>
      </c>
      <c r="V133" s="28">
        <v>0</v>
      </c>
      <c r="W133" s="1">
        <f t="shared" ref="W133:W176" si="32">U133-V133-T133</f>
        <v>25</v>
      </c>
      <c r="X133" s="1"/>
      <c r="Y133" s="21"/>
      <c r="Z133" s="1"/>
      <c r="AA133" s="1" t="s">
        <v>6</v>
      </c>
      <c r="AB133" s="2" t="s">
        <v>526</v>
      </c>
      <c r="AC133" s="21">
        <f>(T133+W133)*R133+X133-Y133</f>
        <v>20500</v>
      </c>
      <c r="AD133" s="1">
        <f>V133*R133-X133+Y133</f>
        <v>0</v>
      </c>
      <c r="AE133" s="1">
        <f t="shared" si="23"/>
        <v>0</v>
      </c>
      <c r="AF133" s="1">
        <v>20</v>
      </c>
      <c r="AG133" s="1">
        <f t="shared" si="24"/>
        <v>0</v>
      </c>
      <c r="AH133" s="1">
        <f t="shared" si="25"/>
        <v>0</v>
      </c>
      <c r="AI133" s="1" t="str">
        <f t="shared" si="26"/>
        <v>0-30</v>
      </c>
      <c r="AJ133" s="1" t="str">
        <f t="shared" si="27"/>
        <v>NO</v>
      </c>
      <c r="AK133" s="1">
        <f t="shared" si="28"/>
        <v>20500</v>
      </c>
      <c r="AL133" s="1">
        <f>U133*R133</f>
        <v>20500</v>
      </c>
      <c r="AM133" s="1">
        <f>U133*R133-O133</f>
        <v>5500</v>
      </c>
      <c r="AN133" s="23">
        <f t="shared" si="29"/>
        <v>220</v>
      </c>
      <c r="AO133" s="24">
        <v>46246</v>
      </c>
      <c r="AP133" s="25">
        <v>46251</v>
      </c>
      <c r="AQ133" s="24">
        <v>46265</v>
      </c>
      <c r="AR133" s="1" t="s">
        <v>214</v>
      </c>
      <c r="AS133" s="1" t="s">
        <v>207</v>
      </c>
      <c r="AT133" s="26" t="s">
        <v>215</v>
      </c>
      <c r="AU133" s="26"/>
      <c r="AV133" s="27">
        <f t="shared" si="30"/>
        <v>0</v>
      </c>
    </row>
    <row r="134" spans="1:48" x14ac:dyDescent="0.25">
      <c r="A134" s="1" t="str">
        <f t="shared" si="31"/>
        <v>ACTIVE</v>
      </c>
      <c r="B134" s="2" t="s">
        <v>206</v>
      </c>
      <c r="C134" s="2" t="s">
        <v>207</v>
      </c>
      <c r="D134" s="2" t="s">
        <v>206</v>
      </c>
      <c r="E134" s="2" t="s">
        <v>208</v>
      </c>
      <c r="F134" s="2">
        <v>4082</v>
      </c>
      <c r="G134" s="1" t="s">
        <v>220</v>
      </c>
      <c r="H134" s="2" t="s">
        <v>210</v>
      </c>
      <c r="I134" s="2" t="s">
        <v>42</v>
      </c>
      <c r="J134" s="1" t="s">
        <v>528</v>
      </c>
      <c r="K134" s="2" t="s">
        <v>529</v>
      </c>
      <c r="L134" s="1" t="s">
        <v>530</v>
      </c>
      <c r="M134" s="1" t="s">
        <v>531</v>
      </c>
      <c r="N134" s="1">
        <v>7895180744</v>
      </c>
      <c r="O134" s="1">
        <v>15000</v>
      </c>
      <c r="P134" s="1">
        <v>1000</v>
      </c>
      <c r="Q134" s="2">
        <f t="shared" si="22"/>
        <v>14000</v>
      </c>
      <c r="R134" s="1">
        <v>820</v>
      </c>
      <c r="S134" s="20">
        <f>T134*R134</f>
        <v>0</v>
      </c>
      <c r="T134" s="20"/>
      <c r="U134" s="1">
        <v>25</v>
      </c>
      <c r="V134" s="28">
        <v>0</v>
      </c>
      <c r="W134" s="1">
        <f t="shared" si="32"/>
        <v>25</v>
      </c>
      <c r="X134" s="1"/>
      <c r="Y134" s="21"/>
      <c r="Z134" s="1"/>
      <c r="AA134" s="1" t="s">
        <v>6</v>
      </c>
      <c r="AB134" s="2" t="s">
        <v>529</v>
      </c>
      <c r="AC134" s="21">
        <f>(T134+W134)*R134+X134-Y134</f>
        <v>20500</v>
      </c>
      <c r="AD134" s="1">
        <f>V134*R134-X134+Y134</f>
        <v>0</v>
      </c>
      <c r="AE134" s="1">
        <f t="shared" si="23"/>
        <v>0</v>
      </c>
      <c r="AF134" s="1">
        <v>20</v>
      </c>
      <c r="AG134" s="1">
        <f t="shared" si="24"/>
        <v>0</v>
      </c>
      <c r="AH134" s="1">
        <f t="shared" si="25"/>
        <v>0</v>
      </c>
      <c r="AI134" s="1" t="str">
        <f t="shared" si="26"/>
        <v>0-30</v>
      </c>
      <c r="AJ134" s="1" t="str">
        <f t="shared" si="27"/>
        <v>NO</v>
      </c>
      <c r="AK134" s="1">
        <f t="shared" si="28"/>
        <v>20500</v>
      </c>
      <c r="AL134" s="1">
        <f>U134*R134</f>
        <v>20500</v>
      </c>
      <c r="AM134" s="1">
        <f>U134*R134-O134</f>
        <v>5500</v>
      </c>
      <c r="AN134" s="23">
        <f t="shared" si="29"/>
        <v>220</v>
      </c>
      <c r="AO134" s="24">
        <v>46246</v>
      </c>
      <c r="AP134" s="25">
        <v>46251</v>
      </c>
      <c r="AQ134" s="24">
        <v>46265</v>
      </c>
      <c r="AR134" s="1" t="s">
        <v>214</v>
      </c>
      <c r="AS134" s="1" t="s">
        <v>207</v>
      </c>
      <c r="AT134" s="26" t="s">
        <v>215</v>
      </c>
      <c r="AU134" s="26"/>
      <c r="AV134" s="27">
        <f t="shared" si="30"/>
        <v>0</v>
      </c>
    </row>
    <row r="135" spans="1:48" x14ac:dyDescent="0.25">
      <c r="A135" s="1" t="str">
        <f t="shared" si="31"/>
        <v>ACTIVE</v>
      </c>
      <c r="B135" s="2" t="s">
        <v>206</v>
      </c>
      <c r="C135" s="2" t="s">
        <v>207</v>
      </c>
      <c r="D135" s="2" t="s">
        <v>206</v>
      </c>
      <c r="E135" s="2" t="s">
        <v>208</v>
      </c>
      <c r="F135" s="2">
        <v>3833</v>
      </c>
      <c r="G135" s="1" t="s">
        <v>216</v>
      </c>
      <c r="H135" s="2" t="s">
        <v>210</v>
      </c>
      <c r="I135" s="2" t="s">
        <v>42</v>
      </c>
      <c r="J135" s="1" t="s">
        <v>520</v>
      </c>
      <c r="K135" s="2" t="s">
        <v>532</v>
      </c>
      <c r="L135" s="1" t="s">
        <v>533</v>
      </c>
      <c r="M135" s="1" t="s">
        <v>156</v>
      </c>
      <c r="N135" s="1">
        <v>8477900512</v>
      </c>
      <c r="O135" s="1">
        <v>15000</v>
      </c>
      <c r="P135" s="1">
        <v>1000</v>
      </c>
      <c r="Q135" s="2">
        <f t="shared" si="22"/>
        <v>14000</v>
      </c>
      <c r="R135" s="1">
        <v>820</v>
      </c>
      <c r="S135" s="20">
        <f>T135*R135</f>
        <v>0</v>
      </c>
      <c r="T135" s="20"/>
      <c r="U135" s="1">
        <v>25</v>
      </c>
      <c r="V135" s="28">
        <v>1</v>
      </c>
      <c r="W135" s="1">
        <f t="shared" si="32"/>
        <v>24</v>
      </c>
      <c r="X135" s="1"/>
      <c r="Y135" s="21"/>
      <c r="Z135" s="1"/>
      <c r="AA135" s="1" t="s">
        <v>4</v>
      </c>
      <c r="AB135" s="2" t="s">
        <v>532</v>
      </c>
      <c r="AC135" s="21">
        <f>(T135+W135)*R135+X135-Y135</f>
        <v>19680</v>
      </c>
      <c r="AD135" s="1">
        <f>V135*R135-X135+Y135</f>
        <v>820</v>
      </c>
      <c r="AE135" s="1">
        <f t="shared" si="23"/>
        <v>0</v>
      </c>
      <c r="AF135" s="1">
        <v>20</v>
      </c>
      <c r="AG135" s="1">
        <f t="shared" si="24"/>
        <v>0</v>
      </c>
      <c r="AH135" s="1">
        <f t="shared" si="25"/>
        <v>0</v>
      </c>
      <c r="AI135" s="1" t="str">
        <f t="shared" si="26"/>
        <v>0-30</v>
      </c>
      <c r="AJ135" s="1" t="str">
        <f t="shared" si="27"/>
        <v>NO</v>
      </c>
      <c r="AK135" s="1">
        <f t="shared" si="28"/>
        <v>19680</v>
      </c>
      <c r="AL135" s="1">
        <f>U135*R135</f>
        <v>20500</v>
      </c>
      <c r="AM135" s="1">
        <f>U135*R135-O135</f>
        <v>5500</v>
      </c>
      <c r="AN135" s="23">
        <f t="shared" si="29"/>
        <v>220</v>
      </c>
      <c r="AO135" s="24">
        <v>46246</v>
      </c>
      <c r="AP135" s="25">
        <v>46251</v>
      </c>
      <c r="AQ135" s="24">
        <v>46259</v>
      </c>
      <c r="AR135" s="1" t="s">
        <v>214</v>
      </c>
      <c r="AS135" s="1" t="s">
        <v>207</v>
      </c>
      <c r="AT135" s="26" t="s">
        <v>215</v>
      </c>
      <c r="AU135" s="26"/>
      <c r="AV135" s="27">
        <f t="shared" si="30"/>
        <v>0</v>
      </c>
    </row>
    <row r="136" spans="1:48" x14ac:dyDescent="0.25">
      <c r="A136" s="1" t="str">
        <f t="shared" si="31"/>
        <v>ACTIVE</v>
      </c>
      <c r="B136" s="2" t="s">
        <v>206</v>
      </c>
      <c r="C136" s="2" t="s">
        <v>207</v>
      </c>
      <c r="D136" s="2" t="s">
        <v>206</v>
      </c>
      <c r="E136" s="2" t="s">
        <v>208</v>
      </c>
      <c r="F136" s="2">
        <v>2953</v>
      </c>
      <c r="G136" s="1" t="s">
        <v>220</v>
      </c>
      <c r="H136" s="2" t="s">
        <v>210</v>
      </c>
      <c r="I136" s="2" t="s">
        <v>42</v>
      </c>
      <c r="J136" s="1" t="s">
        <v>359</v>
      </c>
      <c r="K136" s="2" t="s">
        <v>534</v>
      </c>
      <c r="L136" s="1" t="s">
        <v>535</v>
      </c>
      <c r="M136" s="1" t="s">
        <v>536</v>
      </c>
      <c r="N136" s="1">
        <v>9557944286</v>
      </c>
      <c r="O136" s="1">
        <v>15000</v>
      </c>
      <c r="P136" s="1">
        <v>1000</v>
      </c>
      <c r="Q136" s="2">
        <f t="shared" si="22"/>
        <v>14000</v>
      </c>
      <c r="R136" s="1">
        <v>820</v>
      </c>
      <c r="S136" s="20">
        <f>T136*R136</f>
        <v>0</v>
      </c>
      <c r="T136" s="20"/>
      <c r="U136" s="1">
        <v>25</v>
      </c>
      <c r="V136" s="28">
        <v>0</v>
      </c>
      <c r="W136" s="1">
        <f t="shared" si="32"/>
        <v>25</v>
      </c>
      <c r="X136" s="1"/>
      <c r="Y136" s="21"/>
      <c r="Z136" s="1"/>
      <c r="AA136" s="1" t="s">
        <v>6</v>
      </c>
      <c r="AB136" s="2" t="s">
        <v>534</v>
      </c>
      <c r="AC136" s="21">
        <f>(T136+W136)*R136+X136-Y136</f>
        <v>20500</v>
      </c>
      <c r="AD136" s="1">
        <f>V136*R136-X136+Y136</f>
        <v>0</v>
      </c>
      <c r="AE136" s="1">
        <f t="shared" si="23"/>
        <v>0</v>
      </c>
      <c r="AF136" s="1">
        <v>20</v>
      </c>
      <c r="AG136" s="1">
        <f t="shared" si="24"/>
        <v>0</v>
      </c>
      <c r="AH136" s="1">
        <f t="shared" si="25"/>
        <v>0</v>
      </c>
      <c r="AI136" s="1" t="str">
        <f t="shared" si="26"/>
        <v>0-30</v>
      </c>
      <c r="AJ136" s="1" t="str">
        <f t="shared" si="27"/>
        <v>NO</v>
      </c>
      <c r="AK136" s="1">
        <f t="shared" si="28"/>
        <v>20500</v>
      </c>
      <c r="AL136" s="1">
        <f>U136*R136</f>
        <v>20500</v>
      </c>
      <c r="AM136" s="1">
        <f>U136*R136-O136</f>
        <v>5500</v>
      </c>
      <c r="AN136" s="23">
        <f t="shared" si="29"/>
        <v>220</v>
      </c>
      <c r="AO136" s="24">
        <v>46245</v>
      </c>
      <c r="AP136" s="25">
        <v>46252</v>
      </c>
      <c r="AQ136" s="31">
        <v>46265</v>
      </c>
      <c r="AR136" s="1" t="s">
        <v>214</v>
      </c>
      <c r="AS136" s="1" t="s">
        <v>207</v>
      </c>
      <c r="AT136" s="26" t="s">
        <v>215</v>
      </c>
      <c r="AU136" s="26"/>
      <c r="AV136" s="27">
        <f t="shared" si="30"/>
        <v>0</v>
      </c>
    </row>
    <row r="137" spans="1:48" x14ac:dyDescent="0.25">
      <c r="A137" s="1" t="str">
        <f t="shared" si="31"/>
        <v>ACTIVE</v>
      </c>
      <c r="B137" s="2" t="s">
        <v>206</v>
      </c>
      <c r="C137" s="2" t="s">
        <v>207</v>
      </c>
      <c r="D137" s="2" t="s">
        <v>206</v>
      </c>
      <c r="E137" s="2" t="s">
        <v>208</v>
      </c>
      <c r="F137" s="2">
        <v>1894</v>
      </c>
      <c r="G137" s="1" t="s">
        <v>220</v>
      </c>
      <c r="H137" s="2" t="s">
        <v>210</v>
      </c>
      <c r="I137" s="2" t="s">
        <v>42</v>
      </c>
      <c r="J137" s="1" t="s">
        <v>537</v>
      </c>
      <c r="K137" s="2" t="s">
        <v>538</v>
      </c>
      <c r="L137" s="1" t="s">
        <v>539</v>
      </c>
      <c r="M137" s="1" t="s">
        <v>540</v>
      </c>
      <c r="N137" s="1">
        <v>9548628252</v>
      </c>
      <c r="O137" s="1">
        <v>15000</v>
      </c>
      <c r="P137" s="1">
        <v>1000</v>
      </c>
      <c r="Q137" s="2">
        <f t="shared" si="22"/>
        <v>14000</v>
      </c>
      <c r="R137" s="1">
        <v>820</v>
      </c>
      <c r="S137" s="20">
        <f>T137*R137</f>
        <v>0</v>
      </c>
      <c r="T137" s="20"/>
      <c r="U137" s="1">
        <v>25</v>
      </c>
      <c r="V137" s="28">
        <v>0</v>
      </c>
      <c r="W137" s="1">
        <f t="shared" si="32"/>
        <v>25</v>
      </c>
      <c r="X137" s="1"/>
      <c r="Y137" s="21"/>
      <c r="Z137" s="1"/>
      <c r="AA137" s="1" t="s">
        <v>5</v>
      </c>
      <c r="AB137" s="2" t="s">
        <v>538</v>
      </c>
      <c r="AC137" s="21">
        <f>(T137+W137)*R137+X137-Y137</f>
        <v>20500</v>
      </c>
      <c r="AD137" s="1">
        <f>V137*R137-X137+Y137</f>
        <v>0</v>
      </c>
      <c r="AE137" s="1">
        <f t="shared" si="23"/>
        <v>0</v>
      </c>
      <c r="AF137" s="1">
        <v>20</v>
      </c>
      <c r="AG137" s="1">
        <f t="shared" si="24"/>
        <v>0</v>
      </c>
      <c r="AH137" s="1">
        <f t="shared" si="25"/>
        <v>0</v>
      </c>
      <c r="AI137" s="1" t="str">
        <f t="shared" si="26"/>
        <v>0-30</v>
      </c>
      <c r="AJ137" s="1" t="str">
        <f t="shared" si="27"/>
        <v>NO</v>
      </c>
      <c r="AK137" s="1">
        <f t="shared" si="28"/>
        <v>20500</v>
      </c>
      <c r="AL137" s="1">
        <f>U137*R137</f>
        <v>20500</v>
      </c>
      <c r="AM137" s="1">
        <f>U137*R137-O137</f>
        <v>5500</v>
      </c>
      <c r="AN137" s="23">
        <f t="shared" si="29"/>
        <v>220</v>
      </c>
      <c r="AO137" s="24">
        <v>46244</v>
      </c>
      <c r="AP137" s="25">
        <v>46252</v>
      </c>
      <c r="AQ137" s="24">
        <v>46262</v>
      </c>
      <c r="AR137" s="1" t="s">
        <v>214</v>
      </c>
      <c r="AS137" s="1" t="s">
        <v>207</v>
      </c>
      <c r="AT137" s="26" t="s">
        <v>215</v>
      </c>
      <c r="AU137" s="26"/>
      <c r="AV137" s="27">
        <f t="shared" si="30"/>
        <v>0</v>
      </c>
    </row>
    <row r="138" spans="1:48" x14ac:dyDescent="0.25">
      <c r="A138" s="1" t="str">
        <f t="shared" si="31"/>
        <v>ACTIVE</v>
      </c>
      <c r="B138" s="2" t="s">
        <v>206</v>
      </c>
      <c r="C138" s="2" t="s">
        <v>207</v>
      </c>
      <c r="D138" s="2" t="s">
        <v>206</v>
      </c>
      <c r="E138" s="2" t="s">
        <v>208</v>
      </c>
      <c r="F138" s="2">
        <v>6366</v>
      </c>
      <c r="G138" s="1" t="s">
        <v>220</v>
      </c>
      <c r="H138" s="2" t="s">
        <v>210</v>
      </c>
      <c r="I138" s="2" t="s">
        <v>42</v>
      </c>
      <c r="J138" s="1" t="s">
        <v>211</v>
      </c>
      <c r="K138" s="2" t="s">
        <v>541</v>
      </c>
      <c r="L138" s="1" t="s">
        <v>542</v>
      </c>
      <c r="M138" s="1" t="s">
        <v>543</v>
      </c>
      <c r="N138" s="1">
        <v>7037833631</v>
      </c>
      <c r="O138" s="1">
        <v>15000</v>
      </c>
      <c r="P138" s="1">
        <v>1000</v>
      </c>
      <c r="Q138" s="2">
        <f t="shared" si="22"/>
        <v>14000</v>
      </c>
      <c r="R138" s="1">
        <v>820</v>
      </c>
      <c r="S138" s="20">
        <f>T138*R138</f>
        <v>0</v>
      </c>
      <c r="T138" s="20"/>
      <c r="U138" s="1">
        <v>25</v>
      </c>
      <c r="V138" s="28">
        <v>0</v>
      </c>
      <c r="W138" s="1">
        <f t="shared" si="32"/>
        <v>25</v>
      </c>
      <c r="X138" s="1"/>
      <c r="Y138" s="21"/>
      <c r="Z138" s="1"/>
      <c r="AA138" s="1" t="s">
        <v>6</v>
      </c>
      <c r="AB138" s="2" t="s">
        <v>541</v>
      </c>
      <c r="AC138" s="21">
        <f>(T138+W138)*R138+X138-Y138</f>
        <v>20500</v>
      </c>
      <c r="AD138" s="1">
        <f>V138*R138-X138+Y138</f>
        <v>0</v>
      </c>
      <c r="AE138" s="1">
        <f t="shared" si="23"/>
        <v>0</v>
      </c>
      <c r="AF138" s="1">
        <v>20</v>
      </c>
      <c r="AG138" s="1">
        <f t="shared" si="24"/>
        <v>0</v>
      </c>
      <c r="AH138" s="1">
        <f t="shared" si="25"/>
        <v>0</v>
      </c>
      <c r="AI138" s="1" t="str">
        <f t="shared" si="26"/>
        <v>0-30</v>
      </c>
      <c r="AJ138" s="1" t="str">
        <f t="shared" si="27"/>
        <v>NO</v>
      </c>
      <c r="AK138" s="1">
        <f t="shared" si="28"/>
        <v>20500</v>
      </c>
      <c r="AL138" s="1">
        <f>U138*R138</f>
        <v>20500</v>
      </c>
      <c r="AM138" s="1">
        <f>U138*R138-O138</f>
        <v>5500</v>
      </c>
      <c r="AN138" s="23">
        <f t="shared" si="29"/>
        <v>220</v>
      </c>
      <c r="AO138" s="24">
        <v>46246</v>
      </c>
      <c r="AP138" s="25">
        <v>46252</v>
      </c>
      <c r="AQ138" s="24">
        <v>46265</v>
      </c>
      <c r="AR138" s="1" t="s">
        <v>214</v>
      </c>
      <c r="AS138" s="1" t="s">
        <v>207</v>
      </c>
      <c r="AT138" s="26" t="s">
        <v>215</v>
      </c>
      <c r="AU138" s="26"/>
      <c r="AV138" s="27">
        <f t="shared" si="30"/>
        <v>0</v>
      </c>
    </row>
    <row r="139" spans="1:48" x14ac:dyDescent="0.25">
      <c r="A139" s="1" t="str">
        <f t="shared" si="31"/>
        <v>ACTIVE</v>
      </c>
      <c r="B139" s="2" t="s">
        <v>206</v>
      </c>
      <c r="C139" s="2" t="s">
        <v>207</v>
      </c>
      <c r="D139" s="2" t="s">
        <v>206</v>
      </c>
      <c r="E139" s="2" t="s">
        <v>208</v>
      </c>
      <c r="F139" s="2">
        <v>3032</v>
      </c>
      <c r="G139" s="1" t="s">
        <v>220</v>
      </c>
      <c r="H139" s="2" t="s">
        <v>210</v>
      </c>
      <c r="I139" s="2" t="s">
        <v>42</v>
      </c>
      <c r="J139" s="1" t="s">
        <v>481</v>
      </c>
      <c r="K139" s="2" t="s">
        <v>544</v>
      </c>
      <c r="L139" s="1" t="s">
        <v>185</v>
      </c>
      <c r="M139" s="1" t="s">
        <v>100</v>
      </c>
      <c r="N139" s="1">
        <v>6395633965</v>
      </c>
      <c r="O139" s="1">
        <v>15000</v>
      </c>
      <c r="P139" s="1">
        <v>1000</v>
      </c>
      <c r="Q139" s="2">
        <f t="shared" si="22"/>
        <v>14000</v>
      </c>
      <c r="R139" s="1">
        <v>820</v>
      </c>
      <c r="S139" s="20">
        <f>T139*R139</f>
        <v>0</v>
      </c>
      <c r="T139" s="20"/>
      <c r="U139" s="1">
        <v>25</v>
      </c>
      <c r="V139" s="28">
        <v>0</v>
      </c>
      <c r="W139" s="1">
        <f t="shared" si="32"/>
        <v>25</v>
      </c>
      <c r="X139" s="1"/>
      <c r="Y139" s="21"/>
      <c r="Z139" s="1"/>
      <c r="AA139" s="1" t="s">
        <v>6</v>
      </c>
      <c r="AB139" s="2" t="s">
        <v>544</v>
      </c>
      <c r="AC139" s="21">
        <f>(T139+W139)*R139+X139-Y139</f>
        <v>20500</v>
      </c>
      <c r="AD139" s="1">
        <f>V139*R139-X139+Y139</f>
        <v>0</v>
      </c>
      <c r="AE139" s="1">
        <f t="shared" si="23"/>
        <v>0</v>
      </c>
      <c r="AF139" s="1">
        <v>20</v>
      </c>
      <c r="AG139" s="1">
        <f t="shared" si="24"/>
        <v>0</v>
      </c>
      <c r="AH139" s="1">
        <f t="shared" si="25"/>
        <v>0</v>
      </c>
      <c r="AI139" s="1" t="str">
        <f t="shared" si="26"/>
        <v>0-30</v>
      </c>
      <c r="AJ139" s="1" t="str">
        <f t="shared" si="27"/>
        <v>NO</v>
      </c>
      <c r="AK139" s="1">
        <f t="shared" si="28"/>
        <v>20500</v>
      </c>
      <c r="AL139" s="1">
        <f>U139*R139</f>
        <v>20500</v>
      </c>
      <c r="AM139" s="1">
        <f>U139*R139-O139</f>
        <v>5500</v>
      </c>
      <c r="AN139" s="23">
        <f t="shared" si="29"/>
        <v>220</v>
      </c>
      <c r="AO139" s="24">
        <v>46246</v>
      </c>
      <c r="AP139" s="25">
        <v>46252</v>
      </c>
      <c r="AQ139" s="24">
        <v>46265</v>
      </c>
      <c r="AR139" s="1" t="s">
        <v>214</v>
      </c>
      <c r="AS139" s="1" t="s">
        <v>207</v>
      </c>
      <c r="AT139" s="26" t="s">
        <v>215</v>
      </c>
      <c r="AU139" s="26"/>
      <c r="AV139" s="27">
        <f t="shared" si="30"/>
        <v>0</v>
      </c>
    </row>
    <row r="140" spans="1:48" x14ac:dyDescent="0.25">
      <c r="A140" s="1" t="str">
        <f t="shared" si="31"/>
        <v>ACTIVE</v>
      </c>
      <c r="B140" s="2" t="s">
        <v>206</v>
      </c>
      <c r="C140" s="2" t="s">
        <v>207</v>
      </c>
      <c r="D140" s="2" t="s">
        <v>206</v>
      </c>
      <c r="E140" s="2" t="s">
        <v>208</v>
      </c>
      <c r="F140" s="2">
        <v>7887</v>
      </c>
      <c r="G140" s="1" t="s">
        <v>220</v>
      </c>
      <c r="H140" s="2" t="s">
        <v>210</v>
      </c>
      <c r="I140" s="2" t="s">
        <v>42</v>
      </c>
      <c r="J140" s="1" t="s">
        <v>545</v>
      </c>
      <c r="K140" s="2" t="s">
        <v>546</v>
      </c>
      <c r="L140" s="1" t="s">
        <v>423</v>
      </c>
      <c r="M140" s="1" t="s">
        <v>547</v>
      </c>
      <c r="N140" s="1">
        <v>9058284157</v>
      </c>
      <c r="O140" s="1">
        <v>15000</v>
      </c>
      <c r="P140" s="1">
        <v>1000</v>
      </c>
      <c r="Q140" s="2">
        <f t="shared" si="22"/>
        <v>14000</v>
      </c>
      <c r="R140" s="1">
        <v>820</v>
      </c>
      <c r="S140" s="20">
        <f>T140*R140</f>
        <v>0</v>
      </c>
      <c r="T140" s="20"/>
      <c r="U140" s="1">
        <v>25</v>
      </c>
      <c r="V140" s="28">
        <v>0</v>
      </c>
      <c r="W140" s="1">
        <f t="shared" si="32"/>
        <v>25</v>
      </c>
      <c r="X140" s="1"/>
      <c r="Y140" s="21"/>
      <c r="Z140" s="1"/>
      <c r="AA140" s="1" t="s">
        <v>4</v>
      </c>
      <c r="AB140" s="2" t="s">
        <v>546</v>
      </c>
      <c r="AC140" s="21">
        <f>(T140+W140)*R140+X140-Y140</f>
        <v>20500</v>
      </c>
      <c r="AD140" s="1">
        <f>V140*R140-X140+Y140</f>
        <v>0</v>
      </c>
      <c r="AE140" s="1">
        <f t="shared" si="23"/>
        <v>0</v>
      </c>
      <c r="AF140" s="1">
        <v>20</v>
      </c>
      <c r="AG140" s="1">
        <f t="shared" si="24"/>
        <v>0</v>
      </c>
      <c r="AH140" s="1">
        <f t="shared" si="25"/>
        <v>0</v>
      </c>
      <c r="AI140" s="1" t="str">
        <f t="shared" si="26"/>
        <v>0-30</v>
      </c>
      <c r="AJ140" s="1" t="str">
        <f t="shared" si="27"/>
        <v>NO</v>
      </c>
      <c r="AK140" s="1">
        <f t="shared" si="28"/>
        <v>20500</v>
      </c>
      <c r="AL140" s="1">
        <f>U140*R140</f>
        <v>20500</v>
      </c>
      <c r="AM140" s="1">
        <f>U140*R140-O140</f>
        <v>5500</v>
      </c>
      <c r="AN140" s="23">
        <f t="shared" si="29"/>
        <v>220</v>
      </c>
      <c r="AO140" s="24">
        <v>46247</v>
      </c>
      <c r="AP140" s="25">
        <v>46252</v>
      </c>
      <c r="AQ140" s="24">
        <v>46266</v>
      </c>
      <c r="AR140" s="1" t="s">
        <v>214</v>
      </c>
      <c r="AS140" s="1" t="s">
        <v>207</v>
      </c>
      <c r="AT140" s="26" t="s">
        <v>215</v>
      </c>
      <c r="AU140" s="26"/>
      <c r="AV140" s="27">
        <f t="shared" si="30"/>
        <v>0</v>
      </c>
    </row>
    <row r="141" spans="1:48" x14ac:dyDescent="0.25">
      <c r="A141" s="1" t="str">
        <f t="shared" si="31"/>
        <v>ACTIVE</v>
      </c>
      <c r="B141" s="2" t="s">
        <v>206</v>
      </c>
      <c r="C141" s="2" t="s">
        <v>207</v>
      </c>
      <c r="D141" s="2" t="s">
        <v>206</v>
      </c>
      <c r="E141" s="2" t="s">
        <v>208</v>
      </c>
      <c r="F141" s="2">
        <v>28</v>
      </c>
      <c r="G141" s="1" t="s">
        <v>220</v>
      </c>
      <c r="H141" s="2" t="s">
        <v>210</v>
      </c>
      <c r="I141" s="2" t="s">
        <v>42</v>
      </c>
      <c r="J141" s="1" t="s">
        <v>481</v>
      </c>
      <c r="K141" s="2" t="s">
        <v>548</v>
      </c>
      <c r="L141" s="1" t="s">
        <v>549</v>
      </c>
      <c r="M141" s="1" t="s">
        <v>550</v>
      </c>
      <c r="N141" s="1">
        <v>9389016224</v>
      </c>
      <c r="O141" s="1">
        <v>15000</v>
      </c>
      <c r="P141" s="1">
        <v>1000</v>
      </c>
      <c r="Q141" s="2">
        <f t="shared" si="22"/>
        <v>14000</v>
      </c>
      <c r="R141" s="1">
        <v>820</v>
      </c>
      <c r="S141" s="20">
        <f>T141*R141</f>
        <v>0</v>
      </c>
      <c r="T141" s="20"/>
      <c r="U141" s="1">
        <v>25</v>
      </c>
      <c r="V141" s="28">
        <v>0</v>
      </c>
      <c r="W141" s="1">
        <f t="shared" si="32"/>
        <v>25</v>
      </c>
      <c r="X141" s="1"/>
      <c r="Y141" s="21"/>
      <c r="Z141" s="1"/>
      <c r="AA141" s="1" t="s">
        <v>4</v>
      </c>
      <c r="AB141" s="2" t="s">
        <v>548</v>
      </c>
      <c r="AC141" s="21">
        <f>(T141+W141)*R141+X141-Y141</f>
        <v>20500</v>
      </c>
      <c r="AD141" s="1">
        <f>V141*R141-X141+Y141</f>
        <v>0</v>
      </c>
      <c r="AE141" s="1">
        <f t="shared" si="23"/>
        <v>0</v>
      </c>
      <c r="AF141" s="1">
        <v>20</v>
      </c>
      <c r="AG141" s="1">
        <f t="shared" si="24"/>
        <v>0</v>
      </c>
      <c r="AH141" s="1">
        <f t="shared" si="25"/>
        <v>0</v>
      </c>
      <c r="AI141" s="1" t="str">
        <f t="shared" si="26"/>
        <v>0-30</v>
      </c>
      <c r="AJ141" s="1" t="str">
        <f t="shared" si="27"/>
        <v>NO</v>
      </c>
      <c r="AK141" s="1">
        <f t="shared" si="28"/>
        <v>20500</v>
      </c>
      <c r="AL141" s="1">
        <f>U141*R141</f>
        <v>20500</v>
      </c>
      <c r="AM141" s="1">
        <f>U141*R141-O141</f>
        <v>5500</v>
      </c>
      <c r="AN141" s="23">
        <f t="shared" si="29"/>
        <v>220</v>
      </c>
      <c r="AO141" s="24">
        <v>46247</v>
      </c>
      <c r="AP141" s="25">
        <v>46252</v>
      </c>
      <c r="AQ141" s="24">
        <v>46266</v>
      </c>
      <c r="AR141" s="1" t="s">
        <v>214</v>
      </c>
      <c r="AS141" s="1" t="s">
        <v>207</v>
      </c>
      <c r="AT141" s="26" t="s">
        <v>215</v>
      </c>
      <c r="AU141" s="26"/>
      <c r="AV141" s="27">
        <f t="shared" si="30"/>
        <v>0</v>
      </c>
    </row>
    <row r="142" spans="1:48" x14ac:dyDescent="0.25">
      <c r="A142" s="1" t="str">
        <f t="shared" si="31"/>
        <v>ACTIVE</v>
      </c>
      <c r="B142" s="2" t="s">
        <v>206</v>
      </c>
      <c r="C142" s="2" t="s">
        <v>207</v>
      </c>
      <c r="D142" s="2" t="s">
        <v>206</v>
      </c>
      <c r="E142" s="2" t="s">
        <v>208</v>
      </c>
      <c r="F142" s="2">
        <v>5794</v>
      </c>
      <c r="G142" s="1" t="s">
        <v>216</v>
      </c>
      <c r="H142" s="2" t="s">
        <v>210</v>
      </c>
      <c r="I142" s="2" t="s">
        <v>42</v>
      </c>
      <c r="J142" s="1" t="s">
        <v>481</v>
      </c>
      <c r="K142" s="2" t="s">
        <v>551</v>
      </c>
      <c r="L142" s="1" t="s">
        <v>552</v>
      </c>
      <c r="M142" s="1" t="s">
        <v>553</v>
      </c>
      <c r="N142" s="1">
        <v>9045297932</v>
      </c>
      <c r="O142" s="1">
        <v>15000</v>
      </c>
      <c r="P142" s="1">
        <v>1000</v>
      </c>
      <c r="Q142" s="2">
        <f t="shared" si="22"/>
        <v>14000</v>
      </c>
      <c r="R142" s="1">
        <v>820</v>
      </c>
      <c r="S142" s="20">
        <f>T142*R142</f>
        <v>0</v>
      </c>
      <c r="T142" s="20"/>
      <c r="U142" s="1">
        <v>25</v>
      </c>
      <c r="V142" s="28">
        <v>0</v>
      </c>
      <c r="W142" s="1">
        <f t="shared" si="32"/>
        <v>25</v>
      </c>
      <c r="X142" s="1"/>
      <c r="Y142" s="21"/>
      <c r="Z142" s="1"/>
      <c r="AA142" s="1" t="s">
        <v>4</v>
      </c>
      <c r="AB142" s="2" t="s">
        <v>551</v>
      </c>
      <c r="AC142" s="21">
        <f>(T142+W142)*R142+X142-Y142</f>
        <v>20500</v>
      </c>
      <c r="AD142" s="1">
        <f>V142*R142-X142+Y142</f>
        <v>0</v>
      </c>
      <c r="AE142" s="1">
        <f t="shared" si="23"/>
        <v>0</v>
      </c>
      <c r="AF142" s="1">
        <v>20</v>
      </c>
      <c r="AG142" s="1">
        <f t="shared" si="24"/>
        <v>0</v>
      </c>
      <c r="AH142" s="1">
        <f t="shared" si="25"/>
        <v>0</v>
      </c>
      <c r="AI142" s="1" t="str">
        <f t="shared" si="26"/>
        <v>0-30</v>
      </c>
      <c r="AJ142" s="1" t="str">
        <f t="shared" si="27"/>
        <v>NO</v>
      </c>
      <c r="AK142" s="1">
        <f t="shared" si="28"/>
        <v>20500</v>
      </c>
      <c r="AL142" s="1">
        <f>U142*R142</f>
        <v>20500</v>
      </c>
      <c r="AM142" s="1">
        <f>U142*R142-O142</f>
        <v>5500</v>
      </c>
      <c r="AN142" s="23">
        <f t="shared" si="29"/>
        <v>220</v>
      </c>
      <c r="AO142" s="24">
        <v>46247</v>
      </c>
      <c r="AP142" s="25">
        <v>46252</v>
      </c>
      <c r="AQ142" s="24">
        <v>46266</v>
      </c>
      <c r="AR142" s="1" t="s">
        <v>214</v>
      </c>
      <c r="AS142" s="1" t="s">
        <v>207</v>
      </c>
      <c r="AT142" s="26" t="s">
        <v>215</v>
      </c>
      <c r="AU142" s="26"/>
      <c r="AV142" s="27">
        <f t="shared" si="30"/>
        <v>0</v>
      </c>
    </row>
    <row r="143" spans="1:48" x14ac:dyDescent="0.25">
      <c r="A143" s="1" t="str">
        <f t="shared" si="31"/>
        <v>ACTIVE</v>
      </c>
      <c r="B143" s="2" t="s">
        <v>206</v>
      </c>
      <c r="C143" s="2" t="s">
        <v>207</v>
      </c>
      <c r="D143" s="2" t="s">
        <v>206</v>
      </c>
      <c r="E143" s="2" t="s">
        <v>208</v>
      </c>
      <c r="F143" s="2">
        <v>2079</v>
      </c>
      <c r="G143" s="1" t="s">
        <v>216</v>
      </c>
      <c r="H143" s="2" t="s">
        <v>210</v>
      </c>
      <c r="I143" s="2" t="s">
        <v>42</v>
      </c>
      <c r="J143" s="1" t="s">
        <v>481</v>
      </c>
      <c r="K143" s="2" t="s">
        <v>554</v>
      </c>
      <c r="L143" s="1" t="s">
        <v>147</v>
      </c>
      <c r="M143" s="1" t="s">
        <v>555</v>
      </c>
      <c r="N143" s="1">
        <v>8171408458</v>
      </c>
      <c r="O143" s="1">
        <v>15000</v>
      </c>
      <c r="P143" s="1">
        <v>1000</v>
      </c>
      <c r="Q143" s="2">
        <f t="shared" si="22"/>
        <v>14000</v>
      </c>
      <c r="R143" s="1">
        <v>820</v>
      </c>
      <c r="S143" s="20">
        <f>T143*R143</f>
        <v>0</v>
      </c>
      <c r="T143" s="20"/>
      <c r="U143" s="1">
        <v>25</v>
      </c>
      <c r="V143" s="28">
        <v>0</v>
      </c>
      <c r="W143" s="1">
        <f t="shared" si="32"/>
        <v>25</v>
      </c>
      <c r="X143" s="1"/>
      <c r="Y143" s="21"/>
      <c r="Z143" s="1"/>
      <c r="AA143" s="1" t="s">
        <v>4</v>
      </c>
      <c r="AB143" s="2" t="s">
        <v>554</v>
      </c>
      <c r="AC143" s="21">
        <f>(T143+W143)*R143+X143-Y143</f>
        <v>20500</v>
      </c>
      <c r="AD143" s="1">
        <f>V143*R143-X143+Y143</f>
        <v>0</v>
      </c>
      <c r="AE143" s="1">
        <f t="shared" si="23"/>
        <v>0</v>
      </c>
      <c r="AF143" s="1">
        <v>20</v>
      </c>
      <c r="AG143" s="1">
        <f t="shared" si="24"/>
        <v>0</v>
      </c>
      <c r="AH143" s="1">
        <f t="shared" si="25"/>
        <v>0</v>
      </c>
      <c r="AI143" s="1" t="str">
        <f t="shared" si="26"/>
        <v>0-30</v>
      </c>
      <c r="AJ143" s="1" t="str">
        <f t="shared" si="27"/>
        <v>NO</v>
      </c>
      <c r="AK143" s="1">
        <f t="shared" si="28"/>
        <v>20500</v>
      </c>
      <c r="AL143" s="1">
        <f>U143*R143</f>
        <v>20500</v>
      </c>
      <c r="AM143" s="1">
        <f>U143*R143-O143</f>
        <v>5500</v>
      </c>
      <c r="AN143" s="23">
        <f t="shared" si="29"/>
        <v>220</v>
      </c>
      <c r="AO143" s="24">
        <v>46247</v>
      </c>
      <c r="AP143" s="25">
        <v>46252</v>
      </c>
      <c r="AQ143" s="24">
        <v>46266</v>
      </c>
      <c r="AR143" s="1" t="s">
        <v>214</v>
      </c>
      <c r="AS143" s="1" t="s">
        <v>207</v>
      </c>
      <c r="AT143" s="26" t="s">
        <v>215</v>
      </c>
      <c r="AU143" s="26"/>
      <c r="AV143" s="27">
        <f t="shared" si="30"/>
        <v>0</v>
      </c>
    </row>
    <row r="144" spans="1:48" x14ac:dyDescent="0.25">
      <c r="A144" s="1" t="str">
        <f t="shared" si="31"/>
        <v>ACTIVE</v>
      </c>
      <c r="B144" s="2" t="s">
        <v>206</v>
      </c>
      <c r="C144" s="2" t="s">
        <v>207</v>
      </c>
      <c r="D144" s="2" t="s">
        <v>206</v>
      </c>
      <c r="E144" s="2" t="s">
        <v>208</v>
      </c>
      <c r="F144" s="2">
        <v>9078</v>
      </c>
      <c r="G144" s="1" t="s">
        <v>220</v>
      </c>
      <c r="H144" s="2" t="s">
        <v>210</v>
      </c>
      <c r="I144" s="2" t="s">
        <v>42</v>
      </c>
      <c r="J144" s="1" t="s">
        <v>481</v>
      </c>
      <c r="K144" s="2" t="s">
        <v>556</v>
      </c>
      <c r="L144" s="1" t="s">
        <v>107</v>
      </c>
      <c r="M144" s="1" t="s">
        <v>557</v>
      </c>
      <c r="N144" s="1">
        <v>7302344274</v>
      </c>
      <c r="O144" s="1">
        <v>15000</v>
      </c>
      <c r="P144" s="1">
        <v>1000</v>
      </c>
      <c r="Q144" s="2">
        <f t="shared" si="22"/>
        <v>14000</v>
      </c>
      <c r="R144" s="1">
        <v>820</v>
      </c>
      <c r="S144" s="20">
        <f>T144*R144</f>
        <v>0</v>
      </c>
      <c r="T144" s="20"/>
      <c r="U144" s="1">
        <v>25</v>
      </c>
      <c r="V144" s="28">
        <v>0</v>
      </c>
      <c r="W144" s="1">
        <f t="shared" si="32"/>
        <v>25</v>
      </c>
      <c r="X144" s="1"/>
      <c r="Y144" s="21"/>
      <c r="Z144" s="1"/>
      <c r="AA144" s="1" t="s">
        <v>4</v>
      </c>
      <c r="AB144" s="2" t="s">
        <v>556</v>
      </c>
      <c r="AC144" s="21">
        <f>(T144+W144)*R144+X144-Y144</f>
        <v>20500</v>
      </c>
      <c r="AD144" s="1">
        <f>V144*R144-X144+Y144</f>
        <v>0</v>
      </c>
      <c r="AE144" s="1">
        <f t="shared" si="23"/>
        <v>0</v>
      </c>
      <c r="AF144" s="1">
        <v>20</v>
      </c>
      <c r="AG144" s="1">
        <f t="shared" si="24"/>
        <v>0</v>
      </c>
      <c r="AH144" s="1">
        <f t="shared" si="25"/>
        <v>0</v>
      </c>
      <c r="AI144" s="1" t="str">
        <f t="shared" si="26"/>
        <v>0-30</v>
      </c>
      <c r="AJ144" s="1" t="str">
        <f t="shared" si="27"/>
        <v>NO</v>
      </c>
      <c r="AK144" s="1">
        <f t="shared" si="28"/>
        <v>20500</v>
      </c>
      <c r="AL144" s="1">
        <f>U144*R144</f>
        <v>20500</v>
      </c>
      <c r="AM144" s="1">
        <f>U144*R144-O144</f>
        <v>5500</v>
      </c>
      <c r="AN144" s="23">
        <f t="shared" si="29"/>
        <v>220</v>
      </c>
      <c r="AO144" s="24">
        <v>46247</v>
      </c>
      <c r="AP144" s="25">
        <v>46252</v>
      </c>
      <c r="AQ144" s="24">
        <v>46266</v>
      </c>
      <c r="AR144" s="1" t="s">
        <v>214</v>
      </c>
      <c r="AS144" s="1" t="s">
        <v>207</v>
      </c>
      <c r="AT144" s="26" t="s">
        <v>215</v>
      </c>
      <c r="AU144" s="26"/>
      <c r="AV144" s="27">
        <f t="shared" si="30"/>
        <v>0</v>
      </c>
    </row>
    <row r="145" spans="1:48" x14ac:dyDescent="0.25">
      <c r="A145" s="1" t="str">
        <f t="shared" si="31"/>
        <v>ACTIVE</v>
      </c>
      <c r="B145" s="2" t="s">
        <v>206</v>
      </c>
      <c r="C145" s="2" t="s">
        <v>207</v>
      </c>
      <c r="D145" s="2" t="s">
        <v>206</v>
      </c>
      <c r="E145" s="2" t="s">
        <v>208</v>
      </c>
      <c r="F145" s="2">
        <v>2010</v>
      </c>
      <c r="G145" s="1" t="s">
        <v>216</v>
      </c>
      <c r="H145" s="2" t="s">
        <v>210</v>
      </c>
      <c r="I145" s="2" t="s">
        <v>42</v>
      </c>
      <c r="J145" s="1" t="s">
        <v>558</v>
      </c>
      <c r="K145" s="2" t="s">
        <v>559</v>
      </c>
      <c r="L145" s="1" t="s">
        <v>117</v>
      </c>
      <c r="M145" s="1" t="s">
        <v>145</v>
      </c>
      <c r="N145" s="1">
        <v>8449566134</v>
      </c>
      <c r="O145" s="1">
        <v>15000</v>
      </c>
      <c r="P145" s="1">
        <v>1000</v>
      </c>
      <c r="Q145" s="2">
        <f t="shared" si="22"/>
        <v>14000</v>
      </c>
      <c r="R145" s="1">
        <v>820</v>
      </c>
      <c r="S145" s="20">
        <f>T145*R145</f>
        <v>0</v>
      </c>
      <c r="T145" s="20"/>
      <c r="U145" s="1">
        <v>25</v>
      </c>
      <c r="V145" s="28">
        <v>0</v>
      </c>
      <c r="W145" s="1">
        <f t="shared" si="32"/>
        <v>25</v>
      </c>
      <c r="X145" s="1"/>
      <c r="Y145" s="21"/>
      <c r="Z145" s="1"/>
      <c r="AA145" s="1" t="s">
        <v>6</v>
      </c>
      <c r="AB145" s="2" t="s">
        <v>559</v>
      </c>
      <c r="AC145" s="21">
        <f>(T145+W145)*R145+X145-Y145</f>
        <v>20500</v>
      </c>
      <c r="AD145" s="1">
        <f>V145*R145-X145+Y145</f>
        <v>0</v>
      </c>
      <c r="AE145" s="1">
        <f t="shared" si="23"/>
        <v>0</v>
      </c>
      <c r="AF145" s="1">
        <v>20</v>
      </c>
      <c r="AG145" s="1">
        <f t="shared" si="24"/>
        <v>0</v>
      </c>
      <c r="AH145" s="1">
        <f t="shared" si="25"/>
        <v>0</v>
      </c>
      <c r="AI145" s="1" t="str">
        <f t="shared" si="26"/>
        <v>0-30</v>
      </c>
      <c r="AJ145" s="1" t="str">
        <f t="shared" si="27"/>
        <v>NO</v>
      </c>
      <c r="AK145" s="1">
        <f t="shared" si="28"/>
        <v>20500</v>
      </c>
      <c r="AL145" s="1">
        <f>U145*R145</f>
        <v>20500</v>
      </c>
      <c r="AM145" s="1">
        <f>U145*R145-O145</f>
        <v>5500</v>
      </c>
      <c r="AN145" s="23">
        <f t="shared" si="29"/>
        <v>220</v>
      </c>
      <c r="AO145" s="24">
        <v>46247</v>
      </c>
      <c r="AP145" s="25">
        <v>46252</v>
      </c>
      <c r="AQ145" s="24">
        <v>46265</v>
      </c>
      <c r="AR145" s="1" t="s">
        <v>214</v>
      </c>
      <c r="AS145" s="1" t="s">
        <v>207</v>
      </c>
      <c r="AT145" s="26" t="s">
        <v>215</v>
      </c>
      <c r="AU145" s="26"/>
      <c r="AV145" s="27">
        <f t="shared" si="30"/>
        <v>0</v>
      </c>
    </row>
    <row r="146" spans="1:48" x14ac:dyDescent="0.25">
      <c r="A146" s="1" t="str">
        <f t="shared" si="31"/>
        <v>ACTIVE</v>
      </c>
      <c r="B146" s="2" t="s">
        <v>206</v>
      </c>
      <c r="C146" s="2" t="s">
        <v>207</v>
      </c>
      <c r="D146" s="2" t="s">
        <v>206</v>
      </c>
      <c r="E146" s="2" t="s">
        <v>208</v>
      </c>
      <c r="F146" s="2">
        <v>6675</v>
      </c>
      <c r="G146" s="1" t="s">
        <v>220</v>
      </c>
      <c r="H146" s="2" t="s">
        <v>210</v>
      </c>
      <c r="I146" s="2" t="s">
        <v>42</v>
      </c>
      <c r="J146" s="1" t="s">
        <v>206</v>
      </c>
      <c r="K146" s="2" t="s">
        <v>560</v>
      </c>
      <c r="L146" s="1" t="s">
        <v>101</v>
      </c>
      <c r="M146" s="1" t="s">
        <v>81</v>
      </c>
      <c r="N146" s="1">
        <v>8273884683</v>
      </c>
      <c r="O146" s="1">
        <v>15000</v>
      </c>
      <c r="P146" s="1">
        <v>1000</v>
      </c>
      <c r="Q146" s="2">
        <f t="shared" si="22"/>
        <v>14000</v>
      </c>
      <c r="R146" s="1">
        <v>820</v>
      </c>
      <c r="S146" s="20">
        <f>T146*R146</f>
        <v>0</v>
      </c>
      <c r="T146" s="20"/>
      <c r="U146" s="1">
        <v>25</v>
      </c>
      <c r="V146" s="28">
        <v>0</v>
      </c>
      <c r="W146" s="1">
        <f t="shared" si="32"/>
        <v>25</v>
      </c>
      <c r="X146" s="1"/>
      <c r="Y146" s="21"/>
      <c r="Z146" s="1"/>
      <c r="AA146" s="1" t="s">
        <v>4</v>
      </c>
      <c r="AB146" s="2" t="s">
        <v>560</v>
      </c>
      <c r="AC146" s="21">
        <f>(T146+W146)*R146+X146-Y146</f>
        <v>20500</v>
      </c>
      <c r="AD146" s="1">
        <f>V146*R146-X146+Y146</f>
        <v>0</v>
      </c>
      <c r="AE146" s="1">
        <f t="shared" si="23"/>
        <v>0</v>
      </c>
      <c r="AF146" s="1">
        <v>20</v>
      </c>
      <c r="AG146" s="1">
        <f t="shared" si="24"/>
        <v>0</v>
      </c>
      <c r="AH146" s="1">
        <f t="shared" si="25"/>
        <v>0</v>
      </c>
      <c r="AI146" s="1" t="str">
        <f t="shared" si="26"/>
        <v>0-30</v>
      </c>
      <c r="AJ146" s="1" t="str">
        <f t="shared" si="27"/>
        <v>NO</v>
      </c>
      <c r="AK146" s="1">
        <f t="shared" si="28"/>
        <v>20500</v>
      </c>
      <c r="AL146" s="1">
        <f>U146*R146</f>
        <v>20500</v>
      </c>
      <c r="AM146" s="1">
        <f>U146*R146-O146</f>
        <v>5500</v>
      </c>
      <c r="AN146" s="23">
        <f t="shared" si="29"/>
        <v>220</v>
      </c>
      <c r="AO146" s="24">
        <v>46247</v>
      </c>
      <c r="AP146" s="25">
        <v>46252</v>
      </c>
      <c r="AQ146" s="24">
        <v>46266</v>
      </c>
      <c r="AR146" s="1" t="s">
        <v>214</v>
      </c>
      <c r="AS146" s="1" t="s">
        <v>207</v>
      </c>
      <c r="AT146" s="26" t="s">
        <v>215</v>
      </c>
      <c r="AU146" s="26"/>
      <c r="AV146" s="27">
        <f t="shared" si="30"/>
        <v>0</v>
      </c>
    </row>
    <row r="147" spans="1:48" x14ac:dyDescent="0.25">
      <c r="A147" s="1" t="str">
        <f t="shared" si="31"/>
        <v>ACTIVE</v>
      </c>
      <c r="B147" s="2" t="s">
        <v>206</v>
      </c>
      <c r="C147" s="2" t="s">
        <v>207</v>
      </c>
      <c r="D147" s="2" t="s">
        <v>206</v>
      </c>
      <c r="E147" s="2" t="s">
        <v>208</v>
      </c>
      <c r="F147" s="2">
        <v>4785</v>
      </c>
      <c r="G147" s="1" t="s">
        <v>216</v>
      </c>
      <c r="H147" s="2" t="s">
        <v>210</v>
      </c>
      <c r="I147" s="2" t="s">
        <v>42</v>
      </c>
      <c r="J147" s="1" t="s">
        <v>206</v>
      </c>
      <c r="K147" s="2" t="s">
        <v>561</v>
      </c>
      <c r="L147" s="1" t="s">
        <v>173</v>
      </c>
      <c r="M147" s="1" t="s">
        <v>400</v>
      </c>
      <c r="N147" s="1">
        <v>8477010809</v>
      </c>
      <c r="O147" s="1">
        <v>15000</v>
      </c>
      <c r="P147" s="1">
        <v>1000</v>
      </c>
      <c r="Q147" s="2">
        <f t="shared" si="22"/>
        <v>14000</v>
      </c>
      <c r="R147" s="1">
        <v>820</v>
      </c>
      <c r="S147" s="20">
        <f>T147*R147</f>
        <v>0</v>
      </c>
      <c r="T147" s="20"/>
      <c r="U147" s="1">
        <v>25</v>
      </c>
      <c r="V147" s="28">
        <v>0</v>
      </c>
      <c r="W147" s="1">
        <f t="shared" si="32"/>
        <v>25</v>
      </c>
      <c r="X147" s="1"/>
      <c r="Y147" s="21"/>
      <c r="Z147" s="1"/>
      <c r="AA147" s="1" t="s">
        <v>4</v>
      </c>
      <c r="AB147" s="2" t="s">
        <v>561</v>
      </c>
      <c r="AC147" s="21">
        <f>(T147+W147)*R147+X147-Y147</f>
        <v>20500</v>
      </c>
      <c r="AD147" s="1">
        <f>V147*R147-X147+Y147</f>
        <v>0</v>
      </c>
      <c r="AE147" s="1">
        <f t="shared" si="23"/>
        <v>0</v>
      </c>
      <c r="AF147" s="1">
        <v>20</v>
      </c>
      <c r="AG147" s="1">
        <f t="shared" si="24"/>
        <v>0</v>
      </c>
      <c r="AH147" s="1">
        <f t="shared" si="25"/>
        <v>0</v>
      </c>
      <c r="AI147" s="1" t="str">
        <f t="shared" si="26"/>
        <v>0-30</v>
      </c>
      <c r="AJ147" s="1" t="str">
        <f t="shared" si="27"/>
        <v>NO</v>
      </c>
      <c r="AK147" s="1">
        <f t="shared" si="28"/>
        <v>20500</v>
      </c>
      <c r="AL147" s="1">
        <f>U147*R147</f>
        <v>20500</v>
      </c>
      <c r="AM147" s="1">
        <f>U147*R147-O147</f>
        <v>5500</v>
      </c>
      <c r="AN147" s="23">
        <f t="shared" si="29"/>
        <v>220</v>
      </c>
      <c r="AO147" s="24">
        <v>46247</v>
      </c>
      <c r="AP147" s="25">
        <v>46252</v>
      </c>
      <c r="AQ147" s="24">
        <v>46266</v>
      </c>
      <c r="AR147" s="1" t="s">
        <v>214</v>
      </c>
      <c r="AS147" s="1" t="s">
        <v>207</v>
      </c>
      <c r="AT147" s="26" t="s">
        <v>215</v>
      </c>
      <c r="AU147" s="26"/>
      <c r="AV147" s="27">
        <f t="shared" si="30"/>
        <v>0</v>
      </c>
    </row>
    <row r="148" spans="1:48" x14ac:dyDescent="0.25">
      <c r="A148" s="1" t="str">
        <f t="shared" si="31"/>
        <v>ACTIVE</v>
      </c>
      <c r="B148" s="2" t="s">
        <v>206</v>
      </c>
      <c r="C148" s="2" t="s">
        <v>207</v>
      </c>
      <c r="D148" s="2" t="s">
        <v>206</v>
      </c>
      <c r="E148" s="2" t="s">
        <v>208</v>
      </c>
      <c r="F148" s="2">
        <v>6528</v>
      </c>
      <c r="G148" s="1" t="s">
        <v>220</v>
      </c>
      <c r="H148" s="2" t="s">
        <v>210</v>
      </c>
      <c r="I148" s="2" t="s">
        <v>42</v>
      </c>
      <c r="J148" s="1" t="s">
        <v>481</v>
      </c>
      <c r="K148" s="2" t="s">
        <v>562</v>
      </c>
      <c r="L148" s="1" t="s">
        <v>185</v>
      </c>
      <c r="M148" s="1" t="s">
        <v>555</v>
      </c>
      <c r="N148" s="1">
        <v>9045512668</v>
      </c>
      <c r="O148" s="1">
        <v>15000</v>
      </c>
      <c r="P148" s="1">
        <v>1000</v>
      </c>
      <c r="Q148" s="2">
        <f t="shared" si="22"/>
        <v>14000</v>
      </c>
      <c r="R148" s="1">
        <v>820</v>
      </c>
      <c r="S148" s="20">
        <f>T148*R148</f>
        <v>0</v>
      </c>
      <c r="T148" s="20"/>
      <c r="U148" s="1">
        <v>25</v>
      </c>
      <c r="V148" s="28">
        <v>0</v>
      </c>
      <c r="W148" s="1">
        <f t="shared" si="32"/>
        <v>25</v>
      </c>
      <c r="X148" s="1"/>
      <c r="Y148" s="21"/>
      <c r="Z148" s="1"/>
      <c r="AA148" s="1" t="s">
        <v>5</v>
      </c>
      <c r="AB148" s="2" t="s">
        <v>562</v>
      </c>
      <c r="AC148" s="21">
        <f>(T148+W148)*R148+X148-Y148</f>
        <v>20500</v>
      </c>
      <c r="AD148" s="1">
        <f>V148*R148-X148+Y148</f>
        <v>0</v>
      </c>
      <c r="AE148" s="1">
        <f t="shared" si="23"/>
        <v>0</v>
      </c>
      <c r="AF148" s="1">
        <v>20</v>
      </c>
      <c r="AG148" s="1">
        <f t="shared" si="24"/>
        <v>0</v>
      </c>
      <c r="AH148" s="1">
        <f t="shared" si="25"/>
        <v>0</v>
      </c>
      <c r="AI148" s="1" t="str">
        <f t="shared" si="26"/>
        <v>0-30</v>
      </c>
      <c r="AJ148" s="1" t="str">
        <f t="shared" si="27"/>
        <v>NO</v>
      </c>
      <c r="AK148" s="1">
        <f t="shared" si="28"/>
        <v>20500</v>
      </c>
      <c r="AL148" s="1">
        <f>U148*R148</f>
        <v>20500</v>
      </c>
      <c r="AM148" s="1">
        <f>U148*R148-O148</f>
        <v>5500</v>
      </c>
      <c r="AN148" s="23">
        <f t="shared" si="29"/>
        <v>220</v>
      </c>
      <c r="AO148" s="24">
        <v>46248</v>
      </c>
      <c r="AP148" s="25">
        <v>46252</v>
      </c>
      <c r="AQ148" s="24">
        <v>46269</v>
      </c>
      <c r="AR148" s="1" t="s">
        <v>214</v>
      </c>
      <c r="AS148" s="1" t="s">
        <v>207</v>
      </c>
      <c r="AT148" s="26" t="s">
        <v>215</v>
      </c>
      <c r="AU148" s="26"/>
      <c r="AV148" s="27">
        <f t="shared" si="30"/>
        <v>0</v>
      </c>
    </row>
    <row r="149" spans="1:48" x14ac:dyDescent="0.25">
      <c r="A149" s="1" t="str">
        <f t="shared" si="31"/>
        <v>ACTIVE</v>
      </c>
      <c r="B149" s="2" t="s">
        <v>206</v>
      </c>
      <c r="C149" s="2" t="s">
        <v>207</v>
      </c>
      <c r="D149" s="2" t="s">
        <v>206</v>
      </c>
      <c r="E149" s="2" t="s">
        <v>208</v>
      </c>
      <c r="F149" s="2">
        <v>6275</v>
      </c>
      <c r="G149" s="1" t="s">
        <v>216</v>
      </c>
      <c r="H149" s="2" t="s">
        <v>210</v>
      </c>
      <c r="I149" s="2" t="s">
        <v>42</v>
      </c>
      <c r="J149" s="1" t="s">
        <v>206</v>
      </c>
      <c r="K149" s="2" t="s">
        <v>563</v>
      </c>
      <c r="L149" s="1" t="s">
        <v>564</v>
      </c>
      <c r="M149" s="1" t="s">
        <v>106</v>
      </c>
      <c r="N149" s="1">
        <v>8979429196</v>
      </c>
      <c r="O149" s="1">
        <v>15000</v>
      </c>
      <c r="P149" s="1">
        <v>1000</v>
      </c>
      <c r="Q149" s="2">
        <f t="shared" si="22"/>
        <v>14000</v>
      </c>
      <c r="R149" s="1">
        <v>820</v>
      </c>
      <c r="S149" s="20">
        <f>T149*R149</f>
        <v>0</v>
      </c>
      <c r="T149" s="20"/>
      <c r="U149" s="1">
        <v>25</v>
      </c>
      <c r="V149" s="28">
        <v>0</v>
      </c>
      <c r="W149" s="1">
        <f t="shared" si="32"/>
        <v>25</v>
      </c>
      <c r="X149" s="1"/>
      <c r="Y149" s="21"/>
      <c r="Z149" s="1"/>
      <c r="AA149" s="1" t="s">
        <v>6</v>
      </c>
      <c r="AB149" s="2" t="s">
        <v>563</v>
      </c>
      <c r="AC149" s="21">
        <f>(T149+W149)*R149+X149-Y149</f>
        <v>20500</v>
      </c>
      <c r="AD149" s="1">
        <f>V149*R149-X149+Y149</f>
        <v>0</v>
      </c>
      <c r="AE149" s="1">
        <f t="shared" si="23"/>
        <v>0</v>
      </c>
      <c r="AF149" s="1">
        <v>20</v>
      </c>
      <c r="AG149" s="1">
        <f t="shared" si="24"/>
        <v>0</v>
      </c>
      <c r="AH149" s="1">
        <f t="shared" si="25"/>
        <v>0</v>
      </c>
      <c r="AI149" s="1" t="str">
        <f t="shared" si="26"/>
        <v>0-30</v>
      </c>
      <c r="AJ149" s="1" t="str">
        <f t="shared" si="27"/>
        <v>NO</v>
      </c>
      <c r="AK149" s="1">
        <f t="shared" si="28"/>
        <v>20500</v>
      </c>
      <c r="AL149" s="1">
        <f>U149*R149</f>
        <v>20500</v>
      </c>
      <c r="AM149" s="1">
        <f>U149*R149-O149</f>
        <v>5500</v>
      </c>
      <c r="AN149" s="23">
        <f t="shared" si="29"/>
        <v>220</v>
      </c>
      <c r="AO149" s="24">
        <v>46246</v>
      </c>
      <c r="AP149" s="25">
        <v>46252</v>
      </c>
      <c r="AQ149" s="24">
        <v>46265</v>
      </c>
      <c r="AR149" s="1" t="s">
        <v>214</v>
      </c>
      <c r="AS149" s="1" t="s">
        <v>207</v>
      </c>
      <c r="AT149" s="26" t="s">
        <v>215</v>
      </c>
      <c r="AU149" s="26"/>
      <c r="AV149" s="27">
        <f t="shared" si="30"/>
        <v>0</v>
      </c>
    </row>
    <row r="150" spans="1:48" x14ac:dyDescent="0.25">
      <c r="A150" s="1" t="str">
        <f t="shared" si="31"/>
        <v>ACTIVE</v>
      </c>
      <c r="B150" s="2" t="s">
        <v>206</v>
      </c>
      <c r="C150" s="2" t="s">
        <v>207</v>
      </c>
      <c r="D150" s="2" t="s">
        <v>206</v>
      </c>
      <c r="E150" s="2" t="s">
        <v>208</v>
      </c>
      <c r="F150" s="2">
        <v>4683</v>
      </c>
      <c r="G150" s="1" t="s">
        <v>220</v>
      </c>
      <c r="H150" s="2" t="s">
        <v>210</v>
      </c>
      <c r="I150" s="2" t="s">
        <v>42</v>
      </c>
      <c r="J150" s="1" t="s">
        <v>481</v>
      </c>
      <c r="K150" s="2" t="s">
        <v>565</v>
      </c>
      <c r="L150" s="1" t="s">
        <v>408</v>
      </c>
      <c r="M150" s="1" t="s">
        <v>566</v>
      </c>
      <c r="N150" s="1">
        <v>8859882440</v>
      </c>
      <c r="O150" s="1">
        <v>15000</v>
      </c>
      <c r="P150" s="1">
        <v>1000</v>
      </c>
      <c r="Q150" s="2">
        <f t="shared" si="22"/>
        <v>14000</v>
      </c>
      <c r="R150" s="1">
        <v>820</v>
      </c>
      <c r="S150" s="20">
        <f>T150*R150</f>
        <v>0</v>
      </c>
      <c r="T150" s="20"/>
      <c r="U150" s="1">
        <v>25</v>
      </c>
      <c r="V150" s="28">
        <v>0</v>
      </c>
      <c r="W150" s="1">
        <f t="shared" si="32"/>
        <v>25</v>
      </c>
      <c r="X150" s="1"/>
      <c r="Y150" s="21"/>
      <c r="Z150" s="1"/>
      <c r="AA150" s="1" t="s">
        <v>4</v>
      </c>
      <c r="AB150" s="2" t="s">
        <v>565</v>
      </c>
      <c r="AC150" s="21">
        <f>(T150+W150)*R150+X150-Y150</f>
        <v>20500</v>
      </c>
      <c r="AD150" s="1">
        <f>V150*R150-X150+Y150</f>
        <v>0</v>
      </c>
      <c r="AE150" s="1">
        <f t="shared" si="23"/>
        <v>0</v>
      </c>
      <c r="AF150" s="1">
        <v>20</v>
      </c>
      <c r="AG150" s="1">
        <f t="shared" si="24"/>
        <v>0</v>
      </c>
      <c r="AH150" s="1">
        <f t="shared" si="25"/>
        <v>0</v>
      </c>
      <c r="AI150" s="1" t="str">
        <f t="shared" si="26"/>
        <v>0-30</v>
      </c>
      <c r="AJ150" s="1" t="str">
        <f t="shared" si="27"/>
        <v>NO</v>
      </c>
      <c r="AK150" s="1">
        <f t="shared" si="28"/>
        <v>20500</v>
      </c>
      <c r="AL150" s="1">
        <f>U150*R150</f>
        <v>20500</v>
      </c>
      <c r="AM150" s="1">
        <f>U150*R150-O150</f>
        <v>5500</v>
      </c>
      <c r="AN150" s="23">
        <f t="shared" si="29"/>
        <v>220</v>
      </c>
      <c r="AO150" s="24">
        <v>46247</v>
      </c>
      <c r="AP150" s="25">
        <v>46252</v>
      </c>
      <c r="AQ150" s="24">
        <v>46266</v>
      </c>
      <c r="AR150" s="1" t="s">
        <v>214</v>
      </c>
      <c r="AS150" s="1" t="s">
        <v>207</v>
      </c>
      <c r="AT150" s="26" t="s">
        <v>215</v>
      </c>
      <c r="AU150" s="26"/>
      <c r="AV150" s="27">
        <f t="shared" si="30"/>
        <v>0</v>
      </c>
    </row>
    <row r="151" spans="1:48" x14ac:dyDescent="0.25">
      <c r="A151" s="1" t="str">
        <f t="shared" si="31"/>
        <v>ACTIVE</v>
      </c>
      <c r="B151" s="2" t="s">
        <v>206</v>
      </c>
      <c r="C151" s="2" t="s">
        <v>207</v>
      </c>
      <c r="D151" s="2" t="s">
        <v>206</v>
      </c>
      <c r="E151" s="2" t="s">
        <v>208</v>
      </c>
      <c r="F151" s="2">
        <v>2543</v>
      </c>
      <c r="G151" s="1" t="s">
        <v>220</v>
      </c>
      <c r="H151" s="2" t="s">
        <v>210</v>
      </c>
      <c r="I151" s="2" t="s">
        <v>42</v>
      </c>
      <c r="J151" s="1" t="s">
        <v>481</v>
      </c>
      <c r="K151" s="2" t="s">
        <v>567</v>
      </c>
      <c r="L151" s="1" t="s">
        <v>568</v>
      </c>
      <c r="M151" s="1" t="s">
        <v>569</v>
      </c>
      <c r="N151" s="1">
        <v>9012660438</v>
      </c>
      <c r="O151" s="1">
        <v>15000</v>
      </c>
      <c r="P151" s="1">
        <v>1000</v>
      </c>
      <c r="Q151" s="2">
        <f t="shared" si="22"/>
        <v>14000</v>
      </c>
      <c r="R151" s="1">
        <v>820</v>
      </c>
      <c r="S151" s="20">
        <f>T151*R151</f>
        <v>0</v>
      </c>
      <c r="T151" s="20"/>
      <c r="U151" s="1">
        <v>25</v>
      </c>
      <c r="V151" s="28">
        <v>0</v>
      </c>
      <c r="W151" s="1">
        <f t="shared" si="32"/>
        <v>25</v>
      </c>
      <c r="X151" s="1"/>
      <c r="Y151" s="21"/>
      <c r="Z151" s="1"/>
      <c r="AA151" s="1" t="s">
        <v>6</v>
      </c>
      <c r="AB151" s="2" t="s">
        <v>567</v>
      </c>
      <c r="AC151" s="21">
        <f>(T151+W151)*R151+X151-Y151</f>
        <v>20500</v>
      </c>
      <c r="AD151" s="1">
        <f>V151*R151-X151+Y151</f>
        <v>0</v>
      </c>
      <c r="AE151" s="1">
        <f t="shared" si="23"/>
        <v>0</v>
      </c>
      <c r="AF151" s="1">
        <v>20</v>
      </c>
      <c r="AG151" s="1">
        <f t="shared" si="24"/>
        <v>0</v>
      </c>
      <c r="AH151" s="1">
        <f t="shared" si="25"/>
        <v>0</v>
      </c>
      <c r="AI151" s="1" t="str">
        <f t="shared" si="26"/>
        <v>0-30</v>
      </c>
      <c r="AJ151" s="1" t="str">
        <f t="shared" si="27"/>
        <v>NO</v>
      </c>
      <c r="AK151" s="1">
        <f t="shared" si="28"/>
        <v>20500</v>
      </c>
      <c r="AL151" s="1">
        <f>U151*R151</f>
        <v>20500</v>
      </c>
      <c r="AM151" s="1">
        <f>U151*R151-O151</f>
        <v>5500</v>
      </c>
      <c r="AN151" s="23">
        <f t="shared" si="29"/>
        <v>220</v>
      </c>
      <c r="AO151" s="24">
        <v>46246</v>
      </c>
      <c r="AP151" s="25">
        <v>46252</v>
      </c>
      <c r="AQ151" s="24">
        <v>46265</v>
      </c>
      <c r="AR151" s="1" t="s">
        <v>214</v>
      </c>
      <c r="AS151" s="1" t="s">
        <v>207</v>
      </c>
      <c r="AT151" s="26" t="s">
        <v>215</v>
      </c>
      <c r="AU151" s="26"/>
      <c r="AV151" s="27">
        <f t="shared" si="30"/>
        <v>0</v>
      </c>
    </row>
    <row r="152" spans="1:48" x14ac:dyDescent="0.25">
      <c r="A152" s="1" t="str">
        <f t="shared" si="31"/>
        <v>ACTIVE</v>
      </c>
      <c r="B152" s="2" t="s">
        <v>206</v>
      </c>
      <c r="C152" s="2" t="s">
        <v>207</v>
      </c>
      <c r="D152" s="2" t="s">
        <v>206</v>
      </c>
      <c r="E152" s="2" t="s">
        <v>208</v>
      </c>
      <c r="F152" s="2">
        <v>1902</v>
      </c>
      <c r="G152" s="1" t="s">
        <v>220</v>
      </c>
      <c r="H152" s="2" t="s">
        <v>210</v>
      </c>
      <c r="I152" s="2" t="s">
        <v>42</v>
      </c>
      <c r="J152" s="1" t="s">
        <v>481</v>
      </c>
      <c r="K152" s="2" t="s">
        <v>570</v>
      </c>
      <c r="L152" s="1" t="s">
        <v>571</v>
      </c>
      <c r="M152" s="1" t="s">
        <v>100</v>
      </c>
      <c r="N152" s="1">
        <v>9761760511</v>
      </c>
      <c r="O152" s="1">
        <v>15000</v>
      </c>
      <c r="P152" s="1">
        <v>1000</v>
      </c>
      <c r="Q152" s="2">
        <f t="shared" si="22"/>
        <v>14000</v>
      </c>
      <c r="R152" s="1">
        <v>820</v>
      </c>
      <c r="S152" s="20">
        <f>T152*R152</f>
        <v>0</v>
      </c>
      <c r="T152" s="20"/>
      <c r="U152" s="1">
        <v>25</v>
      </c>
      <c r="V152" s="28">
        <v>0</v>
      </c>
      <c r="W152" s="1">
        <f t="shared" si="32"/>
        <v>25</v>
      </c>
      <c r="X152" s="1"/>
      <c r="Y152" s="21"/>
      <c r="Z152" s="1"/>
      <c r="AA152" s="1" t="s">
        <v>4</v>
      </c>
      <c r="AB152" s="2" t="s">
        <v>570</v>
      </c>
      <c r="AC152" s="21">
        <f>(T152+W152)*R152+X152-Y152</f>
        <v>20500</v>
      </c>
      <c r="AD152" s="1">
        <f>V152*R152-X152+Y152</f>
        <v>0</v>
      </c>
      <c r="AE152" s="1">
        <f t="shared" si="23"/>
        <v>0</v>
      </c>
      <c r="AF152" s="1">
        <v>20</v>
      </c>
      <c r="AG152" s="1">
        <f t="shared" si="24"/>
        <v>0</v>
      </c>
      <c r="AH152" s="1">
        <f t="shared" si="25"/>
        <v>0</v>
      </c>
      <c r="AI152" s="1" t="str">
        <f t="shared" si="26"/>
        <v>0-30</v>
      </c>
      <c r="AJ152" s="1" t="str">
        <f t="shared" si="27"/>
        <v>NO</v>
      </c>
      <c r="AK152" s="1">
        <f t="shared" si="28"/>
        <v>20500</v>
      </c>
      <c r="AL152" s="1">
        <f>U152*R152</f>
        <v>20500</v>
      </c>
      <c r="AM152" s="1">
        <f>U152*R152-O152</f>
        <v>5500</v>
      </c>
      <c r="AN152" s="23">
        <f t="shared" si="29"/>
        <v>220</v>
      </c>
      <c r="AO152" s="24">
        <v>46247</v>
      </c>
      <c r="AP152" s="25">
        <v>46254</v>
      </c>
      <c r="AQ152" s="24">
        <v>46266</v>
      </c>
      <c r="AR152" s="1" t="s">
        <v>214</v>
      </c>
      <c r="AS152" s="1" t="s">
        <v>207</v>
      </c>
      <c r="AT152" s="26" t="s">
        <v>215</v>
      </c>
      <c r="AU152" s="26"/>
      <c r="AV152" s="27">
        <f t="shared" si="30"/>
        <v>0</v>
      </c>
    </row>
    <row r="153" spans="1:48" x14ac:dyDescent="0.25">
      <c r="A153" s="1" t="str">
        <f t="shared" si="31"/>
        <v>ACTIVE</v>
      </c>
      <c r="B153" s="2" t="s">
        <v>206</v>
      </c>
      <c r="C153" s="2" t="s">
        <v>207</v>
      </c>
      <c r="D153" s="2" t="s">
        <v>206</v>
      </c>
      <c r="E153" s="2" t="s">
        <v>208</v>
      </c>
      <c r="F153" s="2">
        <v>3635</v>
      </c>
      <c r="G153" s="1" t="s">
        <v>216</v>
      </c>
      <c r="H153" s="2" t="s">
        <v>210</v>
      </c>
      <c r="I153" s="2" t="s">
        <v>42</v>
      </c>
      <c r="J153" s="1" t="s">
        <v>228</v>
      </c>
      <c r="K153" s="2" t="s">
        <v>572</v>
      </c>
      <c r="L153" s="1" t="s">
        <v>552</v>
      </c>
      <c r="M153" s="1" t="s">
        <v>550</v>
      </c>
      <c r="N153" s="1">
        <v>8193800018</v>
      </c>
      <c r="O153" s="1">
        <v>15000</v>
      </c>
      <c r="P153" s="1">
        <v>1000</v>
      </c>
      <c r="Q153" s="2">
        <f t="shared" si="22"/>
        <v>14000</v>
      </c>
      <c r="R153" s="1">
        <v>820</v>
      </c>
      <c r="S153" s="20">
        <f>T153*R153</f>
        <v>0</v>
      </c>
      <c r="T153" s="20"/>
      <c r="U153" s="1">
        <v>25</v>
      </c>
      <c r="V153" s="28">
        <v>0</v>
      </c>
      <c r="W153" s="1">
        <f t="shared" si="32"/>
        <v>25</v>
      </c>
      <c r="X153" s="1"/>
      <c r="Y153" s="21"/>
      <c r="Z153" s="1"/>
      <c r="AA153" s="1" t="s">
        <v>4</v>
      </c>
      <c r="AB153" s="2" t="s">
        <v>572</v>
      </c>
      <c r="AC153" s="21">
        <f>(T153+W153)*R153+X153-Y153</f>
        <v>20500</v>
      </c>
      <c r="AD153" s="1">
        <f>V153*R153-X153+Y153</f>
        <v>0</v>
      </c>
      <c r="AE153" s="1">
        <f t="shared" si="23"/>
        <v>0</v>
      </c>
      <c r="AF153" s="1">
        <v>20</v>
      </c>
      <c r="AG153" s="1">
        <f t="shared" si="24"/>
        <v>0</v>
      </c>
      <c r="AH153" s="1">
        <f t="shared" si="25"/>
        <v>0</v>
      </c>
      <c r="AI153" s="1" t="str">
        <f t="shared" si="26"/>
        <v>0-30</v>
      </c>
      <c r="AJ153" s="1" t="str">
        <f t="shared" si="27"/>
        <v>NO</v>
      </c>
      <c r="AK153" s="1">
        <f t="shared" si="28"/>
        <v>20500</v>
      </c>
      <c r="AL153" s="1">
        <f>U153*R153</f>
        <v>20500</v>
      </c>
      <c r="AM153" s="1">
        <f>U153*R153-O153</f>
        <v>5500</v>
      </c>
      <c r="AN153" s="23">
        <f t="shared" si="29"/>
        <v>220</v>
      </c>
      <c r="AO153" s="24">
        <v>46252</v>
      </c>
      <c r="AP153" s="25">
        <v>46254</v>
      </c>
      <c r="AQ153" s="24">
        <v>46266</v>
      </c>
      <c r="AR153" s="1" t="s">
        <v>214</v>
      </c>
      <c r="AS153" s="1" t="s">
        <v>207</v>
      </c>
      <c r="AT153" s="26" t="s">
        <v>215</v>
      </c>
      <c r="AU153" s="26"/>
      <c r="AV153" s="27">
        <f t="shared" si="30"/>
        <v>0</v>
      </c>
    </row>
    <row r="154" spans="1:48" x14ac:dyDescent="0.25">
      <c r="A154" s="1" t="str">
        <f t="shared" si="31"/>
        <v>ACTIVE</v>
      </c>
      <c r="B154" s="2" t="s">
        <v>206</v>
      </c>
      <c r="C154" s="2" t="s">
        <v>207</v>
      </c>
      <c r="D154" s="2" t="s">
        <v>206</v>
      </c>
      <c r="E154" s="2" t="s">
        <v>208</v>
      </c>
      <c r="F154" s="2">
        <v>3921</v>
      </c>
      <c r="G154" s="1" t="s">
        <v>220</v>
      </c>
      <c r="H154" s="2" t="s">
        <v>210</v>
      </c>
      <c r="I154" s="2" t="s">
        <v>42</v>
      </c>
      <c r="J154" s="1" t="s">
        <v>573</v>
      </c>
      <c r="K154" s="2" t="s">
        <v>574</v>
      </c>
      <c r="L154" s="1" t="s">
        <v>575</v>
      </c>
      <c r="M154" s="1" t="s">
        <v>576</v>
      </c>
      <c r="N154" s="1">
        <v>7895894527</v>
      </c>
      <c r="O154" s="1">
        <v>15000</v>
      </c>
      <c r="P154" s="1">
        <v>1000</v>
      </c>
      <c r="Q154" s="2">
        <f t="shared" si="22"/>
        <v>14000</v>
      </c>
      <c r="R154" s="1">
        <v>820</v>
      </c>
      <c r="S154" s="20">
        <f>T154*R154</f>
        <v>0</v>
      </c>
      <c r="T154" s="20"/>
      <c r="U154" s="1">
        <v>25</v>
      </c>
      <c r="V154" s="28">
        <v>0</v>
      </c>
      <c r="W154" s="1">
        <f t="shared" si="32"/>
        <v>25</v>
      </c>
      <c r="X154" s="1"/>
      <c r="Y154" s="21"/>
      <c r="Z154" s="1"/>
      <c r="AA154" s="1" t="s">
        <v>5</v>
      </c>
      <c r="AB154" s="2" t="s">
        <v>574</v>
      </c>
      <c r="AC154" s="21">
        <f>(T154+W154)*R154+X154-Y154</f>
        <v>20500</v>
      </c>
      <c r="AD154" s="1">
        <f>V154*R154-X154+Y154</f>
        <v>0</v>
      </c>
      <c r="AE154" s="1">
        <f t="shared" si="23"/>
        <v>0</v>
      </c>
      <c r="AF154" s="1">
        <v>20</v>
      </c>
      <c r="AG154" s="1">
        <f t="shared" si="24"/>
        <v>0</v>
      </c>
      <c r="AH154" s="1">
        <f t="shared" si="25"/>
        <v>0</v>
      </c>
      <c r="AI154" s="1" t="str">
        <f t="shared" si="26"/>
        <v>0-30</v>
      </c>
      <c r="AJ154" s="1" t="str">
        <f t="shared" si="27"/>
        <v>NO</v>
      </c>
      <c r="AK154" s="1">
        <f t="shared" si="28"/>
        <v>20500</v>
      </c>
      <c r="AL154" s="1">
        <f>U154*R154</f>
        <v>20500</v>
      </c>
      <c r="AM154" s="1">
        <f>U154*R154-O154</f>
        <v>5500</v>
      </c>
      <c r="AN154" s="23">
        <f t="shared" si="29"/>
        <v>220</v>
      </c>
      <c r="AO154" s="24">
        <v>46252</v>
      </c>
      <c r="AP154" s="25">
        <v>46254</v>
      </c>
      <c r="AQ154" s="24">
        <v>46269</v>
      </c>
      <c r="AR154" s="1" t="s">
        <v>214</v>
      </c>
      <c r="AS154" s="1" t="s">
        <v>207</v>
      </c>
      <c r="AT154" s="26" t="s">
        <v>215</v>
      </c>
      <c r="AU154" s="26"/>
      <c r="AV154" s="27">
        <f t="shared" si="30"/>
        <v>0</v>
      </c>
    </row>
    <row r="155" spans="1:48" x14ac:dyDescent="0.25">
      <c r="A155" s="1" t="str">
        <f t="shared" si="31"/>
        <v>ACTIVE</v>
      </c>
      <c r="B155" s="2" t="s">
        <v>206</v>
      </c>
      <c r="C155" s="2" t="s">
        <v>207</v>
      </c>
      <c r="D155" s="2" t="s">
        <v>206</v>
      </c>
      <c r="E155" s="2" t="s">
        <v>208</v>
      </c>
      <c r="F155" s="2">
        <v>7473</v>
      </c>
      <c r="G155" s="1" t="s">
        <v>220</v>
      </c>
      <c r="H155" s="2" t="s">
        <v>210</v>
      </c>
      <c r="I155" s="2" t="s">
        <v>42</v>
      </c>
      <c r="J155" s="1" t="s">
        <v>419</v>
      </c>
      <c r="K155" s="2" t="s">
        <v>577</v>
      </c>
      <c r="L155" s="1" t="s">
        <v>578</v>
      </c>
      <c r="M155" s="1" t="s">
        <v>389</v>
      </c>
      <c r="N155" s="1">
        <v>7466927111</v>
      </c>
      <c r="O155" s="1">
        <v>15000</v>
      </c>
      <c r="P155" s="1">
        <v>1000</v>
      </c>
      <c r="Q155" s="2">
        <f t="shared" si="22"/>
        <v>14000</v>
      </c>
      <c r="R155" s="1">
        <v>820</v>
      </c>
      <c r="S155" s="20">
        <f>T155*R155</f>
        <v>0</v>
      </c>
      <c r="T155" s="20"/>
      <c r="U155" s="1">
        <v>25</v>
      </c>
      <c r="V155" s="28">
        <v>0</v>
      </c>
      <c r="W155" s="1">
        <f t="shared" si="32"/>
        <v>25</v>
      </c>
      <c r="X155" s="1"/>
      <c r="Y155" s="21"/>
      <c r="Z155" s="1"/>
      <c r="AA155" s="1" t="s">
        <v>5</v>
      </c>
      <c r="AB155" s="2" t="s">
        <v>577</v>
      </c>
      <c r="AC155" s="21">
        <f>(T155+W155)*R155+X155-Y155</f>
        <v>20500</v>
      </c>
      <c r="AD155" s="1">
        <f>V155*R155-X155+Y155</f>
        <v>0</v>
      </c>
      <c r="AE155" s="1">
        <f t="shared" si="23"/>
        <v>0</v>
      </c>
      <c r="AF155" s="1">
        <v>20</v>
      </c>
      <c r="AG155" s="1">
        <f t="shared" si="24"/>
        <v>0</v>
      </c>
      <c r="AH155" s="1">
        <f t="shared" si="25"/>
        <v>0</v>
      </c>
      <c r="AI155" s="1" t="str">
        <f t="shared" si="26"/>
        <v>0-30</v>
      </c>
      <c r="AJ155" s="1" t="str">
        <f t="shared" si="27"/>
        <v>NO</v>
      </c>
      <c r="AK155" s="1">
        <f t="shared" si="28"/>
        <v>20500</v>
      </c>
      <c r="AL155" s="1">
        <f>U155*R155</f>
        <v>20500</v>
      </c>
      <c r="AM155" s="1">
        <f>U155*R155-O155</f>
        <v>5500</v>
      </c>
      <c r="AN155" s="23">
        <f t="shared" si="29"/>
        <v>220</v>
      </c>
      <c r="AO155" s="24">
        <v>46252</v>
      </c>
      <c r="AP155" s="25">
        <v>46254</v>
      </c>
      <c r="AQ155" s="24">
        <v>46269</v>
      </c>
      <c r="AR155" s="1" t="s">
        <v>214</v>
      </c>
      <c r="AS155" s="1" t="s">
        <v>207</v>
      </c>
      <c r="AT155" s="26" t="s">
        <v>215</v>
      </c>
      <c r="AU155" s="26"/>
      <c r="AV155" s="27">
        <f t="shared" si="30"/>
        <v>0</v>
      </c>
    </row>
    <row r="156" spans="1:48" x14ac:dyDescent="0.25">
      <c r="A156" s="1" t="str">
        <f t="shared" si="31"/>
        <v>ACTIVE</v>
      </c>
      <c r="B156" s="2" t="s">
        <v>206</v>
      </c>
      <c r="C156" s="2" t="s">
        <v>207</v>
      </c>
      <c r="D156" s="2" t="s">
        <v>206</v>
      </c>
      <c r="E156" s="2" t="s">
        <v>208</v>
      </c>
      <c r="F156" s="2">
        <v>4183</v>
      </c>
      <c r="G156" s="1" t="s">
        <v>216</v>
      </c>
      <c r="H156" s="2" t="s">
        <v>210</v>
      </c>
      <c r="I156" s="2" t="s">
        <v>42</v>
      </c>
      <c r="J156" s="1" t="s">
        <v>481</v>
      </c>
      <c r="K156" s="2" t="s">
        <v>579</v>
      </c>
      <c r="L156" s="1" t="s">
        <v>125</v>
      </c>
      <c r="M156" s="1" t="s">
        <v>580</v>
      </c>
      <c r="N156" s="1">
        <v>7900202204</v>
      </c>
      <c r="O156" s="1">
        <v>15000</v>
      </c>
      <c r="P156" s="1">
        <v>1000</v>
      </c>
      <c r="Q156" s="2">
        <f t="shared" si="22"/>
        <v>14000</v>
      </c>
      <c r="R156" s="1">
        <v>820</v>
      </c>
      <c r="S156" s="20">
        <f>T156*R156</f>
        <v>0</v>
      </c>
      <c r="T156" s="20"/>
      <c r="U156" s="1">
        <v>25</v>
      </c>
      <c r="V156" s="28">
        <v>0</v>
      </c>
      <c r="W156" s="1">
        <f t="shared" si="32"/>
        <v>25</v>
      </c>
      <c r="X156" s="1"/>
      <c r="Y156" s="21"/>
      <c r="Z156" s="1"/>
      <c r="AA156" s="1" t="s">
        <v>6</v>
      </c>
      <c r="AB156" s="2" t="s">
        <v>579</v>
      </c>
      <c r="AC156" s="21">
        <f>(T156+W156)*R156+X156-Y156</f>
        <v>20500</v>
      </c>
      <c r="AD156" s="1">
        <f>V156*R156-X156+Y156</f>
        <v>0</v>
      </c>
      <c r="AE156" s="1">
        <f t="shared" si="23"/>
        <v>0</v>
      </c>
      <c r="AF156" s="1">
        <v>20</v>
      </c>
      <c r="AG156" s="1">
        <f t="shared" si="24"/>
        <v>0</v>
      </c>
      <c r="AH156" s="1">
        <f t="shared" si="25"/>
        <v>0</v>
      </c>
      <c r="AI156" s="1" t="str">
        <f t="shared" si="26"/>
        <v>0-30</v>
      </c>
      <c r="AJ156" s="1" t="str">
        <f t="shared" si="27"/>
        <v>NO</v>
      </c>
      <c r="AK156" s="1">
        <f t="shared" si="28"/>
        <v>20500</v>
      </c>
      <c r="AL156" s="1">
        <f>U156*R156</f>
        <v>20500</v>
      </c>
      <c r="AM156" s="1">
        <f>U156*R156-O156</f>
        <v>5500</v>
      </c>
      <c r="AN156" s="23">
        <f t="shared" si="29"/>
        <v>220</v>
      </c>
      <c r="AO156" s="24">
        <v>46246</v>
      </c>
      <c r="AP156" s="25">
        <v>46254</v>
      </c>
      <c r="AQ156" s="24">
        <v>46265</v>
      </c>
      <c r="AR156" s="1" t="s">
        <v>214</v>
      </c>
      <c r="AS156" s="1" t="s">
        <v>207</v>
      </c>
      <c r="AT156" s="26" t="s">
        <v>215</v>
      </c>
      <c r="AU156" s="26"/>
      <c r="AV156" s="27">
        <f t="shared" si="30"/>
        <v>0</v>
      </c>
    </row>
    <row r="157" spans="1:48" x14ac:dyDescent="0.25">
      <c r="A157" s="1" t="str">
        <f t="shared" si="31"/>
        <v>ACTIVE</v>
      </c>
      <c r="B157" s="2" t="s">
        <v>206</v>
      </c>
      <c r="C157" s="2" t="s">
        <v>207</v>
      </c>
      <c r="D157" s="2" t="s">
        <v>206</v>
      </c>
      <c r="E157" s="2" t="s">
        <v>208</v>
      </c>
      <c r="F157" s="2">
        <v>9149</v>
      </c>
      <c r="G157" s="1" t="s">
        <v>216</v>
      </c>
      <c r="H157" s="2" t="s">
        <v>210</v>
      </c>
      <c r="I157" s="2" t="s">
        <v>42</v>
      </c>
      <c r="J157" s="1" t="s">
        <v>581</v>
      </c>
      <c r="K157" s="2" t="s">
        <v>582</v>
      </c>
      <c r="L157" s="1" t="s">
        <v>583</v>
      </c>
      <c r="M157" s="1" t="s">
        <v>112</v>
      </c>
      <c r="N157" s="1">
        <v>8954311674</v>
      </c>
      <c r="O157" s="1">
        <v>15000</v>
      </c>
      <c r="P157" s="1">
        <v>1000</v>
      </c>
      <c r="Q157" s="2">
        <f t="shared" si="22"/>
        <v>14000</v>
      </c>
      <c r="R157" s="1">
        <v>820</v>
      </c>
      <c r="S157" s="20">
        <f>T157*R157</f>
        <v>0</v>
      </c>
      <c r="T157" s="20"/>
      <c r="U157" s="1">
        <v>25</v>
      </c>
      <c r="V157" s="28">
        <v>0</v>
      </c>
      <c r="W157" s="1">
        <f t="shared" si="32"/>
        <v>25</v>
      </c>
      <c r="X157" s="1"/>
      <c r="Y157" s="21"/>
      <c r="Z157" s="1"/>
      <c r="AA157" s="1" t="s">
        <v>4</v>
      </c>
      <c r="AB157" s="2" t="s">
        <v>582</v>
      </c>
      <c r="AC157" s="21">
        <f>(T157+W157)*R157+X157-Y157</f>
        <v>20500</v>
      </c>
      <c r="AD157" s="1">
        <f>V157*R157-X157+Y157</f>
        <v>0</v>
      </c>
      <c r="AE157" s="1">
        <f t="shared" si="23"/>
        <v>0</v>
      </c>
      <c r="AF157" s="1">
        <v>20</v>
      </c>
      <c r="AG157" s="1">
        <f t="shared" si="24"/>
        <v>0</v>
      </c>
      <c r="AH157" s="1">
        <f t="shared" si="25"/>
        <v>0</v>
      </c>
      <c r="AI157" s="1" t="str">
        <f t="shared" si="26"/>
        <v>0-30</v>
      </c>
      <c r="AJ157" s="1" t="str">
        <f t="shared" si="27"/>
        <v>NO</v>
      </c>
      <c r="AK157" s="1">
        <f t="shared" si="28"/>
        <v>20500</v>
      </c>
      <c r="AL157" s="1">
        <f>U157*R157</f>
        <v>20500</v>
      </c>
      <c r="AM157" s="1">
        <f>U157*R157-O157</f>
        <v>5500</v>
      </c>
      <c r="AN157" s="23">
        <f t="shared" si="29"/>
        <v>220</v>
      </c>
      <c r="AO157" s="24">
        <v>46247</v>
      </c>
      <c r="AP157" s="25">
        <v>46254</v>
      </c>
      <c r="AQ157" s="24">
        <v>46266</v>
      </c>
      <c r="AR157" s="1" t="s">
        <v>214</v>
      </c>
      <c r="AS157" s="1" t="s">
        <v>207</v>
      </c>
      <c r="AT157" s="26" t="s">
        <v>215</v>
      </c>
      <c r="AU157" s="26"/>
      <c r="AV157" s="27">
        <f t="shared" si="30"/>
        <v>0</v>
      </c>
    </row>
    <row r="158" spans="1:48" x14ac:dyDescent="0.25">
      <c r="A158" s="1" t="str">
        <f t="shared" si="31"/>
        <v>ACTIVE</v>
      </c>
      <c r="B158" s="2" t="s">
        <v>206</v>
      </c>
      <c r="C158" s="2" t="s">
        <v>207</v>
      </c>
      <c r="D158" s="2" t="s">
        <v>206</v>
      </c>
      <c r="E158" s="2" t="s">
        <v>208</v>
      </c>
      <c r="F158" s="2">
        <v>1337</v>
      </c>
      <c r="G158" s="1" t="s">
        <v>216</v>
      </c>
      <c r="H158" s="2" t="s">
        <v>210</v>
      </c>
      <c r="I158" s="2" t="s">
        <v>42</v>
      </c>
      <c r="J158" s="1" t="s">
        <v>481</v>
      </c>
      <c r="K158" s="2" t="s">
        <v>584</v>
      </c>
      <c r="L158" s="1" t="s">
        <v>585</v>
      </c>
      <c r="M158" s="1" t="s">
        <v>586</v>
      </c>
      <c r="N158" s="1">
        <v>9088325063</v>
      </c>
      <c r="O158" s="1">
        <v>15000</v>
      </c>
      <c r="P158" s="1">
        <v>1000</v>
      </c>
      <c r="Q158" s="2">
        <f t="shared" si="22"/>
        <v>14000</v>
      </c>
      <c r="R158" s="1">
        <v>820</v>
      </c>
      <c r="S158" s="20">
        <f>T158*R158</f>
        <v>0</v>
      </c>
      <c r="T158" s="20"/>
      <c r="U158" s="1">
        <v>25</v>
      </c>
      <c r="V158" s="28">
        <v>0</v>
      </c>
      <c r="W158" s="1">
        <f t="shared" si="32"/>
        <v>25</v>
      </c>
      <c r="X158" s="1"/>
      <c r="Y158" s="21"/>
      <c r="Z158" s="1"/>
      <c r="AA158" s="1" t="s">
        <v>4</v>
      </c>
      <c r="AB158" s="2" t="s">
        <v>584</v>
      </c>
      <c r="AC158" s="21">
        <f>(T158+W158)*R158+X158-Y158</f>
        <v>20500</v>
      </c>
      <c r="AD158" s="1">
        <f>V158*R158-X158+Y158</f>
        <v>0</v>
      </c>
      <c r="AE158" s="1">
        <f t="shared" si="23"/>
        <v>0</v>
      </c>
      <c r="AF158" s="1">
        <v>20</v>
      </c>
      <c r="AG158" s="1">
        <f t="shared" si="24"/>
        <v>0</v>
      </c>
      <c r="AH158" s="1">
        <f t="shared" si="25"/>
        <v>0</v>
      </c>
      <c r="AI158" s="1" t="str">
        <f t="shared" si="26"/>
        <v>0-30</v>
      </c>
      <c r="AJ158" s="1" t="str">
        <f t="shared" si="27"/>
        <v>NO</v>
      </c>
      <c r="AK158" s="1">
        <f t="shared" si="28"/>
        <v>20500</v>
      </c>
      <c r="AL158" s="1">
        <f>U158*R158</f>
        <v>20500</v>
      </c>
      <c r="AM158" s="1">
        <f>U158*R158-O158</f>
        <v>5500</v>
      </c>
      <c r="AN158" s="23">
        <f t="shared" si="29"/>
        <v>220</v>
      </c>
      <c r="AO158" s="24">
        <v>46247</v>
      </c>
      <c r="AP158" s="25">
        <v>46254</v>
      </c>
      <c r="AQ158" s="24">
        <v>46266</v>
      </c>
      <c r="AR158" s="1" t="s">
        <v>214</v>
      </c>
      <c r="AS158" s="1" t="s">
        <v>207</v>
      </c>
      <c r="AT158" s="26" t="s">
        <v>215</v>
      </c>
      <c r="AU158" s="26"/>
      <c r="AV158" s="27">
        <f t="shared" si="30"/>
        <v>0</v>
      </c>
    </row>
    <row r="159" spans="1:48" x14ac:dyDescent="0.25">
      <c r="A159" s="1" t="str">
        <f t="shared" si="31"/>
        <v>ACTIVE</v>
      </c>
      <c r="B159" s="2" t="s">
        <v>206</v>
      </c>
      <c r="C159" s="2" t="s">
        <v>207</v>
      </c>
      <c r="D159" s="2" t="s">
        <v>206</v>
      </c>
      <c r="E159" s="2" t="s">
        <v>208</v>
      </c>
      <c r="F159" s="2">
        <v>412</v>
      </c>
      <c r="G159" s="1" t="s">
        <v>216</v>
      </c>
      <c r="H159" s="2" t="s">
        <v>210</v>
      </c>
      <c r="I159" s="2" t="s">
        <v>42</v>
      </c>
      <c r="J159" s="1" t="s">
        <v>494</v>
      </c>
      <c r="K159" s="2" t="s">
        <v>587</v>
      </c>
      <c r="L159" s="1" t="s">
        <v>588</v>
      </c>
      <c r="M159" s="1" t="s">
        <v>162</v>
      </c>
      <c r="N159" s="1">
        <v>7900455104</v>
      </c>
      <c r="O159" s="1">
        <v>15000</v>
      </c>
      <c r="P159" s="1">
        <v>1000</v>
      </c>
      <c r="Q159" s="2">
        <f t="shared" si="22"/>
        <v>14000</v>
      </c>
      <c r="R159" s="1">
        <v>820</v>
      </c>
      <c r="S159" s="20">
        <f>T159*R159</f>
        <v>0</v>
      </c>
      <c r="T159" s="20"/>
      <c r="U159" s="1">
        <v>25</v>
      </c>
      <c r="V159" s="28">
        <v>0</v>
      </c>
      <c r="W159" s="1">
        <f t="shared" si="32"/>
        <v>25</v>
      </c>
      <c r="X159" s="1"/>
      <c r="Y159" s="21"/>
      <c r="Z159" s="1"/>
      <c r="AA159" s="1" t="s">
        <v>4</v>
      </c>
      <c r="AB159" s="2" t="s">
        <v>587</v>
      </c>
      <c r="AC159" s="21">
        <f>(T159+W159)*R159+X159-Y159</f>
        <v>20500</v>
      </c>
      <c r="AD159" s="1">
        <f>V159*R159-X159+Y159</f>
        <v>0</v>
      </c>
      <c r="AE159" s="1">
        <f t="shared" si="23"/>
        <v>0</v>
      </c>
      <c r="AF159" s="1">
        <v>20</v>
      </c>
      <c r="AG159" s="1">
        <f t="shared" si="24"/>
        <v>0</v>
      </c>
      <c r="AH159" s="1">
        <f t="shared" si="25"/>
        <v>0</v>
      </c>
      <c r="AI159" s="1" t="str">
        <f t="shared" si="26"/>
        <v>0-30</v>
      </c>
      <c r="AJ159" s="1" t="str">
        <f t="shared" si="27"/>
        <v>NO</v>
      </c>
      <c r="AK159" s="1">
        <f t="shared" si="28"/>
        <v>20500</v>
      </c>
      <c r="AL159" s="1">
        <f>U159*R159</f>
        <v>20500</v>
      </c>
      <c r="AM159" s="1">
        <f>U159*R159-O159</f>
        <v>5500</v>
      </c>
      <c r="AN159" s="23">
        <f t="shared" si="29"/>
        <v>220</v>
      </c>
      <c r="AO159" s="24">
        <v>46247</v>
      </c>
      <c r="AP159" s="25">
        <v>46254</v>
      </c>
      <c r="AQ159" s="24">
        <v>46266</v>
      </c>
      <c r="AR159" s="1" t="s">
        <v>214</v>
      </c>
      <c r="AS159" s="1" t="s">
        <v>207</v>
      </c>
      <c r="AT159" s="26" t="s">
        <v>215</v>
      </c>
      <c r="AU159" s="26"/>
      <c r="AV159" s="27">
        <f t="shared" si="30"/>
        <v>0</v>
      </c>
    </row>
    <row r="160" spans="1:48" x14ac:dyDescent="0.25">
      <c r="A160" s="1" t="str">
        <f t="shared" si="31"/>
        <v>ACTIVE</v>
      </c>
      <c r="B160" s="2" t="s">
        <v>206</v>
      </c>
      <c r="C160" s="2" t="s">
        <v>207</v>
      </c>
      <c r="D160" s="2" t="s">
        <v>206</v>
      </c>
      <c r="E160" s="2" t="s">
        <v>208</v>
      </c>
      <c r="F160" s="2">
        <v>6859</v>
      </c>
      <c r="G160" s="1" t="s">
        <v>220</v>
      </c>
      <c r="H160" s="2" t="s">
        <v>210</v>
      </c>
      <c r="I160" s="2" t="s">
        <v>42</v>
      </c>
      <c r="J160" s="1" t="s">
        <v>589</v>
      </c>
      <c r="K160" s="2" t="s">
        <v>590</v>
      </c>
      <c r="L160" s="1" t="s">
        <v>591</v>
      </c>
      <c r="M160" s="1" t="s">
        <v>592</v>
      </c>
      <c r="N160" s="1">
        <v>9389503963</v>
      </c>
      <c r="O160" s="1">
        <v>15000</v>
      </c>
      <c r="P160" s="1">
        <v>1000</v>
      </c>
      <c r="Q160" s="2">
        <f t="shared" si="22"/>
        <v>14000</v>
      </c>
      <c r="R160" s="1">
        <v>820</v>
      </c>
      <c r="S160" s="20">
        <f>T160*R160</f>
        <v>0</v>
      </c>
      <c r="T160" s="20"/>
      <c r="U160" s="1">
        <v>25</v>
      </c>
      <c r="V160" s="28">
        <v>0</v>
      </c>
      <c r="W160" s="1">
        <f t="shared" si="32"/>
        <v>25</v>
      </c>
      <c r="X160" s="1"/>
      <c r="Y160" s="21"/>
      <c r="Z160" s="1"/>
      <c r="AA160" s="1" t="s">
        <v>4</v>
      </c>
      <c r="AB160" s="2" t="s">
        <v>590</v>
      </c>
      <c r="AC160" s="21">
        <f>(T160+W160)*R160+X160-Y160</f>
        <v>20500</v>
      </c>
      <c r="AD160" s="1">
        <f>V160*R160-X160+Y160</f>
        <v>0</v>
      </c>
      <c r="AE160" s="1">
        <f t="shared" si="23"/>
        <v>0</v>
      </c>
      <c r="AF160" s="1">
        <v>20</v>
      </c>
      <c r="AG160" s="1">
        <f t="shared" si="24"/>
        <v>0</v>
      </c>
      <c r="AH160" s="1">
        <f t="shared" si="25"/>
        <v>0</v>
      </c>
      <c r="AI160" s="1" t="str">
        <f t="shared" si="26"/>
        <v>0-30</v>
      </c>
      <c r="AJ160" s="1" t="str">
        <f t="shared" si="27"/>
        <v>NO</v>
      </c>
      <c r="AK160" s="1">
        <f t="shared" si="28"/>
        <v>20500</v>
      </c>
      <c r="AL160" s="1">
        <f>U160*R160</f>
        <v>20500</v>
      </c>
      <c r="AM160" s="1">
        <f>U160*R160-O160</f>
        <v>5500</v>
      </c>
      <c r="AN160" s="23">
        <f t="shared" si="29"/>
        <v>220</v>
      </c>
      <c r="AO160" s="24">
        <v>46247</v>
      </c>
      <c r="AP160" s="25">
        <v>46254</v>
      </c>
      <c r="AQ160" s="24">
        <v>46266</v>
      </c>
      <c r="AR160" s="1" t="s">
        <v>214</v>
      </c>
      <c r="AS160" s="1" t="s">
        <v>207</v>
      </c>
      <c r="AT160" s="26" t="s">
        <v>215</v>
      </c>
      <c r="AU160" s="26"/>
      <c r="AV160" s="27">
        <f t="shared" si="30"/>
        <v>0</v>
      </c>
    </row>
    <row r="161" spans="1:48" x14ac:dyDescent="0.25">
      <c r="A161" s="1" t="str">
        <f t="shared" si="31"/>
        <v>ACTIVE</v>
      </c>
      <c r="B161" s="2" t="s">
        <v>206</v>
      </c>
      <c r="C161" s="2" t="s">
        <v>207</v>
      </c>
      <c r="D161" s="2" t="s">
        <v>206</v>
      </c>
      <c r="E161" s="2" t="s">
        <v>208</v>
      </c>
      <c r="F161" s="2">
        <v>9491</v>
      </c>
      <c r="G161" s="1" t="s">
        <v>220</v>
      </c>
      <c r="H161" s="2" t="s">
        <v>210</v>
      </c>
      <c r="I161" s="2" t="s">
        <v>42</v>
      </c>
      <c r="J161" s="1" t="s">
        <v>211</v>
      </c>
      <c r="K161" s="2" t="s">
        <v>593</v>
      </c>
      <c r="L161" s="1" t="s">
        <v>473</v>
      </c>
      <c r="M161" s="1" t="s">
        <v>594</v>
      </c>
      <c r="N161" s="1">
        <v>9639298459</v>
      </c>
      <c r="O161" s="1">
        <v>15000</v>
      </c>
      <c r="P161" s="1">
        <v>1000</v>
      </c>
      <c r="Q161" s="2">
        <f t="shared" si="22"/>
        <v>14000</v>
      </c>
      <c r="R161" s="1">
        <v>820</v>
      </c>
      <c r="S161" s="20">
        <f>T161*R161</f>
        <v>0</v>
      </c>
      <c r="T161" s="20"/>
      <c r="U161" s="1">
        <v>25</v>
      </c>
      <c r="V161" s="28">
        <v>0</v>
      </c>
      <c r="W161" s="1">
        <f t="shared" si="32"/>
        <v>25</v>
      </c>
      <c r="X161" s="1"/>
      <c r="Y161" s="21"/>
      <c r="Z161" s="1"/>
      <c r="AA161" s="1" t="s">
        <v>6</v>
      </c>
      <c r="AB161" s="2" t="s">
        <v>593</v>
      </c>
      <c r="AC161" s="21">
        <f>(T161+W161)*R161+X161-Y161</f>
        <v>20500</v>
      </c>
      <c r="AD161" s="1">
        <f>V161*R161-X161+Y161</f>
        <v>0</v>
      </c>
      <c r="AE161" s="1">
        <f t="shared" si="23"/>
        <v>0</v>
      </c>
      <c r="AF161" s="1">
        <v>20</v>
      </c>
      <c r="AG161" s="1">
        <f t="shared" si="24"/>
        <v>0</v>
      </c>
      <c r="AH161" s="1">
        <f t="shared" si="25"/>
        <v>0</v>
      </c>
      <c r="AI161" s="1" t="str">
        <f t="shared" si="26"/>
        <v>0-30</v>
      </c>
      <c r="AJ161" s="1" t="str">
        <f t="shared" si="27"/>
        <v>NO</v>
      </c>
      <c r="AK161" s="1">
        <f t="shared" si="28"/>
        <v>20500</v>
      </c>
      <c r="AL161" s="1">
        <f>U161*R161</f>
        <v>20500</v>
      </c>
      <c r="AM161" s="1">
        <f>U161*R161-O161</f>
        <v>5500</v>
      </c>
      <c r="AN161" s="23">
        <f t="shared" si="29"/>
        <v>220</v>
      </c>
      <c r="AO161" s="24">
        <v>46252</v>
      </c>
      <c r="AP161" s="25">
        <v>46254</v>
      </c>
      <c r="AQ161" s="24">
        <v>46265</v>
      </c>
      <c r="AR161" s="1" t="s">
        <v>214</v>
      </c>
      <c r="AS161" s="1" t="s">
        <v>207</v>
      </c>
      <c r="AT161" s="26" t="s">
        <v>215</v>
      </c>
      <c r="AU161" s="26"/>
      <c r="AV161" s="27">
        <f t="shared" si="30"/>
        <v>0</v>
      </c>
    </row>
    <row r="162" spans="1:48" x14ac:dyDescent="0.25">
      <c r="A162" s="1" t="str">
        <f t="shared" si="31"/>
        <v>ACTIVE</v>
      </c>
      <c r="B162" s="2" t="s">
        <v>206</v>
      </c>
      <c r="C162" s="2" t="s">
        <v>207</v>
      </c>
      <c r="D162" s="2" t="s">
        <v>206</v>
      </c>
      <c r="E162" s="2" t="s">
        <v>208</v>
      </c>
      <c r="F162" s="2">
        <v>2055</v>
      </c>
      <c r="G162" s="1" t="s">
        <v>220</v>
      </c>
      <c r="H162" s="2" t="s">
        <v>210</v>
      </c>
      <c r="I162" s="2" t="s">
        <v>42</v>
      </c>
      <c r="J162" s="1" t="s">
        <v>481</v>
      </c>
      <c r="K162" s="2" t="s">
        <v>595</v>
      </c>
      <c r="L162" s="1" t="s">
        <v>596</v>
      </c>
      <c r="M162" s="1" t="s">
        <v>512</v>
      </c>
      <c r="N162" s="1">
        <v>8449239825</v>
      </c>
      <c r="O162" s="1">
        <v>15000</v>
      </c>
      <c r="P162" s="1">
        <v>1000</v>
      </c>
      <c r="Q162" s="2">
        <f t="shared" si="22"/>
        <v>14000</v>
      </c>
      <c r="R162" s="1">
        <v>820</v>
      </c>
      <c r="S162" s="20">
        <f>T162*R162</f>
        <v>0</v>
      </c>
      <c r="T162" s="20"/>
      <c r="U162" s="1">
        <v>25</v>
      </c>
      <c r="V162" s="28">
        <v>0</v>
      </c>
      <c r="W162" s="1">
        <f t="shared" si="32"/>
        <v>25</v>
      </c>
      <c r="X162" s="1"/>
      <c r="Y162" s="21"/>
      <c r="Z162" s="1"/>
      <c r="AA162" s="1" t="s">
        <v>4</v>
      </c>
      <c r="AB162" s="2" t="s">
        <v>595</v>
      </c>
      <c r="AC162" s="21">
        <f>(T162+W162)*R162+X162-Y162</f>
        <v>20500</v>
      </c>
      <c r="AD162" s="1">
        <f>V162*R162-X162+Y162</f>
        <v>0</v>
      </c>
      <c r="AE162" s="1">
        <f t="shared" si="23"/>
        <v>0</v>
      </c>
      <c r="AF162" s="1">
        <v>20</v>
      </c>
      <c r="AG162" s="1">
        <f t="shared" si="24"/>
        <v>0</v>
      </c>
      <c r="AH162" s="1">
        <f t="shared" si="25"/>
        <v>0</v>
      </c>
      <c r="AI162" s="1" t="str">
        <f t="shared" si="26"/>
        <v>0-30</v>
      </c>
      <c r="AJ162" s="1" t="str">
        <f t="shared" si="27"/>
        <v>NO</v>
      </c>
      <c r="AK162" s="1">
        <f t="shared" si="28"/>
        <v>20500</v>
      </c>
      <c r="AL162" s="1">
        <f>U162*R162</f>
        <v>20500</v>
      </c>
      <c r="AM162" s="1">
        <f>U162*R162-O162</f>
        <v>5500</v>
      </c>
      <c r="AN162" s="23">
        <f t="shared" si="29"/>
        <v>220</v>
      </c>
      <c r="AO162" s="24">
        <v>46247</v>
      </c>
      <c r="AP162" s="25">
        <v>46254</v>
      </c>
      <c r="AQ162" s="24">
        <v>46266</v>
      </c>
      <c r="AR162" s="1" t="s">
        <v>214</v>
      </c>
      <c r="AS162" s="1" t="s">
        <v>207</v>
      </c>
      <c r="AT162" s="26" t="s">
        <v>215</v>
      </c>
      <c r="AU162" s="26"/>
      <c r="AV162" s="27">
        <f t="shared" si="30"/>
        <v>0</v>
      </c>
    </row>
    <row r="163" spans="1:48" x14ac:dyDescent="0.25">
      <c r="A163" s="1" t="str">
        <f t="shared" si="31"/>
        <v>ACTIVE</v>
      </c>
      <c r="B163" s="2" t="s">
        <v>206</v>
      </c>
      <c r="C163" s="2" t="s">
        <v>207</v>
      </c>
      <c r="D163" s="2" t="s">
        <v>206</v>
      </c>
      <c r="E163" s="2" t="s">
        <v>208</v>
      </c>
      <c r="F163" s="2">
        <v>1625</v>
      </c>
      <c r="G163" s="1" t="s">
        <v>220</v>
      </c>
      <c r="H163" s="2" t="s">
        <v>210</v>
      </c>
      <c r="I163" s="2" t="s">
        <v>42</v>
      </c>
      <c r="J163" s="1" t="s">
        <v>481</v>
      </c>
      <c r="K163" s="2" t="s">
        <v>597</v>
      </c>
      <c r="L163" s="1" t="s">
        <v>117</v>
      </c>
      <c r="M163" s="1" t="s">
        <v>121</v>
      </c>
      <c r="N163" s="1">
        <v>9045675417</v>
      </c>
      <c r="O163" s="1">
        <v>15000</v>
      </c>
      <c r="P163" s="1">
        <v>1000</v>
      </c>
      <c r="Q163" s="2">
        <f t="shared" si="22"/>
        <v>14000</v>
      </c>
      <c r="R163" s="1">
        <v>820</v>
      </c>
      <c r="S163" s="20">
        <f>T163*R163</f>
        <v>0</v>
      </c>
      <c r="T163" s="20"/>
      <c r="U163" s="1">
        <v>25</v>
      </c>
      <c r="V163" s="28">
        <v>0</v>
      </c>
      <c r="W163" s="1">
        <f t="shared" si="32"/>
        <v>25</v>
      </c>
      <c r="X163" s="1"/>
      <c r="Y163" s="21"/>
      <c r="Z163" s="1"/>
      <c r="AA163" s="1" t="s">
        <v>3</v>
      </c>
      <c r="AB163" s="2" t="s">
        <v>597</v>
      </c>
      <c r="AC163" s="21">
        <f>(T163+W163)*R163+X163-Y163</f>
        <v>20500</v>
      </c>
      <c r="AD163" s="1">
        <f>V163*R163-X163+Y163</f>
        <v>0</v>
      </c>
      <c r="AE163" s="1">
        <f t="shared" si="23"/>
        <v>0</v>
      </c>
      <c r="AF163" s="1">
        <v>20</v>
      </c>
      <c r="AG163" s="1">
        <f t="shared" si="24"/>
        <v>0</v>
      </c>
      <c r="AH163" s="1">
        <f t="shared" si="25"/>
        <v>0</v>
      </c>
      <c r="AI163" s="1" t="str">
        <f t="shared" si="26"/>
        <v>0-30</v>
      </c>
      <c r="AJ163" s="1" t="str">
        <f t="shared" si="27"/>
        <v>NO</v>
      </c>
      <c r="AK163" s="1">
        <f t="shared" si="28"/>
        <v>20500</v>
      </c>
      <c r="AL163" s="1">
        <f>U163*R163</f>
        <v>20500</v>
      </c>
      <c r="AM163" s="1">
        <f>U163*R163-O163</f>
        <v>5500</v>
      </c>
      <c r="AN163" s="23">
        <f t="shared" si="29"/>
        <v>220</v>
      </c>
      <c r="AO163" s="24">
        <v>46253</v>
      </c>
      <c r="AP163" s="25">
        <v>46255</v>
      </c>
      <c r="AQ163" s="24">
        <v>46267</v>
      </c>
      <c r="AR163" s="1" t="s">
        <v>214</v>
      </c>
      <c r="AS163" s="1" t="s">
        <v>207</v>
      </c>
      <c r="AT163" s="26" t="s">
        <v>215</v>
      </c>
      <c r="AU163" s="26"/>
      <c r="AV163" s="27">
        <f t="shared" si="30"/>
        <v>0</v>
      </c>
    </row>
    <row r="164" spans="1:48" x14ac:dyDescent="0.25">
      <c r="A164" s="1" t="str">
        <f t="shared" si="31"/>
        <v>ACTIVE</v>
      </c>
      <c r="B164" s="2" t="s">
        <v>206</v>
      </c>
      <c r="C164" s="2" t="s">
        <v>207</v>
      </c>
      <c r="D164" s="2" t="s">
        <v>206</v>
      </c>
      <c r="E164" s="2" t="s">
        <v>208</v>
      </c>
      <c r="F164" s="2">
        <v>1869</v>
      </c>
      <c r="G164" s="1" t="s">
        <v>216</v>
      </c>
      <c r="H164" s="2" t="s">
        <v>210</v>
      </c>
      <c r="I164" s="2" t="s">
        <v>42</v>
      </c>
      <c r="J164" s="1" t="s">
        <v>598</v>
      </c>
      <c r="K164" s="2" t="s">
        <v>599</v>
      </c>
      <c r="L164" s="1" t="s">
        <v>600</v>
      </c>
      <c r="M164" s="1" t="s">
        <v>601</v>
      </c>
      <c r="N164" s="1">
        <v>7037626218</v>
      </c>
      <c r="O164" s="1">
        <v>15000</v>
      </c>
      <c r="P164" s="1">
        <v>1000</v>
      </c>
      <c r="Q164" s="2">
        <f t="shared" si="22"/>
        <v>14000</v>
      </c>
      <c r="R164" s="1">
        <v>820</v>
      </c>
      <c r="S164" s="20">
        <f>T164*R164</f>
        <v>0</v>
      </c>
      <c r="T164" s="20"/>
      <c r="U164" s="1">
        <v>25</v>
      </c>
      <c r="V164" s="28">
        <v>0</v>
      </c>
      <c r="W164" s="1">
        <f t="shared" si="32"/>
        <v>25</v>
      </c>
      <c r="X164" s="1"/>
      <c r="Y164" s="21"/>
      <c r="Z164" s="1"/>
      <c r="AA164" s="1" t="s">
        <v>7</v>
      </c>
      <c r="AB164" s="2" t="s">
        <v>599</v>
      </c>
      <c r="AC164" s="21">
        <f>(T164+W164)*R164+X164-Y164</f>
        <v>20500</v>
      </c>
      <c r="AD164" s="1">
        <f>V164*R164-X164+Y164</f>
        <v>0</v>
      </c>
      <c r="AE164" s="1">
        <f t="shared" si="23"/>
        <v>0</v>
      </c>
      <c r="AF164" s="1">
        <v>20</v>
      </c>
      <c r="AG164" s="1">
        <f t="shared" si="24"/>
        <v>0</v>
      </c>
      <c r="AH164" s="1">
        <f t="shared" si="25"/>
        <v>0</v>
      </c>
      <c r="AI164" s="1" t="str">
        <f t="shared" si="26"/>
        <v>0-30</v>
      </c>
      <c r="AJ164" s="1" t="str">
        <f t="shared" si="27"/>
        <v>NO</v>
      </c>
      <c r="AK164" s="1">
        <f t="shared" si="28"/>
        <v>20500</v>
      </c>
      <c r="AL164" s="1">
        <f>U164*R164</f>
        <v>20500</v>
      </c>
      <c r="AM164" s="1">
        <f>U164*R164-O164</f>
        <v>5500</v>
      </c>
      <c r="AN164" s="23">
        <f t="shared" si="29"/>
        <v>220</v>
      </c>
      <c r="AO164" s="24">
        <v>46252</v>
      </c>
      <c r="AP164" s="25">
        <v>46255</v>
      </c>
      <c r="AQ164" s="24">
        <v>46268</v>
      </c>
      <c r="AR164" s="1" t="s">
        <v>214</v>
      </c>
      <c r="AS164" s="1" t="s">
        <v>207</v>
      </c>
      <c r="AT164" s="26" t="s">
        <v>215</v>
      </c>
      <c r="AU164" s="26"/>
      <c r="AV164" s="27">
        <f t="shared" si="30"/>
        <v>0</v>
      </c>
    </row>
    <row r="165" spans="1:48" x14ac:dyDescent="0.25">
      <c r="A165" s="1" t="str">
        <f t="shared" si="31"/>
        <v>ACTIVE</v>
      </c>
      <c r="B165" s="2" t="s">
        <v>206</v>
      </c>
      <c r="C165" s="2" t="s">
        <v>207</v>
      </c>
      <c r="D165" s="2" t="s">
        <v>206</v>
      </c>
      <c r="E165" s="2" t="s">
        <v>208</v>
      </c>
      <c r="F165" s="2">
        <v>1784</v>
      </c>
      <c r="G165" s="1" t="s">
        <v>216</v>
      </c>
      <c r="H165" s="2" t="s">
        <v>210</v>
      </c>
      <c r="I165" s="2" t="s">
        <v>42</v>
      </c>
      <c r="J165" s="1" t="s">
        <v>251</v>
      </c>
      <c r="K165" s="2" t="s">
        <v>602</v>
      </c>
      <c r="L165" s="1" t="s">
        <v>603</v>
      </c>
      <c r="M165" s="1" t="s">
        <v>133</v>
      </c>
      <c r="N165" s="1">
        <v>6398438933</v>
      </c>
      <c r="O165" s="1">
        <v>15000</v>
      </c>
      <c r="P165" s="1">
        <v>1000</v>
      </c>
      <c r="Q165" s="2">
        <f t="shared" si="22"/>
        <v>14000</v>
      </c>
      <c r="R165" s="1">
        <v>820</v>
      </c>
      <c r="S165" s="20">
        <f>T165*R165</f>
        <v>0</v>
      </c>
      <c r="T165" s="20"/>
      <c r="U165" s="1">
        <v>25</v>
      </c>
      <c r="V165" s="28">
        <v>0</v>
      </c>
      <c r="W165" s="1">
        <f t="shared" si="32"/>
        <v>25</v>
      </c>
      <c r="X165" s="1"/>
      <c r="Y165" s="21"/>
      <c r="Z165" s="1"/>
      <c r="AA165" s="1" t="s">
        <v>4</v>
      </c>
      <c r="AB165" s="2" t="s">
        <v>602</v>
      </c>
      <c r="AC165" s="21">
        <f>(T165+W165)*R165+X165-Y165</f>
        <v>20500</v>
      </c>
      <c r="AD165" s="1">
        <f>V165*R165-X165+Y165</f>
        <v>0</v>
      </c>
      <c r="AE165" s="1">
        <f t="shared" si="23"/>
        <v>0</v>
      </c>
      <c r="AF165" s="1">
        <v>20</v>
      </c>
      <c r="AG165" s="1">
        <f t="shared" si="24"/>
        <v>0</v>
      </c>
      <c r="AH165" s="1">
        <f t="shared" si="25"/>
        <v>0</v>
      </c>
      <c r="AI165" s="1" t="str">
        <f t="shared" si="26"/>
        <v>0-30</v>
      </c>
      <c r="AJ165" s="1" t="str">
        <f t="shared" si="27"/>
        <v>NO</v>
      </c>
      <c r="AK165" s="1">
        <f t="shared" si="28"/>
        <v>20500</v>
      </c>
      <c r="AL165" s="1">
        <f>U165*R165</f>
        <v>20500</v>
      </c>
      <c r="AM165" s="1">
        <f>U165*R165-O165</f>
        <v>5500</v>
      </c>
      <c r="AN165" s="23">
        <f t="shared" si="29"/>
        <v>220</v>
      </c>
      <c r="AO165" s="24">
        <v>46255</v>
      </c>
      <c r="AP165" s="25">
        <v>46258</v>
      </c>
      <c r="AQ165" s="24">
        <v>46273</v>
      </c>
      <c r="AR165" s="1" t="s">
        <v>214</v>
      </c>
      <c r="AS165" s="1" t="s">
        <v>207</v>
      </c>
      <c r="AT165" s="26" t="s">
        <v>215</v>
      </c>
      <c r="AU165" s="26"/>
      <c r="AV165" s="27">
        <f t="shared" si="30"/>
        <v>0</v>
      </c>
    </row>
    <row r="166" spans="1:48" x14ac:dyDescent="0.25">
      <c r="A166" s="1" t="str">
        <f t="shared" si="31"/>
        <v>ACTIVE</v>
      </c>
      <c r="B166" s="2" t="s">
        <v>206</v>
      </c>
      <c r="C166" s="2" t="s">
        <v>207</v>
      </c>
      <c r="D166" s="2" t="s">
        <v>206</v>
      </c>
      <c r="E166" s="2" t="s">
        <v>208</v>
      </c>
      <c r="F166" s="2">
        <v>9020</v>
      </c>
      <c r="G166" s="1" t="s">
        <v>216</v>
      </c>
      <c r="H166" s="2" t="s">
        <v>210</v>
      </c>
      <c r="I166" s="2" t="s">
        <v>42</v>
      </c>
      <c r="J166" s="1" t="s">
        <v>284</v>
      </c>
      <c r="K166" s="2" t="s">
        <v>604</v>
      </c>
      <c r="L166" s="1" t="s">
        <v>254</v>
      </c>
      <c r="M166" s="1" t="s">
        <v>605</v>
      </c>
      <c r="N166" s="1">
        <v>8006864964</v>
      </c>
      <c r="O166" s="1">
        <v>10000</v>
      </c>
      <c r="P166" s="1">
        <v>800</v>
      </c>
      <c r="Q166" s="2">
        <f t="shared" si="22"/>
        <v>9200</v>
      </c>
      <c r="R166" s="1">
        <v>700</v>
      </c>
      <c r="S166" s="20">
        <f>T166*R166</f>
        <v>0</v>
      </c>
      <c r="T166" s="20"/>
      <c r="U166" s="1">
        <v>20</v>
      </c>
      <c r="V166" s="28">
        <v>0</v>
      </c>
      <c r="W166" s="1">
        <f t="shared" si="32"/>
        <v>20</v>
      </c>
      <c r="X166" s="1"/>
      <c r="Y166" s="21"/>
      <c r="Z166" s="1"/>
      <c r="AA166" s="1" t="s">
        <v>6</v>
      </c>
      <c r="AB166" s="2" t="s">
        <v>604</v>
      </c>
      <c r="AC166" s="21">
        <f>(T166+W166)*R166+X166-Y166</f>
        <v>14000</v>
      </c>
      <c r="AD166" s="1">
        <f>V166*R166-X166+Y166</f>
        <v>0</v>
      </c>
      <c r="AE166" s="1">
        <f t="shared" si="23"/>
        <v>0</v>
      </c>
      <c r="AF166" s="1">
        <v>20</v>
      </c>
      <c r="AG166" s="1">
        <f t="shared" si="24"/>
        <v>0</v>
      </c>
      <c r="AH166" s="1">
        <f t="shared" si="25"/>
        <v>0</v>
      </c>
      <c r="AI166" s="1" t="str">
        <f t="shared" si="26"/>
        <v>0-30</v>
      </c>
      <c r="AJ166" s="1" t="str">
        <f t="shared" si="27"/>
        <v>NO</v>
      </c>
      <c r="AK166" s="1">
        <f t="shared" si="28"/>
        <v>14000</v>
      </c>
      <c r="AL166" s="1">
        <f>U166*R166</f>
        <v>14000</v>
      </c>
      <c r="AM166" s="1">
        <f>U166*R166-O166</f>
        <v>4000</v>
      </c>
      <c r="AN166" s="23">
        <f t="shared" si="29"/>
        <v>200</v>
      </c>
      <c r="AO166" s="24">
        <v>46255</v>
      </c>
      <c r="AP166" s="25">
        <v>46258</v>
      </c>
      <c r="AQ166" s="24">
        <v>46265</v>
      </c>
      <c r="AR166" s="1" t="s">
        <v>214</v>
      </c>
      <c r="AS166" s="1" t="s">
        <v>207</v>
      </c>
      <c r="AT166" s="26" t="s">
        <v>215</v>
      </c>
      <c r="AU166" s="26"/>
      <c r="AV166" s="27">
        <f t="shared" si="30"/>
        <v>0</v>
      </c>
    </row>
    <row r="167" spans="1:48" x14ac:dyDescent="0.25">
      <c r="A167" s="1" t="str">
        <f t="shared" si="31"/>
        <v>ACTIVE</v>
      </c>
      <c r="B167" s="2" t="s">
        <v>206</v>
      </c>
      <c r="C167" s="2" t="s">
        <v>207</v>
      </c>
      <c r="D167" s="2" t="s">
        <v>206</v>
      </c>
      <c r="E167" s="2" t="s">
        <v>208</v>
      </c>
      <c r="F167" s="2">
        <v>2286</v>
      </c>
      <c r="G167" s="1" t="s">
        <v>220</v>
      </c>
      <c r="H167" s="2" t="s">
        <v>210</v>
      </c>
      <c r="I167" s="2" t="s">
        <v>42</v>
      </c>
      <c r="J167" s="1" t="s">
        <v>481</v>
      </c>
      <c r="K167" s="2" t="s">
        <v>606</v>
      </c>
      <c r="L167" s="1" t="s">
        <v>603</v>
      </c>
      <c r="M167" s="1" t="s">
        <v>287</v>
      </c>
      <c r="N167" s="1">
        <v>9548812311</v>
      </c>
      <c r="O167" s="1">
        <v>10000</v>
      </c>
      <c r="P167" s="1">
        <v>800</v>
      </c>
      <c r="Q167" s="2">
        <f t="shared" si="22"/>
        <v>9200</v>
      </c>
      <c r="R167" s="1">
        <v>700</v>
      </c>
      <c r="S167" s="20">
        <f>T167*R167</f>
        <v>0</v>
      </c>
      <c r="T167" s="20"/>
      <c r="U167" s="1">
        <v>20</v>
      </c>
      <c r="V167" s="28">
        <v>0</v>
      </c>
      <c r="W167" s="1">
        <f t="shared" si="32"/>
        <v>20</v>
      </c>
      <c r="X167" s="1"/>
      <c r="Y167" s="21"/>
      <c r="Z167" s="1"/>
      <c r="AA167" s="1" t="s">
        <v>4</v>
      </c>
      <c r="AB167" s="2" t="s">
        <v>606</v>
      </c>
      <c r="AC167" s="21">
        <f>(T167+W167)*R167+X167-Y167</f>
        <v>14000</v>
      </c>
      <c r="AD167" s="1">
        <f>V167*R167-X167+Y167</f>
        <v>0</v>
      </c>
      <c r="AE167" s="1">
        <f t="shared" si="23"/>
        <v>0</v>
      </c>
      <c r="AF167" s="1">
        <v>20</v>
      </c>
      <c r="AG167" s="1">
        <f t="shared" si="24"/>
        <v>0</v>
      </c>
      <c r="AH167" s="1">
        <f t="shared" si="25"/>
        <v>0</v>
      </c>
      <c r="AI167" s="1" t="str">
        <f t="shared" si="26"/>
        <v>0-30</v>
      </c>
      <c r="AJ167" s="1" t="str">
        <f t="shared" si="27"/>
        <v>NO</v>
      </c>
      <c r="AK167" s="1">
        <f t="shared" si="28"/>
        <v>14000</v>
      </c>
      <c r="AL167" s="1">
        <f>U167*R167</f>
        <v>14000</v>
      </c>
      <c r="AM167" s="1">
        <f>U167*R167-O167</f>
        <v>4000</v>
      </c>
      <c r="AN167" s="23">
        <f t="shared" si="29"/>
        <v>200</v>
      </c>
      <c r="AO167" s="24">
        <v>46255</v>
      </c>
      <c r="AP167" s="25">
        <v>46258</v>
      </c>
      <c r="AQ167" s="24">
        <v>46273</v>
      </c>
      <c r="AR167" s="1" t="s">
        <v>214</v>
      </c>
      <c r="AS167" s="1" t="s">
        <v>207</v>
      </c>
      <c r="AT167" s="26" t="s">
        <v>215</v>
      </c>
      <c r="AU167" s="26"/>
      <c r="AV167" s="27">
        <f t="shared" si="30"/>
        <v>0</v>
      </c>
    </row>
    <row r="168" spans="1:48" x14ac:dyDescent="0.25">
      <c r="A168" s="1" t="str">
        <f t="shared" si="31"/>
        <v>ACTIVE</v>
      </c>
      <c r="B168" s="2" t="s">
        <v>206</v>
      </c>
      <c r="C168" s="2" t="s">
        <v>207</v>
      </c>
      <c r="D168" s="2" t="s">
        <v>206</v>
      </c>
      <c r="E168" s="2" t="s">
        <v>208</v>
      </c>
      <c r="F168" s="2">
        <v>2261</v>
      </c>
      <c r="G168" s="1" t="s">
        <v>216</v>
      </c>
      <c r="H168" s="2" t="s">
        <v>210</v>
      </c>
      <c r="I168" s="2" t="s">
        <v>42</v>
      </c>
      <c r="J168" s="1" t="s">
        <v>607</v>
      </c>
      <c r="K168" s="2" t="s">
        <v>608</v>
      </c>
      <c r="L168" s="1" t="s">
        <v>107</v>
      </c>
      <c r="M168" s="1" t="s">
        <v>133</v>
      </c>
      <c r="N168" s="1">
        <v>7453801265</v>
      </c>
      <c r="O168" s="1">
        <v>10000</v>
      </c>
      <c r="P168" s="1">
        <v>800</v>
      </c>
      <c r="Q168" s="2">
        <f t="shared" si="22"/>
        <v>9200</v>
      </c>
      <c r="R168" s="1">
        <v>700</v>
      </c>
      <c r="S168" s="20">
        <f>T168*R168</f>
        <v>0</v>
      </c>
      <c r="T168" s="20"/>
      <c r="U168" s="1">
        <v>20</v>
      </c>
      <c r="V168" s="28">
        <v>0</v>
      </c>
      <c r="W168" s="1">
        <f t="shared" si="32"/>
        <v>20</v>
      </c>
      <c r="X168" s="1"/>
      <c r="Y168" s="21"/>
      <c r="Z168" s="1"/>
      <c r="AA168" s="1" t="s">
        <v>4</v>
      </c>
      <c r="AB168" s="2" t="s">
        <v>608</v>
      </c>
      <c r="AC168" s="21">
        <f>(T168+W168)*R168+X168-Y168</f>
        <v>14000</v>
      </c>
      <c r="AD168" s="1">
        <f>V168*R168-X168+Y168</f>
        <v>0</v>
      </c>
      <c r="AE168" s="1">
        <f t="shared" si="23"/>
        <v>0</v>
      </c>
      <c r="AF168" s="1">
        <v>20</v>
      </c>
      <c r="AG168" s="1">
        <f t="shared" si="24"/>
        <v>0</v>
      </c>
      <c r="AH168" s="1">
        <f t="shared" si="25"/>
        <v>0</v>
      </c>
      <c r="AI168" s="1" t="str">
        <f t="shared" si="26"/>
        <v>0-30</v>
      </c>
      <c r="AJ168" s="1" t="str">
        <f t="shared" si="27"/>
        <v>NO</v>
      </c>
      <c r="AK168" s="1">
        <f t="shared" si="28"/>
        <v>14000</v>
      </c>
      <c r="AL168" s="1">
        <f>U168*R168</f>
        <v>14000</v>
      </c>
      <c r="AM168" s="1">
        <f>U168*R168-O168</f>
        <v>4000</v>
      </c>
      <c r="AN168" s="23">
        <f t="shared" si="29"/>
        <v>200</v>
      </c>
      <c r="AO168" s="24">
        <v>46255</v>
      </c>
      <c r="AP168" s="25">
        <v>46258</v>
      </c>
      <c r="AQ168" s="24">
        <v>46273</v>
      </c>
      <c r="AR168" s="1" t="s">
        <v>214</v>
      </c>
      <c r="AS168" s="1" t="s">
        <v>207</v>
      </c>
      <c r="AT168" s="26" t="s">
        <v>215</v>
      </c>
      <c r="AU168" s="26"/>
      <c r="AV168" s="27">
        <f t="shared" si="30"/>
        <v>0</v>
      </c>
    </row>
    <row r="169" spans="1:48" x14ac:dyDescent="0.25">
      <c r="A169" s="1" t="str">
        <f t="shared" si="31"/>
        <v>ACTIVE</v>
      </c>
      <c r="B169" s="2" t="s">
        <v>206</v>
      </c>
      <c r="C169" s="2" t="s">
        <v>207</v>
      </c>
      <c r="D169" s="2" t="s">
        <v>206</v>
      </c>
      <c r="E169" s="2" t="s">
        <v>208</v>
      </c>
      <c r="F169" s="2">
        <v>9797</v>
      </c>
      <c r="G169" s="1" t="s">
        <v>216</v>
      </c>
      <c r="H169" s="2" t="s">
        <v>210</v>
      </c>
      <c r="I169" s="2" t="s">
        <v>42</v>
      </c>
      <c r="J169" s="1" t="s">
        <v>609</v>
      </c>
      <c r="K169" s="2" t="s">
        <v>610</v>
      </c>
      <c r="L169" s="1" t="s">
        <v>91</v>
      </c>
      <c r="M169" s="1" t="s">
        <v>555</v>
      </c>
      <c r="N169" s="1">
        <v>9720979615</v>
      </c>
      <c r="O169" s="1">
        <v>15000</v>
      </c>
      <c r="P169" s="1">
        <v>1000</v>
      </c>
      <c r="Q169" s="2">
        <f t="shared" si="22"/>
        <v>14000</v>
      </c>
      <c r="R169" s="1">
        <v>820</v>
      </c>
      <c r="S169" s="20">
        <f>T169*R169</f>
        <v>0</v>
      </c>
      <c r="T169" s="20"/>
      <c r="U169" s="1">
        <v>25</v>
      </c>
      <c r="V169" s="28">
        <v>0</v>
      </c>
      <c r="W169" s="1">
        <f t="shared" si="32"/>
        <v>25</v>
      </c>
      <c r="X169" s="1"/>
      <c r="Y169" s="21"/>
      <c r="Z169" s="1"/>
      <c r="AA169" s="1" t="s">
        <v>7</v>
      </c>
      <c r="AB169" s="2" t="s">
        <v>610</v>
      </c>
      <c r="AC169" s="21">
        <f>(T169+W169)*R169+X169-Y169</f>
        <v>20500</v>
      </c>
      <c r="AD169" s="1">
        <f>V169*R169-X169+Y169</f>
        <v>0</v>
      </c>
      <c r="AE169" s="1">
        <f t="shared" si="23"/>
        <v>0</v>
      </c>
      <c r="AF169" s="1">
        <v>20</v>
      </c>
      <c r="AG169" s="1">
        <f t="shared" si="24"/>
        <v>0</v>
      </c>
      <c r="AH169" s="1">
        <f t="shared" si="25"/>
        <v>0</v>
      </c>
      <c r="AI169" s="1" t="str">
        <f t="shared" si="26"/>
        <v>0-30</v>
      </c>
      <c r="AJ169" s="1" t="str">
        <f t="shared" si="27"/>
        <v>NO</v>
      </c>
      <c r="AK169" s="1">
        <f t="shared" si="28"/>
        <v>20500</v>
      </c>
      <c r="AL169" s="1">
        <f>U169*R169</f>
        <v>20500</v>
      </c>
      <c r="AM169" s="1">
        <f>U169*R169-O169</f>
        <v>5500</v>
      </c>
      <c r="AN169" s="23">
        <f t="shared" si="29"/>
        <v>220</v>
      </c>
      <c r="AO169" s="24">
        <v>46255</v>
      </c>
      <c r="AP169" s="25">
        <v>46258</v>
      </c>
      <c r="AQ169" s="24">
        <v>46268</v>
      </c>
      <c r="AR169" s="1" t="s">
        <v>214</v>
      </c>
      <c r="AS169" s="1" t="s">
        <v>207</v>
      </c>
      <c r="AT169" s="26" t="s">
        <v>215</v>
      </c>
      <c r="AU169" s="26"/>
      <c r="AV169" s="27">
        <f t="shared" si="30"/>
        <v>0</v>
      </c>
    </row>
    <row r="170" spans="1:48" x14ac:dyDescent="0.25">
      <c r="A170" s="1" t="str">
        <f t="shared" si="31"/>
        <v>ACTIVE</v>
      </c>
      <c r="B170" s="2" t="s">
        <v>206</v>
      </c>
      <c r="C170" s="2" t="s">
        <v>207</v>
      </c>
      <c r="D170" s="2" t="s">
        <v>206</v>
      </c>
      <c r="E170" s="2" t="s">
        <v>208</v>
      </c>
      <c r="F170" s="2">
        <v>9336</v>
      </c>
      <c r="G170" s="1" t="s">
        <v>216</v>
      </c>
      <c r="H170" s="2" t="s">
        <v>210</v>
      </c>
      <c r="I170" s="2" t="s">
        <v>42</v>
      </c>
      <c r="J170" s="1" t="s">
        <v>481</v>
      </c>
      <c r="K170" s="2" t="s">
        <v>611</v>
      </c>
      <c r="L170" s="1" t="s">
        <v>93</v>
      </c>
      <c r="M170" s="1" t="s">
        <v>109</v>
      </c>
      <c r="N170" s="1">
        <v>9012735171</v>
      </c>
      <c r="O170" s="1">
        <v>15000</v>
      </c>
      <c r="P170" s="1">
        <v>1000</v>
      </c>
      <c r="Q170" s="2">
        <f t="shared" si="22"/>
        <v>14000</v>
      </c>
      <c r="R170" s="1">
        <v>820</v>
      </c>
      <c r="S170" s="20">
        <f>T170*R170</f>
        <v>0</v>
      </c>
      <c r="T170" s="20"/>
      <c r="U170" s="1">
        <v>25</v>
      </c>
      <c r="V170" s="28">
        <v>0</v>
      </c>
      <c r="W170" s="1">
        <f t="shared" si="32"/>
        <v>25</v>
      </c>
      <c r="X170" s="1"/>
      <c r="Y170" s="21"/>
      <c r="Z170" s="1"/>
      <c r="AA170" s="1" t="s">
        <v>7</v>
      </c>
      <c r="AB170" s="2" t="s">
        <v>611</v>
      </c>
      <c r="AC170" s="21">
        <f>(T170+W170)*R170+X170-Y170</f>
        <v>20500</v>
      </c>
      <c r="AD170" s="1">
        <f>V170*R170-X170+Y170</f>
        <v>0</v>
      </c>
      <c r="AE170" s="1">
        <f t="shared" si="23"/>
        <v>0</v>
      </c>
      <c r="AF170" s="1">
        <v>20</v>
      </c>
      <c r="AG170" s="1">
        <f t="shared" si="24"/>
        <v>0</v>
      </c>
      <c r="AH170" s="1">
        <f t="shared" si="25"/>
        <v>0</v>
      </c>
      <c r="AI170" s="1" t="str">
        <f t="shared" si="26"/>
        <v>0-30</v>
      </c>
      <c r="AJ170" s="1" t="str">
        <f t="shared" si="27"/>
        <v>NO</v>
      </c>
      <c r="AK170" s="1">
        <f t="shared" si="28"/>
        <v>20500</v>
      </c>
      <c r="AL170" s="1">
        <f>U170*R170</f>
        <v>20500</v>
      </c>
      <c r="AM170" s="1">
        <f>U170*R170-O170</f>
        <v>5500</v>
      </c>
      <c r="AN170" s="23">
        <f t="shared" si="29"/>
        <v>220</v>
      </c>
      <c r="AO170" s="24">
        <v>46255</v>
      </c>
      <c r="AP170" s="25">
        <v>46258</v>
      </c>
      <c r="AQ170" s="24">
        <v>46268</v>
      </c>
      <c r="AR170" s="1" t="s">
        <v>214</v>
      </c>
      <c r="AS170" s="1" t="s">
        <v>207</v>
      </c>
      <c r="AT170" s="26" t="s">
        <v>215</v>
      </c>
      <c r="AU170" s="26"/>
      <c r="AV170" s="27">
        <f t="shared" si="30"/>
        <v>0</v>
      </c>
    </row>
    <row r="171" spans="1:48" x14ac:dyDescent="0.25">
      <c r="A171" s="1" t="str">
        <f t="shared" si="31"/>
        <v>ACTIVE</v>
      </c>
      <c r="B171" s="2" t="s">
        <v>206</v>
      </c>
      <c r="C171" s="2" t="s">
        <v>207</v>
      </c>
      <c r="D171" s="2" t="s">
        <v>206</v>
      </c>
      <c r="E171" s="2" t="s">
        <v>208</v>
      </c>
      <c r="F171" s="2">
        <v>533</v>
      </c>
      <c r="G171" s="1" t="s">
        <v>216</v>
      </c>
      <c r="H171" s="2" t="s">
        <v>210</v>
      </c>
      <c r="I171" s="2" t="s">
        <v>42</v>
      </c>
      <c r="J171" s="1" t="s">
        <v>481</v>
      </c>
      <c r="K171" s="2" t="s">
        <v>612</v>
      </c>
      <c r="L171" s="1" t="s">
        <v>613</v>
      </c>
      <c r="M171" s="1" t="s">
        <v>614</v>
      </c>
      <c r="N171" s="1">
        <v>7453922338</v>
      </c>
      <c r="O171" s="1">
        <v>15000</v>
      </c>
      <c r="P171" s="1">
        <v>1000</v>
      </c>
      <c r="Q171" s="2">
        <f t="shared" si="22"/>
        <v>14000</v>
      </c>
      <c r="R171" s="1">
        <v>820</v>
      </c>
      <c r="S171" s="20">
        <f>T171*R171</f>
        <v>0</v>
      </c>
      <c r="T171" s="20"/>
      <c r="U171" s="1">
        <v>25</v>
      </c>
      <c r="V171" s="28">
        <v>0</v>
      </c>
      <c r="W171" s="1">
        <f t="shared" si="32"/>
        <v>25</v>
      </c>
      <c r="X171" s="1"/>
      <c r="Y171" s="21"/>
      <c r="Z171" s="1"/>
      <c r="AA171" s="1" t="s">
        <v>7</v>
      </c>
      <c r="AB171" s="2" t="s">
        <v>612</v>
      </c>
      <c r="AC171" s="21">
        <f>(T171+W171)*R171+X171-Y171</f>
        <v>20500</v>
      </c>
      <c r="AD171" s="1">
        <f>V171*R171-X171+Y171</f>
        <v>0</v>
      </c>
      <c r="AE171" s="1">
        <f t="shared" si="23"/>
        <v>0</v>
      </c>
      <c r="AF171" s="1">
        <v>20</v>
      </c>
      <c r="AG171" s="1">
        <f t="shared" si="24"/>
        <v>0</v>
      </c>
      <c r="AH171" s="1">
        <f t="shared" si="25"/>
        <v>0</v>
      </c>
      <c r="AI171" s="1" t="str">
        <f t="shared" si="26"/>
        <v>0-30</v>
      </c>
      <c r="AJ171" s="1" t="str">
        <f t="shared" si="27"/>
        <v>NO</v>
      </c>
      <c r="AK171" s="1">
        <f t="shared" si="28"/>
        <v>20500</v>
      </c>
      <c r="AL171" s="1">
        <f>U171*R171</f>
        <v>20500</v>
      </c>
      <c r="AM171" s="1">
        <f>U171*R171-O171</f>
        <v>5500</v>
      </c>
      <c r="AN171" s="23">
        <f t="shared" si="29"/>
        <v>220</v>
      </c>
      <c r="AO171" s="24">
        <v>46255</v>
      </c>
      <c r="AP171" s="25">
        <v>46258</v>
      </c>
      <c r="AQ171" s="24">
        <v>46268</v>
      </c>
      <c r="AR171" s="1" t="s">
        <v>214</v>
      </c>
      <c r="AS171" s="1" t="s">
        <v>207</v>
      </c>
      <c r="AT171" s="26" t="s">
        <v>215</v>
      </c>
      <c r="AU171" s="26"/>
      <c r="AV171" s="27">
        <f t="shared" si="30"/>
        <v>0</v>
      </c>
    </row>
    <row r="172" spans="1:48" x14ac:dyDescent="0.25">
      <c r="A172" s="1" t="str">
        <f t="shared" si="31"/>
        <v>ACTIVE</v>
      </c>
      <c r="B172" s="2" t="s">
        <v>206</v>
      </c>
      <c r="C172" s="2" t="s">
        <v>207</v>
      </c>
      <c r="D172" s="2" t="s">
        <v>206</v>
      </c>
      <c r="E172" s="2" t="s">
        <v>208</v>
      </c>
      <c r="F172" s="2">
        <v>3412</v>
      </c>
      <c r="G172" s="1" t="s">
        <v>220</v>
      </c>
      <c r="H172" s="2" t="s">
        <v>210</v>
      </c>
      <c r="I172" s="2" t="s">
        <v>42</v>
      </c>
      <c r="J172" s="1" t="s">
        <v>288</v>
      </c>
      <c r="K172" s="2" t="s">
        <v>615</v>
      </c>
      <c r="L172" s="1" t="s">
        <v>101</v>
      </c>
      <c r="M172" s="1" t="s">
        <v>616</v>
      </c>
      <c r="N172" s="1">
        <v>8445758285</v>
      </c>
      <c r="O172" s="1">
        <v>15000</v>
      </c>
      <c r="P172" s="1">
        <v>1000</v>
      </c>
      <c r="Q172" s="2">
        <f t="shared" si="22"/>
        <v>14000</v>
      </c>
      <c r="R172" s="1">
        <v>820</v>
      </c>
      <c r="S172" s="20">
        <f>T172*R172</f>
        <v>0</v>
      </c>
      <c r="T172" s="20"/>
      <c r="U172" s="1">
        <v>25</v>
      </c>
      <c r="V172" s="28">
        <v>0</v>
      </c>
      <c r="W172" s="1">
        <f t="shared" si="32"/>
        <v>25</v>
      </c>
      <c r="X172" s="1"/>
      <c r="Y172" s="21"/>
      <c r="Z172" s="1"/>
      <c r="AA172" s="1" t="s">
        <v>7</v>
      </c>
      <c r="AB172" s="2" t="s">
        <v>615</v>
      </c>
      <c r="AC172" s="21">
        <f>(T172+W172)*R172+X172-Y172</f>
        <v>20500</v>
      </c>
      <c r="AD172" s="1">
        <f>V172*R172-X172+Y172</f>
        <v>0</v>
      </c>
      <c r="AE172" s="1">
        <f t="shared" si="23"/>
        <v>0</v>
      </c>
      <c r="AF172" s="1">
        <v>20</v>
      </c>
      <c r="AG172" s="1">
        <f t="shared" si="24"/>
        <v>0</v>
      </c>
      <c r="AH172" s="1">
        <f t="shared" si="25"/>
        <v>0</v>
      </c>
      <c r="AI172" s="1" t="str">
        <f t="shared" si="26"/>
        <v>0-30</v>
      </c>
      <c r="AJ172" s="1" t="str">
        <f t="shared" si="27"/>
        <v>NO</v>
      </c>
      <c r="AK172" s="1">
        <f t="shared" si="28"/>
        <v>20500</v>
      </c>
      <c r="AL172" s="1">
        <f>U172*R172</f>
        <v>20500</v>
      </c>
      <c r="AM172" s="1">
        <f>U172*R172-O172</f>
        <v>5500</v>
      </c>
      <c r="AN172" s="23">
        <f t="shared" si="29"/>
        <v>220</v>
      </c>
      <c r="AO172" s="24">
        <v>46255</v>
      </c>
      <c r="AP172" s="25">
        <v>46258</v>
      </c>
      <c r="AQ172" s="24">
        <v>46268</v>
      </c>
      <c r="AR172" s="1" t="s">
        <v>214</v>
      </c>
      <c r="AS172" s="1" t="s">
        <v>207</v>
      </c>
      <c r="AT172" s="26" t="s">
        <v>215</v>
      </c>
      <c r="AU172" s="26"/>
      <c r="AV172" s="27">
        <f t="shared" si="30"/>
        <v>0</v>
      </c>
    </row>
    <row r="173" spans="1:48" x14ac:dyDescent="0.25">
      <c r="A173" s="1" t="str">
        <f t="shared" si="31"/>
        <v>ACTIVE</v>
      </c>
      <c r="B173" s="2" t="s">
        <v>206</v>
      </c>
      <c r="C173" s="2" t="s">
        <v>207</v>
      </c>
      <c r="D173" s="2" t="s">
        <v>206</v>
      </c>
      <c r="E173" s="2" t="s">
        <v>208</v>
      </c>
      <c r="F173" s="2">
        <v>6940</v>
      </c>
      <c r="G173" s="1" t="s">
        <v>220</v>
      </c>
      <c r="H173" s="2" t="s">
        <v>210</v>
      </c>
      <c r="I173" s="2" t="s">
        <v>42</v>
      </c>
      <c r="J173" s="1" t="s">
        <v>481</v>
      </c>
      <c r="K173" s="2" t="s">
        <v>617</v>
      </c>
      <c r="L173" s="1" t="s">
        <v>93</v>
      </c>
      <c r="M173" s="1" t="s">
        <v>90</v>
      </c>
      <c r="N173" s="1">
        <v>8126781722</v>
      </c>
      <c r="O173" s="1">
        <v>10000</v>
      </c>
      <c r="P173" s="1">
        <v>800</v>
      </c>
      <c r="Q173" s="2">
        <f t="shared" si="22"/>
        <v>9200</v>
      </c>
      <c r="R173" s="1">
        <v>700</v>
      </c>
      <c r="S173" s="20">
        <f>T173*R173</f>
        <v>0</v>
      </c>
      <c r="T173" s="20"/>
      <c r="U173" s="1">
        <v>20</v>
      </c>
      <c r="V173" s="28">
        <v>0</v>
      </c>
      <c r="W173" s="1">
        <f t="shared" si="32"/>
        <v>20</v>
      </c>
      <c r="X173" s="1"/>
      <c r="Y173" s="21"/>
      <c r="Z173" s="1"/>
      <c r="AA173" s="1" t="s">
        <v>4</v>
      </c>
      <c r="AB173" s="2" t="s">
        <v>617</v>
      </c>
      <c r="AC173" s="21">
        <f>(T173+W173)*R173+X173-Y173</f>
        <v>14000</v>
      </c>
      <c r="AD173" s="1">
        <f>V173*R173-X173+Y173</f>
        <v>0</v>
      </c>
      <c r="AE173" s="1">
        <f t="shared" si="23"/>
        <v>0</v>
      </c>
      <c r="AF173" s="1">
        <v>20</v>
      </c>
      <c r="AG173" s="1">
        <f t="shared" si="24"/>
        <v>0</v>
      </c>
      <c r="AH173" s="1">
        <f t="shared" si="25"/>
        <v>0</v>
      </c>
      <c r="AI173" s="1" t="str">
        <f t="shared" si="26"/>
        <v>0-30</v>
      </c>
      <c r="AJ173" s="1" t="str">
        <f t="shared" si="27"/>
        <v>NO</v>
      </c>
      <c r="AK173" s="1">
        <f t="shared" si="28"/>
        <v>14000</v>
      </c>
      <c r="AL173" s="1">
        <f>U173*R173</f>
        <v>14000</v>
      </c>
      <c r="AM173" s="1">
        <f>U173*R173-O173</f>
        <v>4000</v>
      </c>
      <c r="AN173" s="23">
        <f t="shared" si="29"/>
        <v>200</v>
      </c>
      <c r="AO173" s="24">
        <v>46255</v>
      </c>
      <c r="AP173" s="25">
        <v>46260</v>
      </c>
      <c r="AQ173" s="24">
        <v>46273</v>
      </c>
      <c r="AR173" s="1" t="s">
        <v>214</v>
      </c>
      <c r="AS173" s="1" t="s">
        <v>207</v>
      </c>
      <c r="AT173" s="26" t="s">
        <v>215</v>
      </c>
      <c r="AU173" s="26"/>
      <c r="AV173" s="27">
        <f t="shared" si="30"/>
        <v>0</v>
      </c>
    </row>
    <row r="174" spans="1:48" x14ac:dyDescent="0.25">
      <c r="A174" s="1" t="str">
        <f t="shared" si="31"/>
        <v>ACTIVE</v>
      </c>
      <c r="B174" s="2" t="s">
        <v>206</v>
      </c>
      <c r="C174" s="2" t="s">
        <v>207</v>
      </c>
      <c r="D174" s="2" t="s">
        <v>206</v>
      </c>
      <c r="E174" s="2" t="s">
        <v>208</v>
      </c>
      <c r="F174" s="2">
        <v>8492</v>
      </c>
      <c r="G174" s="1" t="s">
        <v>220</v>
      </c>
      <c r="H174" s="2" t="s">
        <v>210</v>
      </c>
      <c r="I174" s="2" t="s">
        <v>42</v>
      </c>
      <c r="J174" s="1" t="s">
        <v>211</v>
      </c>
      <c r="K174" s="2" t="s">
        <v>618</v>
      </c>
      <c r="L174" s="1" t="s">
        <v>619</v>
      </c>
      <c r="M174" s="1" t="s">
        <v>620</v>
      </c>
      <c r="N174" s="1">
        <v>9520783820</v>
      </c>
      <c r="O174" s="1">
        <v>10000</v>
      </c>
      <c r="P174" s="1">
        <v>800</v>
      </c>
      <c r="Q174" s="2">
        <f t="shared" si="22"/>
        <v>9200</v>
      </c>
      <c r="R174" s="1">
        <v>700</v>
      </c>
      <c r="S174" s="20">
        <f>T174*R174</f>
        <v>0</v>
      </c>
      <c r="T174" s="20"/>
      <c r="U174" s="1">
        <v>20</v>
      </c>
      <c r="V174" s="28">
        <v>0</v>
      </c>
      <c r="W174" s="1">
        <f t="shared" si="32"/>
        <v>20</v>
      </c>
      <c r="X174" s="1"/>
      <c r="Y174" s="21"/>
      <c r="Z174" s="1"/>
      <c r="AA174" s="1" t="s">
        <v>6</v>
      </c>
      <c r="AB174" s="2" t="s">
        <v>618</v>
      </c>
      <c r="AC174" s="21">
        <f>(T174+W174)*R174+X174-Y174</f>
        <v>14000</v>
      </c>
      <c r="AD174" s="1">
        <f>V174*R174-X174+Y174</f>
        <v>0</v>
      </c>
      <c r="AE174" s="1">
        <f t="shared" si="23"/>
        <v>0</v>
      </c>
      <c r="AF174" s="1">
        <v>20</v>
      </c>
      <c r="AG174" s="1">
        <f t="shared" si="24"/>
        <v>0</v>
      </c>
      <c r="AH174" s="1">
        <f t="shared" si="25"/>
        <v>0</v>
      </c>
      <c r="AI174" s="1" t="str">
        <f t="shared" si="26"/>
        <v>0-30</v>
      </c>
      <c r="AJ174" s="1" t="str">
        <f t="shared" si="27"/>
        <v>NO</v>
      </c>
      <c r="AK174" s="1">
        <f t="shared" si="28"/>
        <v>14000</v>
      </c>
      <c r="AL174" s="1">
        <f>U174*R174</f>
        <v>14000</v>
      </c>
      <c r="AM174" s="1">
        <f>U174*R174-O174</f>
        <v>4000</v>
      </c>
      <c r="AN174" s="23">
        <f t="shared" si="29"/>
        <v>200</v>
      </c>
      <c r="AO174" s="24">
        <v>46255</v>
      </c>
      <c r="AP174" s="25">
        <v>46260</v>
      </c>
      <c r="AQ174" s="24">
        <v>46272</v>
      </c>
      <c r="AR174" s="1" t="s">
        <v>214</v>
      </c>
      <c r="AS174" s="1" t="s">
        <v>207</v>
      </c>
      <c r="AT174" s="26" t="s">
        <v>215</v>
      </c>
      <c r="AU174" s="26"/>
      <c r="AV174" s="27">
        <f t="shared" si="30"/>
        <v>0</v>
      </c>
    </row>
    <row r="175" spans="1:48" x14ac:dyDescent="0.25">
      <c r="A175" s="1" t="str">
        <f t="shared" si="31"/>
        <v>ACTIVE</v>
      </c>
      <c r="B175" s="2" t="s">
        <v>206</v>
      </c>
      <c r="C175" s="2" t="s">
        <v>207</v>
      </c>
      <c r="D175" s="2" t="s">
        <v>206</v>
      </c>
      <c r="E175" s="2" t="s">
        <v>208</v>
      </c>
      <c r="F175" s="2">
        <v>2136</v>
      </c>
      <c r="G175" s="1" t="s">
        <v>216</v>
      </c>
      <c r="H175" s="2" t="s">
        <v>210</v>
      </c>
      <c r="I175" s="2" t="s">
        <v>42</v>
      </c>
      <c r="J175" s="1" t="s">
        <v>228</v>
      </c>
      <c r="K175" s="2" t="s">
        <v>621</v>
      </c>
      <c r="L175" s="1" t="s">
        <v>622</v>
      </c>
      <c r="M175" s="1" t="s">
        <v>623</v>
      </c>
      <c r="N175" s="1">
        <v>8439335609</v>
      </c>
      <c r="O175" s="1">
        <v>10000</v>
      </c>
      <c r="P175" s="1">
        <v>800</v>
      </c>
      <c r="Q175" s="2">
        <f t="shared" si="22"/>
        <v>9200</v>
      </c>
      <c r="R175" s="1">
        <v>700</v>
      </c>
      <c r="S175" s="20">
        <f>T175*R175</f>
        <v>0</v>
      </c>
      <c r="T175" s="20"/>
      <c r="U175" s="1">
        <v>20</v>
      </c>
      <c r="V175" s="28">
        <v>0</v>
      </c>
      <c r="W175" s="1">
        <f t="shared" si="32"/>
        <v>20</v>
      </c>
      <c r="X175" s="1"/>
      <c r="Y175" s="21"/>
      <c r="Z175" s="1"/>
      <c r="AA175" s="1" t="s">
        <v>5</v>
      </c>
      <c r="AB175" s="2" t="s">
        <v>621</v>
      </c>
      <c r="AC175" s="21">
        <f>(T175+W175)*R175+X175-Y175</f>
        <v>14000</v>
      </c>
      <c r="AD175" s="1">
        <f>V175*R175-X175+Y175</f>
        <v>0</v>
      </c>
      <c r="AE175" s="1">
        <f t="shared" si="23"/>
        <v>0</v>
      </c>
      <c r="AF175" s="1">
        <v>20</v>
      </c>
      <c r="AG175" s="1">
        <f t="shared" si="24"/>
        <v>0</v>
      </c>
      <c r="AH175" s="1">
        <f t="shared" si="25"/>
        <v>0</v>
      </c>
      <c r="AI175" s="1" t="str">
        <f t="shared" si="26"/>
        <v>0-30</v>
      </c>
      <c r="AJ175" s="1" t="str">
        <f t="shared" si="27"/>
        <v>NO</v>
      </c>
      <c r="AK175" s="1">
        <f t="shared" si="28"/>
        <v>14000</v>
      </c>
      <c r="AL175" s="1">
        <f>U175*R175</f>
        <v>14000</v>
      </c>
      <c r="AM175" s="1">
        <f>U175*R175-O175</f>
        <v>4000</v>
      </c>
      <c r="AN175" s="23">
        <f t="shared" si="29"/>
        <v>200</v>
      </c>
      <c r="AO175" s="24">
        <v>46255</v>
      </c>
      <c r="AP175" s="25">
        <v>46260</v>
      </c>
      <c r="AQ175" s="24">
        <v>46269</v>
      </c>
      <c r="AR175" s="1" t="s">
        <v>214</v>
      </c>
      <c r="AS175" s="1" t="s">
        <v>207</v>
      </c>
      <c r="AT175" s="26" t="s">
        <v>215</v>
      </c>
      <c r="AU175" s="26"/>
      <c r="AV175" s="27">
        <f t="shared" si="30"/>
        <v>0</v>
      </c>
    </row>
    <row r="176" spans="1:48" x14ac:dyDescent="0.25">
      <c r="A176" s="1" t="str">
        <f t="shared" si="31"/>
        <v>ACTIVE</v>
      </c>
      <c r="B176" s="2" t="s">
        <v>206</v>
      </c>
      <c r="C176" s="2" t="s">
        <v>207</v>
      </c>
      <c r="D176" s="2" t="s">
        <v>206</v>
      </c>
      <c r="E176" s="2" t="s">
        <v>208</v>
      </c>
      <c r="F176" s="2">
        <v>5709</v>
      </c>
      <c r="G176" s="1" t="s">
        <v>216</v>
      </c>
      <c r="H176" s="2" t="s">
        <v>210</v>
      </c>
      <c r="I176" s="2" t="s">
        <v>42</v>
      </c>
      <c r="J176" s="1" t="s">
        <v>624</v>
      </c>
      <c r="K176" s="2" t="s">
        <v>625</v>
      </c>
      <c r="L176" s="1" t="s">
        <v>626</v>
      </c>
      <c r="M176" s="1" t="s">
        <v>149</v>
      </c>
      <c r="N176" s="1">
        <v>8006436209</v>
      </c>
      <c r="O176" s="1">
        <v>15000</v>
      </c>
      <c r="P176" s="1">
        <v>1000</v>
      </c>
      <c r="Q176" s="2">
        <f t="shared" si="22"/>
        <v>14000</v>
      </c>
      <c r="R176" s="1">
        <v>820</v>
      </c>
      <c r="S176" s="20">
        <f>T176*R176</f>
        <v>0</v>
      </c>
      <c r="T176" s="20"/>
      <c r="U176" s="1">
        <v>25</v>
      </c>
      <c r="V176" s="28">
        <v>0</v>
      </c>
      <c r="W176" s="1">
        <f t="shared" si="32"/>
        <v>25</v>
      </c>
      <c r="X176" s="1"/>
      <c r="Y176" s="21"/>
      <c r="Z176" s="1"/>
      <c r="AA176" s="1" t="s">
        <v>3</v>
      </c>
      <c r="AB176" s="2" t="s">
        <v>625</v>
      </c>
      <c r="AC176" s="21">
        <f>(T176+W176)*R176+X176-Y176</f>
        <v>20500</v>
      </c>
      <c r="AD176" s="1">
        <f>V176*R176-X176+Y176</f>
        <v>0</v>
      </c>
      <c r="AE176" s="1">
        <f t="shared" si="23"/>
        <v>0</v>
      </c>
      <c r="AF176" s="1">
        <v>20</v>
      </c>
      <c r="AG176" s="1">
        <f t="shared" si="24"/>
        <v>0</v>
      </c>
      <c r="AH176" s="1">
        <f t="shared" si="25"/>
        <v>0</v>
      </c>
      <c r="AI176" s="1" t="str">
        <f t="shared" si="26"/>
        <v>0-30</v>
      </c>
      <c r="AJ176" s="1" t="str">
        <f t="shared" si="27"/>
        <v>NO</v>
      </c>
      <c r="AK176" s="1">
        <f t="shared" si="28"/>
        <v>20500</v>
      </c>
      <c r="AL176" s="1">
        <f>U176*R176</f>
        <v>20500</v>
      </c>
      <c r="AM176" s="1">
        <f>U176*R176-O176</f>
        <v>5500</v>
      </c>
      <c r="AN176" s="23">
        <f t="shared" si="29"/>
        <v>220</v>
      </c>
      <c r="AO176" s="24">
        <v>46255</v>
      </c>
      <c r="AP176" s="25">
        <v>46260</v>
      </c>
      <c r="AQ176" s="24">
        <v>46274</v>
      </c>
      <c r="AR176" s="1" t="s">
        <v>214</v>
      </c>
      <c r="AS176" s="1" t="s">
        <v>207</v>
      </c>
      <c r="AT176" s="26" t="s">
        <v>215</v>
      </c>
      <c r="AU176" s="26"/>
      <c r="AV176" s="27">
        <f t="shared" si="30"/>
        <v>0</v>
      </c>
    </row>
    <row r="177" spans="1:48" x14ac:dyDescent="0.25">
      <c r="A177" s="1"/>
      <c r="B177" s="2"/>
      <c r="C177" s="2"/>
      <c r="D177" s="2"/>
      <c r="E177" s="2"/>
      <c r="F177" s="2"/>
      <c r="G177" s="1"/>
      <c r="H177" s="2"/>
      <c r="I177" s="2"/>
      <c r="J177" s="1"/>
      <c r="K177" s="2"/>
      <c r="L177" s="1"/>
      <c r="M177" s="1"/>
      <c r="N177" s="1"/>
      <c r="O177" s="1"/>
      <c r="P177" s="1"/>
      <c r="Q177" s="2"/>
      <c r="R177" s="1"/>
      <c r="S177" s="20"/>
      <c r="T177" s="20"/>
      <c r="U177" s="1"/>
      <c r="V177" s="28"/>
      <c r="W177" s="1"/>
      <c r="X177" s="1"/>
      <c r="Y177" s="21"/>
      <c r="Z177" s="1"/>
      <c r="AA177" s="1"/>
      <c r="AB177" s="2"/>
      <c r="AC177" s="2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23"/>
      <c r="AO177" s="24"/>
      <c r="AP177" s="25"/>
      <c r="AQ177" s="24"/>
      <c r="AR177" s="1"/>
      <c r="AS177" s="1"/>
      <c r="AT177" s="26"/>
      <c r="AU177" s="26"/>
      <c r="AV177" s="27"/>
    </row>
    <row r="178" spans="1:48" x14ac:dyDescent="0.25">
      <c r="A178" s="1"/>
      <c r="B178" s="2"/>
      <c r="C178" s="2"/>
      <c r="D178" s="2"/>
      <c r="E178" s="2"/>
      <c r="F178" s="2"/>
      <c r="G178" s="1"/>
      <c r="H178" s="2"/>
      <c r="I178" s="2"/>
      <c r="J178" s="1"/>
      <c r="K178" s="1"/>
      <c r="L178" s="1"/>
      <c r="M178" s="1"/>
      <c r="N178" s="1"/>
      <c r="O178" s="1"/>
      <c r="P178" s="1"/>
      <c r="Q178" s="2"/>
      <c r="R178" s="1"/>
      <c r="S178" s="20"/>
      <c r="T178" s="20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23"/>
      <c r="AO178" s="24"/>
      <c r="AP178" s="25"/>
      <c r="AQ178" s="24"/>
      <c r="AR178" s="1"/>
      <c r="AS178" s="1"/>
      <c r="AT178" s="26"/>
      <c r="AU178" s="26"/>
      <c r="AV178" s="27"/>
    </row>
    <row r="179" spans="1:48" s="41" customFormat="1" ht="21" x14ac:dyDescent="0.35">
      <c r="A179" s="32"/>
      <c r="B179" s="33"/>
      <c r="C179" s="33"/>
      <c r="D179" s="33"/>
      <c r="E179" s="33"/>
      <c r="F179" s="33"/>
      <c r="G179" s="32"/>
      <c r="H179" s="33"/>
      <c r="I179" s="33"/>
      <c r="J179" s="32"/>
      <c r="K179" s="32"/>
      <c r="L179" s="32"/>
      <c r="M179" s="32"/>
      <c r="N179" s="32"/>
      <c r="O179" s="34">
        <f>SUM(O3:O178)</f>
        <v>2660000</v>
      </c>
      <c r="P179" s="34">
        <f>SUM(P3:P178)</f>
        <v>174100</v>
      </c>
      <c r="Q179" s="34">
        <f>SUM(Q3:Q178)</f>
        <v>2485900</v>
      </c>
      <c r="R179" s="32"/>
      <c r="S179" s="35"/>
      <c r="T179" s="35"/>
      <c r="U179" s="32"/>
      <c r="V179" s="32"/>
      <c r="W179" s="32"/>
      <c r="X179" s="32"/>
      <c r="Y179" s="32"/>
      <c r="Z179" s="32"/>
      <c r="AA179" s="32"/>
      <c r="AB179" s="32"/>
      <c r="AC179" s="34">
        <f>SUM(AC3:AC178)</f>
        <v>3073160</v>
      </c>
      <c r="AD179" s="34">
        <f>SUM(AD3:AD178)</f>
        <v>562240</v>
      </c>
      <c r="AE179" s="32"/>
      <c r="AF179" s="32"/>
      <c r="AG179" s="32"/>
      <c r="AH179" s="32"/>
      <c r="AI179" s="32"/>
      <c r="AJ179" s="32"/>
      <c r="AK179" s="32"/>
      <c r="AL179" s="32"/>
      <c r="AM179" s="32"/>
      <c r="AN179" s="36"/>
      <c r="AO179" s="37"/>
      <c r="AP179" s="38"/>
      <c r="AQ179" s="37"/>
      <c r="AR179" s="32"/>
      <c r="AS179" s="32"/>
      <c r="AT179" s="39"/>
      <c r="AU179" s="39"/>
      <c r="AV179" s="40"/>
    </row>
    <row r="181" spans="1:48" x14ac:dyDescent="0.25">
      <c r="K181" s="42"/>
      <c r="L181" s="42"/>
    </row>
    <row r="182" spans="1:48" ht="26.25" x14ac:dyDescent="0.4">
      <c r="K182" s="44"/>
      <c r="L182" s="42"/>
      <c r="S182" s="46">
        <v>46260</v>
      </c>
      <c r="T182" s="47" t="s">
        <v>75</v>
      </c>
      <c r="U182" s="47"/>
      <c r="V182" s="47"/>
      <c r="W182" s="47"/>
      <c r="X182" s="47"/>
      <c r="Y182" s="47"/>
      <c r="Z182" s="47"/>
      <c r="AA182" s="47"/>
      <c r="AB182" s="48">
        <v>3073160</v>
      </c>
    </row>
    <row r="183" spans="1:48" ht="21" x14ac:dyDescent="0.3">
      <c r="K183" s="49"/>
      <c r="L183" s="42"/>
      <c r="W183" s="50"/>
      <c r="AB183" s="45">
        <f>AB182-AC179</f>
        <v>0</v>
      </c>
    </row>
    <row r="184" spans="1:48" x14ac:dyDescent="0.25">
      <c r="K184" s="42"/>
      <c r="L184" s="42"/>
    </row>
  </sheetData>
  <mergeCells count="2">
    <mergeCell ref="A1:AV1"/>
    <mergeCell ref="T182:AA182"/>
  </mergeCells>
  <conditionalFormatting sqref="AR3:AR179">
    <cfRule type="containsText" dxfId="1" priority="1" operator="containsText" text="CLOSE">
      <formula>NOT(ISERROR(SEARCH("CLOSE",AR3)))</formula>
    </cfRule>
    <cfRule type="containsText" dxfId="0" priority="2" operator="containsText" text="ACTIVE">
      <formula>NOT(ISERROR(SEARCH("ACTIVE",AR3)))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6c01e9-cad2-41d3-9243-0e0a938d19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9B4C9CBF00F44993DFC43D0A40AFC" ma:contentTypeVersion="9" ma:contentTypeDescription="Create a new document." ma:contentTypeScope="" ma:versionID="38d7f55f8542f3ae3ca242c79d58628f">
  <xsd:schema xmlns:xsd="http://www.w3.org/2001/XMLSchema" xmlns:xs="http://www.w3.org/2001/XMLSchema" xmlns:p="http://schemas.microsoft.com/office/2006/metadata/properties" xmlns:ns3="786c01e9-cad2-41d3-9243-0e0a938d19ea" targetNamespace="http://schemas.microsoft.com/office/2006/metadata/properties" ma:root="true" ma:fieldsID="15079f111ad50d3fbf105ab435ca8bf0" ns3:_="">
    <xsd:import namespace="786c01e9-cad2-41d3-9243-0e0a938d19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c01e9-cad2-41d3-9243-0e0a938d19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5453FA-A292-434C-B669-E5214816D33C}">
  <ds:schemaRefs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786c01e9-cad2-41d3-9243-0e0a938d19ea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C5FB465-0C42-433F-BF5F-B2A7BD8AF7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c01e9-cad2-41d3-9243-0e0a938d19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1ACBA0-0E51-4827-9F09-169ABFFEF4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HARIDWAR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Muskaan Arora</dc:creator>
  <cp:lastModifiedBy>Muskaan Arora</cp:lastModifiedBy>
  <cp:lastPrinted>2026-07-01T08:08:35Z</cp:lastPrinted>
  <dcterms:created xsi:type="dcterms:W3CDTF">2026-05-19T09:23:51Z</dcterms:created>
  <dcterms:modified xsi:type="dcterms:W3CDTF">2026-08-27T08:27:53Z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0x010100DB19B4C9CBF00F44993DFC43D0A40AFC</vt:lpwstr>
  </property>
</Properties>
</file>