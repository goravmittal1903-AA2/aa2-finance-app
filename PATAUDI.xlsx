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SARSAWA NEW DATA\"/>
    </mc:Choice>
  </mc:AlternateContent>
  <xr:revisionPtr revIDLastSave="0" documentId="13_ncr:1_{814AED2E-1664-4CCA-BF6A-B6A45326DCC9}" xr6:coauthVersionLast="47" xr6:coauthVersionMax="47" xr10:uidLastSave="{00000000-0000-0000-0000-000000000000}"/>
  <bookViews>
    <workbookView xWindow="-120" yWindow="-120" windowWidth="20730" windowHeight="11040" tabRatio="541" activeTab="2" xr2:uid="{00000000-000D-0000-FFFF-FFFF00000000}"/>
  </bookViews>
  <sheets>
    <sheet name="COLLECTION" sheetId="10" r:id="rId1"/>
    <sheet name="PATAUDI M.F" sheetId="8" r:id="rId2"/>
    <sheet name="DEMAND" sheetId="9" r:id="rId3"/>
    <sheet name="db sheet" sheetId="6" r:id="rId4"/>
    <sheet name="Sheet1" sheetId="11" r:id="rId5"/>
  </sheets>
  <definedNames>
    <definedName name="_xlnm._FilterDatabase" localSheetId="3" hidden="1">'db sheet'!$A$22:$Q$38</definedName>
    <definedName name="_xlnm._FilterDatabase" localSheetId="2" hidden="1">DEMAND!$A$1330:$Q$1384</definedName>
    <definedName name="_xlnm._FilterDatabase" localSheetId="1" hidden="1">'PATAUDI M.F'!$A$2:$AX$145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68" i="9" l="1"/>
  <c r="I1468" i="9"/>
  <c r="AA138" i="8"/>
  <c r="AK138" i="8"/>
  <c r="AL138" i="8" s="1"/>
  <c r="AN138" i="8" s="1"/>
  <c r="AO138" i="8" s="1"/>
  <c r="AA139" i="8"/>
  <c r="AK139" i="8"/>
  <c r="AL139" i="8" s="1"/>
  <c r="AN139" i="8" s="1"/>
  <c r="AO139" i="8" s="1"/>
  <c r="AA140" i="8"/>
  <c r="AC140" i="8"/>
  <c r="AD140" i="8"/>
  <c r="AF140" i="8"/>
  <c r="AK140" i="8"/>
  <c r="AL140" i="8"/>
  <c r="AN140" i="8" s="1"/>
  <c r="AO140" i="8" s="1"/>
  <c r="AA141" i="8"/>
  <c r="AC141" i="8" s="1"/>
  <c r="AD141" i="8"/>
  <c r="AF141" i="8"/>
  <c r="AK141" i="8"/>
  <c r="AL141" i="8" s="1"/>
  <c r="AN141" i="8" s="1"/>
  <c r="AO141" i="8" s="1"/>
  <c r="AA142" i="8"/>
  <c r="AK142" i="8"/>
  <c r="AL142" i="8" s="1"/>
  <c r="AN142" i="8" s="1"/>
  <c r="AO142" i="8" s="1"/>
  <c r="AA143" i="8"/>
  <c r="AF143" i="8"/>
  <c r="AK143" i="8"/>
  <c r="AL143" i="8"/>
  <c r="AN143" i="8" s="1"/>
  <c r="AO143" i="8" s="1"/>
  <c r="AA144" i="8"/>
  <c r="AK144" i="8"/>
  <c r="AL144" i="8" s="1"/>
  <c r="AN144" i="8" s="1"/>
  <c r="AO144" i="8" s="1"/>
  <c r="AA145" i="8"/>
  <c r="AK145" i="8"/>
  <c r="AL145" i="8" s="1"/>
  <c r="AN145" i="8" s="1"/>
  <c r="AO145" i="8" s="1"/>
  <c r="S145" i="8"/>
  <c r="X145" i="8" s="1"/>
  <c r="W145" i="8"/>
  <c r="S144" i="8"/>
  <c r="X144" i="8" s="1"/>
  <c r="W144" i="8"/>
  <c r="S143" i="8"/>
  <c r="X143" i="8"/>
  <c r="AT143" i="8"/>
  <c r="W143" i="8"/>
  <c r="S142" i="8"/>
  <c r="X142" i="8"/>
  <c r="AT142" i="8" s="1"/>
  <c r="W142" i="8"/>
  <c r="S141" i="8"/>
  <c r="X141" i="8" s="1"/>
  <c r="W141" i="8"/>
  <c r="S140" i="8"/>
  <c r="X140" i="8"/>
  <c r="W140" i="8"/>
  <c r="S139" i="8"/>
  <c r="X139" i="8"/>
  <c r="W139" i="8"/>
  <c r="S138" i="8"/>
  <c r="X138" i="8" s="1"/>
  <c r="W138" i="8"/>
  <c r="A142" i="8"/>
  <c r="A143" i="8"/>
  <c r="O138" i="8"/>
  <c r="O139" i="8"/>
  <c r="O140" i="8"/>
  <c r="O141" i="8"/>
  <c r="O142" i="8"/>
  <c r="O143" i="8"/>
  <c r="O144" i="8"/>
  <c r="O145" i="8"/>
  <c r="M145" i="8"/>
  <c r="M144" i="8"/>
  <c r="M143" i="8"/>
  <c r="M142" i="8"/>
  <c r="M141" i="8"/>
  <c r="M140" i="8"/>
  <c r="M139" i="8"/>
  <c r="M138" i="8"/>
  <c r="K183" i="6"/>
  <c r="K182" i="6"/>
  <c r="K181" i="6"/>
  <c r="K180" i="6"/>
  <c r="K179" i="6"/>
  <c r="K178" i="6"/>
  <c r="K177" i="6"/>
  <c r="N1386" i="9"/>
  <c r="M1386" i="9"/>
  <c r="L1386" i="9"/>
  <c r="K1386" i="9"/>
  <c r="K176" i="6"/>
  <c r="O1386" i="9"/>
  <c r="I1386" i="9"/>
  <c r="O1325" i="9"/>
  <c r="I1325" i="9"/>
  <c r="AA133" i="8"/>
  <c r="AK133" i="8"/>
  <c r="AL133" i="8" s="1"/>
  <c r="AN133" i="8" s="1"/>
  <c r="AO133" i="8" s="1"/>
  <c r="AA134" i="8"/>
  <c r="AK134" i="8"/>
  <c r="AL134" i="8" s="1"/>
  <c r="AN134" i="8" s="1"/>
  <c r="AO134" i="8" s="1"/>
  <c r="AA135" i="8"/>
  <c r="AK135" i="8"/>
  <c r="AL135" i="8" s="1"/>
  <c r="AN135" i="8" s="1"/>
  <c r="AO135" i="8" s="1"/>
  <c r="AA136" i="8"/>
  <c r="AF136" i="8" s="1"/>
  <c r="AK136" i="8"/>
  <c r="AL136" i="8" s="1"/>
  <c r="AN136" i="8" s="1"/>
  <c r="AO136" i="8" s="1"/>
  <c r="AA137" i="8"/>
  <c r="AK137" i="8"/>
  <c r="AL137" i="8" s="1"/>
  <c r="AN137" i="8" s="1"/>
  <c r="AO137" i="8" s="1"/>
  <c r="S137" i="8"/>
  <c r="X137" i="8" s="1"/>
  <c r="A137" i="8" s="1"/>
  <c r="W137" i="8"/>
  <c r="S136" i="8"/>
  <c r="X136" i="8" s="1"/>
  <c r="W136" i="8"/>
  <c r="S135" i="8"/>
  <c r="X135" i="8" s="1"/>
  <c r="W135" i="8"/>
  <c r="S134" i="8"/>
  <c r="X134" i="8" s="1"/>
  <c r="W134" i="8"/>
  <c r="S133" i="8"/>
  <c r="X133" i="8" s="1"/>
  <c r="W133" i="8"/>
  <c r="O133" i="8"/>
  <c r="O134" i="8"/>
  <c r="O135" i="8"/>
  <c r="O136" i="8"/>
  <c r="O137" i="8"/>
  <c r="M137" i="8"/>
  <c r="M136" i="8"/>
  <c r="M135" i="8"/>
  <c r="M134" i="8"/>
  <c r="M133" i="8"/>
  <c r="K173" i="6"/>
  <c r="K174" i="6"/>
  <c r="K175" i="6"/>
  <c r="J18" i="11"/>
  <c r="K172" i="6"/>
  <c r="K171" i="6"/>
  <c r="O1242" i="9"/>
  <c r="I1242" i="9"/>
  <c r="O1184" i="9"/>
  <c r="I1184" i="9"/>
  <c r="T77" i="10"/>
  <c r="S77" i="10"/>
  <c r="R77" i="10"/>
  <c r="Q77" i="10"/>
  <c r="P77" i="10"/>
  <c r="O77" i="10"/>
  <c r="N77" i="10"/>
  <c r="M77" i="10"/>
  <c r="K77" i="10"/>
  <c r="J77" i="10"/>
  <c r="H77" i="10"/>
  <c r="F77" i="10"/>
  <c r="E77" i="10"/>
  <c r="G75" i="10"/>
  <c r="I75" i="10" s="1"/>
  <c r="L75" i="10" s="1"/>
  <c r="U75" i="10" s="1"/>
  <c r="G74" i="10"/>
  <c r="I74" i="10" s="1"/>
  <c r="L74" i="10" s="1"/>
  <c r="U74" i="10" s="1"/>
  <c r="G73" i="10"/>
  <c r="I73" i="10" s="1"/>
  <c r="L73" i="10" s="1"/>
  <c r="U73" i="10" s="1"/>
  <c r="G72" i="10"/>
  <c r="I72" i="10" s="1"/>
  <c r="L72" i="10" s="1"/>
  <c r="U72" i="10" s="1"/>
  <c r="G71" i="10"/>
  <c r="I71" i="10" s="1"/>
  <c r="L71" i="10" s="1"/>
  <c r="U71" i="10" s="1"/>
  <c r="G70" i="10"/>
  <c r="I70" i="10" s="1"/>
  <c r="L70" i="10" s="1"/>
  <c r="U70" i="10" s="1"/>
  <c r="G69" i="10"/>
  <c r="I69" i="10" s="1"/>
  <c r="L69" i="10" s="1"/>
  <c r="U69" i="10" s="1"/>
  <c r="G68" i="10"/>
  <c r="I68" i="10" s="1"/>
  <c r="L68" i="10" s="1"/>
  <c r="U68" i="10" s="1"/>
  <c r="G67" i="10"/>
  <c r="I67" i="10" s="1"/>
  <c r="L67" i="10" s="1"/>
  <c r="U67" i="10" s="1"/>
  <c r="G66" i="10"/>
  <c r="I66" i="10" s="1"/>
  <c r="L66" i="10" s="1"/>
  <c r="U66" i="10" s="1"/>
  <c r="G65" i="10"/>
  <c r="I65" i="10" s="1"/>
  <c r="L65" i="10" s="1"/>
  <c r="U65" i="10" s="1"/>
  <c r="G64" i="10"/>
  <c r="AA131" i="8"/>
  <c r="AK131" i="8"/>
  <c r="AL131" i="8" s="1"/>
  <c r="AN131" i="8" s="1"/>
  <c r="AO131" i="8" s="1"/>
  <c r="AA132" i="8"/>
  <c r="AK132" i="8"/>
  <c r="AL132" i="8" s="1"/>
  <c r="AN132" i="8" s="1"/>
  <c r="AO132" i="8" s="1"/>
  <c r="S132" i="8"/>
  <c r="X132" i="8" s="1"/>
  <c r="W132" i="8"/>
  <c r="S131" i="8"/>
  <c r="X131" i="8" s="1"/>
  <c r="W131" i="8"/>
  <c r="O131" i="8"/>
  <c r="O132" i="8"/>
  <c r="M132" i="8"/>
  <c r="M131" i="8"/>
  <c r="J166" i="6"/>
  <c r="I166" i="6"/>
  <c r="K163" i="6"/>
  <c r="K164" i="6"/>
  <c r="AA128" i="8"/>
  <c r="AD128" i="8" s="1"/>
  <c r="AK128" i="8"/>
  <c r="AL128" i="8" s="1"/>
  <c r="AN128" i="8" s="1"/>
  <c r="AO128" i="8" s="1"/>
  <c r="AA129" i="8"/>
  <c r="AF129" i="8" s="1"/>
  <c r="AK129" i="8"/>
  <c r="AL129" i="8" s="1"/>
  <c r="AN129" i="8" s="1"/>
  <c r="AO129" i="8" s="1"/>
  <c r="AA130" i="8"/>
  <c r="AK130" i="8"/>
  <c r="AL130" i="8" s="1"/>
  <c r="AN130" i="8" s="1"/>
  <c r="AO130" i="8" s="1"/>
  <c r="S130" i="8"/>
  <c r="X130" i="8" s="1"/>
  <c r="W130" i="8"/>
  <c r="S129" i="8"/>
  <c r="X129" i="8" s="1"/>
  <c r="W129" i="8"/>
  <c r="S128" i="8"/>
  <c r="X128" i="8" s="1"/>
  <c r="W128" i="8"/>
  <c r="O128" i="8"/>
  <c r="O129" i="8"/>
  <c r="O130" i="8"/>
  <c r="M130" i="8"/>
  <c r="M129" i="8"/>
  <c r="M128" i="8"/>
  <c r="K162" i="6"/>
  <c r="K161" i="6"/>
  <c r="K160" i="6"/>
  <c r="G53" i="10"/>
  <c r="I53" i="10" s="1"/>
  <c r="L53" i="10" s="1"/>
  <c r="U53" i="10" s="1"/>
  <c r="G52" i="10"/>
  <c r="I52" i="10" s="1"/>
  <c r="L52" i="10" s="1"/>
  <c r="U52" i="10" s="1"/>
  <c r="AA126" i="8"/>
  <c r="AK126" i="8"/>
  <c r="AL126" i="8" s="1"/>
  <c r="AN126" i="8" s="1"/>
  <c r="AO126" i="8" s="1"/>
  <c r="AA127" i="8"/>
  <c r="AF127" i="8" s="1"/>
  <c r="AK127" i="8"/>
  <c r="AL127" i="8" s="1"/>
  <c r="AN127" i="8" s="1"/>
  <c r="AO127" i="8" s="1"/>
  <c r="S127" i="8"/>
  <c r="X127" i="8" s="1"/>
  <c r="W127" i="8"/>
  <c r="S126" i="8"/>
  <c r="X126" i="8" s="1"/>
  <c r="W126" i="8"/>
  <c r="O126" i="8"/>
  <c r="O127" i="8"/>
  <c r="M127" i="8"/>
  <c r="M126" i="8"/>
  <c r="K159" i="6"/>
  <c r="K158" i="6"/>
  <c r="G51" i="10"/>
  <c r="I51" i="10" s="1"/>
  <c r="L51" i="10" s="1"/>
  <c r="U51" i="10" s="1"/>
  <c r="O1114" i="9"/>
  <c r="I1114" i="9"/>
  <c r="O1057" i="9"/>
  <c r="I1057" i="9"/>
  <c r="G50" i="10"/>
  <c r="I50" i="10" s="1"/>
  <c r="L50" i="10" s="1"/>
  <c r="U50" i="10" s="1"/>
  <c r="AA124" i="8"/>
  <c r="AF124" i="8" s="1"/>
  <c r="AK124" i="8"/>
  <c r="AL124" i="8" s="1"/>
  <c r="AN124" i="8" s="1"/>
  <c r="AO124" i="8" s="1"/>
  <c r="AA125" i="8"/>
  <c r="AF125" i="8" s="1"/>
  <c r="AK125" i="8"/>
  <c r="AL125" i="8" s="1"/>
  <c r="AN125" i="8" s="1"/>
  <c r="AO125" i="8" s="1"/>
  <c r="S125" i="8"/>
  <c r="X125" i="8" s="1"/>
  <c r="A125" i="8" s="1"/>
  <c r="W125" i="8"/>
  <c r="S124" i="8"/>
  <c r="X124" i="8" s="1"/>
  <c r="W124" i="8"/>
  <c r="O124" i="8"/>
  <c r="O125" i="8"/>
  <c r="M125" i="8"/>
  <c r="M124" i="8"/>
  <c r="K157" i="6"/>
  <c r="K156" i="6"/>
  <c r="AA116" i="8"/>
  <c r="AK116" i="8"/>
  <c r="AL116" i="8" s="1"/>
  <c r="AN116" i="8" s="1"/>
  <c r="AO116" i="8" s="1"/>
  <c r="AA117" i="8"/>
  <c r="AK117" i="8"/>
  <c r="AL117" i="8" s="1"/>
  <c r="AN117" i="8" s="1"/>
  <c r="AO117" i="8" s="1"/>
  <c r="AA118" i="8"/>
  <c r="AK118" i="8"/>
  <c r="AL118" i="8" s="1"/>
  <c r="AN118" i="8" s="1"/>
  <c r="AO118" i="8" s="1"/>
  <c r="AA119" i="8"/>
  <c r="AK119" i="8"/>
  <c r="AL119" i="8" s="1"/>
  <c r="AN119" i="8" s="1"/>
  <c r="AO119" i="8" s="1"/>
  <c r="AA120" i="8"/>
  <c r="AF120" i="8" s="1"/>
  <c r="AK120" i="8"/>
  <c r="AL120" i="8" s="1"/>
  <c r="AN120" i="8" s="1"/>
  <c r="AO120" i="8" s="1"/>
  <c r="AA121" i="8"/>
  <c r="AF121" i="8" s="1"/>
  <c r="AK121" i="8"/>
  <c r="AL121" i="8" s="1"/>
  <c r="AN121" i="8" s="1"/>
  <c r="AO121" i="8" s="1"/>
  <c r="AA122" i="8"/>
  <c r="AK122" i="8"/>
  <c r="AL122" i="8" s="1"/>
  <c r="AN122" i="8" s="1"/>
  <c r="AO122" i="8" s="1"/>
  <c r="AA123" i="8"/>
  <c r="AK123" i="8"/>
  <c r="AL123" i="8" s="1"/>
  <c r="AN123" i="8" s="1"/>
  <c r="AO123" i="8" s="1"/>
  <c r="S123" i="8"/>
  <c r="X123" i="8" s="1"/>
  <c r="W123" i="8"/>
  <c r="S122" i="8"/>
  <c r="X122" i="8" s="1"/>
  <c r="W122" i="8"/>
  <c r="S121" i="8"/>
  <c r="X121" i="8" s="1"/>
  <c r="W121" i="8"/>
  <c r="S120" i="8"/>
  <c r="X120" i="8" s="1"/>
  <c r="W120" i="8"/>
  <c r="S119" i="8"/>
  <c r="X119" i="8" s="1"/>
  <c r="W119" i="8"/>
  <c r="S118" i="8"/>
  <c r="X118" i="8" s="1"/>
  <c r="W118" i="8"/>
  <c r="S117" i="8"/>
  <c r="X117" i="8" s="1"/>
  <c r="W117" i="8"/>
  <c r="S116" i="8"/>
  <c r="X116" i="8" s="1"/>
  <c r="W116" i="8"/>
  <c r="O116" i="8"/>
  <c r="O117" i="8"/>
  <c r="O118" i="8"/>
  <c r="O119" i="8"/>
  <c r="O120" i="8"/>
  <c r="O121" i="8"/>
  <c r="O122" i="8"/>
  <c r="O123" i="8"/>
  <c r="M123" i="8"/>
  <c r="M122" i="8"/>
  <c r="M121" i="8"/>
  <c r="M120" i="8"/>
  <c r="M119" i="8"/>
  <c r="M118" i="8"/>
  <c r="M117" i="8"/>
  <c r="M116" i="8"/>
  <c r="K151" i="6"/>
  <c r="K152" i="6"/>
  <c r="K153" i="6"/>
  <c r="K154" i="6"/>
  <c r="K155" i="6"/>
  <c r="K150" i="6"/>
  <c r="K149" i="6"/>
  <c r="K148" i="6"/>
  <c r="O987" i="9"/>
  <c r="I987" i="9"/>
  <c r="O931" i="9"/>
  <c r="I931" i="9"/>
  <c r="AK115" i="8"/>
  <c r="AL115" i="8" s="1"/>
  <c r="AN115" i="8" s="1"/>
  <c r="AO115" i="8" s="1"/>
  <c r="AA115" i="8"/>
  <c r="M115" i="8"/>
  <c r="O115" i="8"/>
  <c r="S115" i="8"/>
  <c r="X115" i="8" s="1"/>
  <c r="A115" i="8" s="1"/>
  <c r="W115" i="8"/>
  <c r="K147" i="6"/>
  <c r="AA114" i="8"/>
  <c r="AK114" i="8"/>
  <c r="AL114" i="8" s="1"/>
  <c r="AN114" i="8" s="1"/>
  <c r="AO114" i="8" s="1"/>
  <c r="S114" i="8"/>
  <c r="X114" i="8" s="1"/>
  <c r="W114" i="8"/>
  <c r="O114" i="8"/>
  <c r="M114" i="8"/>
  <c r="K146" i="6"/>
  <c r="AA113" i="8"/>
  <c r="AK113" i="8"/>
  <c r="AL113" i="8" s="1"/>
  <c r="AN113" i="8" s="1"/>
  <c r="AO113" i="8" s="1"/>
  <c r="S113" i="8"/>
  <c r="X113" i="8" s="1"/>
  <c r="W113" i="8"/>
  <c r="M113" i="8"/>
  <c r="O113" i="8"/>
  <c r="K145" i="6"/>
  <c r="AA111" i="8"/>
  <c r="AK111" i="8"/>
  <c r="AL111" i="8" s="1"/>
  <c r="AN111" i="8" s="1"/>
  <c r="AO111" i="8" s="1"/>
  <c r="AA112" i="8"/>
  <c r="AK112" i="8"/>
  <c r="AL112" i="8" s="1"/>
  <c r="AN112" i="8" s="1"/>
  <c r="AO112" i="8" s="1"/>
  <c r="S112" i="8"/>
  <c r="X112" i="8" s="1"/>
  <c r="W112" i="8"/>
  <c r="S111" i="8"/>
  <c r="X111" i="8" s="1"/>
  <c r="W111" i="8"/>
  <c r="O111" i="8"/>
  <c r="O112" i="8"/>
  <c r="M112" i="8"/>
  <c r="M111" i="8"/>
  <c r="O865" i="9"/>
  <c r="I865" i="9"/>
  <c r="K144" i="6"/>
  <c r="K143" i="6"/>
  <c r="O813" i="9"/>
  <c r="I813" i="9"/>
  <c r="AA104" i="8"/>
  <c r="AK104" i="8"/>
  <c r="AL104" i="8" s="1"/>
  <c r="AN104" i="8" s="1"/>
  <c r="AO104" i="8" s="1"/>
  <c r="AA105" i="8"/>
  <c r="AF105" i="8" s="1"/>
  <c r="AK105" i="8"/>
  <c r="AL105" i="8" s="1"/>
  <c r="AN105" i="8" s="1"/>
  <c r="AO105" i="8" s="1"/>
  <c r="AA106" i="8"/>
  <c r="AK106" i="8"/>
  <c r="AL106" i="8" s="1"/>
  <c r="AN106" i="8" s="1"/>
  <c r="AO106" i="8" s="1"/>
  <c r="AA107" i="8"/>
  <c r="AF107" i="8" s="1"/>
  <c r="AK107" i="8"/>
  <c r="AL107" i="8" s="1"/>
  <c r="AN107" i="8" s="1"/>
  <c r="AO107" i="8" s="1"/>
  <c r="AA108" i="8"/>
  <c r="AF108" i="8" s="1"/>
  <c r="AK108" i="8"/>
  <c r="AL108" i="8" s="1"/>
  <c r="AN108" i="8" s="1"/>
  <c r="AO108" i="8" s="1"/>
  <c r="AA109" i="8"/>
  <c r="AF109" i="8" s="1"/>
  <c r="AK109" i="8"/>
  <c r="AL109" i="8" s="1"/>
  <c r="AN109" i="8" s="1"/>
  <c r="AO109" i="8" s="1"/>
  <c r="AA110" i="8"/>
  <c r="AF110" i="8" s="1"/>
  <c r="AK110" i="8"/>
  <c r="AL110" i="8" s="1"/>
  <c r="AN110" i="8" s="1"/>
  <c r="AO110" i="8" s="1"/>
  <c r="S110" i="8"/>
  <c r="X110" i="8" s="1"/>
  <c r="A110" i="8" s="1"/>
  <c r="W110" i="8"/>
  <c r="S109" i="8"/>
  <c r="X109" i="8" s="1"/>
  <c r="W109" i="8"/>
  <c r="S108" i="8"/>
  <c r="X108" i="8" s="1"/>
  <c r="W108" i="8"/>
  <c r="S107" i="8"/>
  <c r="X107" i="8" s="1"/>
  <c r="W107" i="8"/>
  <c r="S106" i="8"/>
  <c r="X106" i="8" s="1"/>
  <c r="W106" i="8"/>
  <c r="S105" i="8"/>
  <c r="X105" i="8" s="1"/>
  <c r="W105" i="8"/>
  <c r="S104" i="8"/>
  <c r="X104" i="8" s="1"/>
  <c r="W104" i="8"/>
  <c r="O104" i="8"/>
  <c r="O105" i="8"/>
  <c r="O106" i="8"/>
  <c r="O107" i="8"/>
  <c r="O108" i="8"/>
  <c r="O109" i="8"/>
  <c r="O110" i="8"/>
  <c r="M110" i="8"/>
  <c r="M109" i="8"/>
  <c r="M108" i="8"/>
  <c r="M107" i="8"/>
  <c r="M106" i="8"/>
  <c r="M105" i="8"/>
  <c r="M104" i="8"/>
  <c r="K136" i="6"/>
  <c r="K137" i="6"/>
  <c r="K138" i="6"/>
  <c r="K139" i="6"/>
  <c r="K140" i="6"/>
  <c r="K141" i="6"/>
  <c r="K142" i="6"/>
  <c r="T55" i="10"/>
  <c r="S55" i="10"/>
  <c r="R55" i="10"/>
  <c r="Q55" i="10"/>
  <c r="P55" i="10"/>
  <c r="O55" i="10"/>
  <c r="N55" i="10"/>
  <c r="M55" i="10"/>
  <c r="K55" i="10"/>
  <c r="J55" i="10"/>
  <c r="H55" i="10"/>
  <c r="F55" i="10"/>
  <c r="E55" i="10"/>
  <c r="G49" i="10"/>
  <c r="I49" i="10" s="1"/>
  <c r="L49" i="10" s="1"/>
  <c r="U49" i="10" s="1"/>
  <c r="G48" i="10"/>
  <c r="I48" i="10" s="1"/>
  <c r="L48" i="10" s="1"/>
  <c r="U48" i="10" s="1"/>
  <c r="G47" i="10"/>
  <c r="I47" i="10" s="1"/>
  <c r="L47" i="10" s="1"/>
  <c r="U47" i="10" s="1"/>
  <c r="G46" i="10"/>
  <c r="I46" i="10" s="1"/>
  <c r="L46" i="10" s="1"/>
  <c r="U46" i="10" s="1"/>
  <c r="G45" i="10"/>
  <c r="I45" i="10" s="1"/>
  <c r="L45" i="10" s="1"/>
  <c r="U45" i="10" s="1"/>
  <c r="G44" i="10"/>
  <c r="I44" i="10" s="1"/>
  <c r="L44" i="10" s="1"/>
  <c r="U44" i="10" s="1"/>
  <c r="G43" i="10"/>
  <c r="I43" i="10" s="1"/>
  <c r="L43" i="10" s="1"/>
  <c r="U43" i="10" s="1"/>
  <c r="G42" i="10"/>
  <c r="S35" i="10"/>
  <c r="R35" i="10"/>
  <c r="Q35" i="10"/>
  <c r="P35" i="10"/>
  <c r="O35" i="10"/>
  <c r="N35" i="10"/>
  <c r="M35" i="10"/>
  <c r="L35" i="10"/>
  <c r="J35" i="10"/>
  <c r="I35" i="10"/>
  <c r="G35" i="10"/>
  <c r="E35" i="10"/>
  <c r="D35" i="10"/>
  <c r="H34" i="10"/>
  <c r="F33" i="10"/>
  <c r="H33" i="10" s="1"/>
  <c r="F32" i="10"/>
  <c r="H32" i="10" s="1"/>
  <c r="K32" i="10" s="1"/>
  <c r="T32" i="10" s="1"/>
  <c r="F31" i="10"/>
  <c r="H31" i="10" s="1"/>
  <c r="K31" i="10" s="1"/>
  <c r="T31" i="10" s="1"/>
  <c r="F30" i="10"/>
  <c r="H30" i="10" s="1"/>
  <c r="K30" i="10" s="1"/>
  <c r="T30" i="10" s="1"/>
  <c r="F29" i="10"/>
  <c r="H29" i="10" s="1"/>
  <c r="K29" i="10" s="1"/>
  <c r="T29" i="10" s="1"/>
  <c r="F28" i="10"/>
  <c r="H28" i="10" s="1"/>
  <c r="K28" i="10" s="1"/>
  <c r="T28" i="10" s="1"/>
  <c r="F27" i="10"/>
  <c r="H27" i="10" s="1"/>
  <c r="K27" i="10" s="1"/>
  <c r="T27" i="10" s="1"/>
  <c r="F26" i="10"/>
  <c r="H26" i="10" s="1"/>
  <c r="K26" i="10" s="1"/>
  <c r="T26" i="10" s="1"/>
  <c r="F25" i="10"/>
  <c r="H25" i="10" s="1"/>
  <c r="K25" i="10" s="1"/>
  <c r="T25" i="10" s="1"/>
  <c r="F24" i="10"/>
  <c r="H24" i="10" s="1"/>
  <c r="K24" i="10" s="1"/>
  <c r="T24" i="10" s="1"/>
  <c r="F23" i="10"/>
  <c r="H23" i="10" s="1"/>
  <c r="K23" i="10" s="1"/>
  <c r="T23" i="10" s="1"/>
  <c r="F22" i="10"/>
  <c r="S16" i="10"/>
  <c r="R16" i="10"/>
  <c r="Q16" i="10"/>
  <c r="P16" i="10"/>
  <c r="O16" i="10"/>
  <c r="N16" i="10"/>
  <c r="M16" i="10"/>
  <c r="L16" i="10"/>
  <c r="J16" i="10"/>
  <c r="I16" i="10"/>
  <c r="G16" i="10"/>
  <c r="E16" i="10"/>
  <c r="D16" i="10"/>
  <c r="H15" i="10"/>
  <c r="F14" i="10"/>
  <c r="H14" i="10" s="1"/>
  <c r="F13" i="10"/>
  <c r="H13" i="10" s="1"/>
  <c r="K13" i="10" s="1"/>
  <c r="T13" i="10" s="1"/>
  <c r="F12" i="10"/>
  <c r="H12" i="10" s="1"/>
  <c r="K12" i="10" s="1"/>
  <c r="T12" i="10" s="1"/>
  <c r="F11" i="10"/>
  <c r="H11" i="10" s="1"/>
  <c r="K11" i="10" s="1"/>
  <c r="T11" i="10" s="1"/>
  <c r="F10" i="10"/>
  <c r="H10" i="10" s="1"/>
  <c r="K10" i="10" s="1"/>
  <c r="T10" i="10" s="1"/>
  <c r="F9" i="10"/>
  <c r="H9" i="10" s="1"/>
  <c r="K9" i="10" s="1"/>
  <c r="T9" i="10" s="1"/>
  <c r="F8" i="10"/>
  <c r="H8" i="10" s="1"/>
  <c r="K8" i="10" s="1"/>
  <c r="T8" i="10" s="1"/>
  <c r="F7" i="10"/>
  <c r="H7" i="10" s="1"/>
  <c r="K7" i="10" s="1"/>
  <c r="T7" i="10" s="1"/>
  <c r="F6" i="10"/>
  <c r="H6" i="10" s="1"/>
  <c r="K6" i="10" s="1"/>
  <c r="T6" i="10" s="1"/>
  <c r="F5" i="10"/>
  <c r="H5" i="10" s="1"/>
  <c r="K5" i="10" s="1"/>
  <c r="T5" i="10" s="1"/>
  <c r="F4" i="10"/>
  <c r="H4" i="10" s="1"/>
  <c r="K4" i="10" s="1"/>
  <c r="T4" i="10" s="1"/>
  <c r="F3" i="10"/>
  <c r="AA103" i="8"/>
  <c r="AK103" i="8"/>
  <c r="AL103" i="8" s="1"/>
  <c r="AN103" i="8" s="1"/>
  <c r="AO103" i="8" s="1"/>
  <c r="S103" i="8"/>
  <c r="X103" i="8" s="1"/>
  <c r="W103" i="8"/>
  <c r="O103" i="8"/>
  <c r="M103" i="8"/>
  <c r="K135" i="6"/>
  <c r="O748" i="9"/>
  <c r="I748" i="9"/>
  <c r="O697" i="9"/>
  <c r="I697" i="9"/>
  <c r="O635" i="9"/>
  <c r="I635" i="9"/>
  <c r="AA102" i="8"/>
  <c r="AK102" i="8"/>
  <c r="S102" i="8"/>
  <c r="W102" i="8"/>
  <c r="O102" i="8"/>
  <c r="M102" i="8"/>
  <c r="K120" i="6"/>
  <c r="O587" i="9"/>
  <c r="I587" i="9"/>
  <c r="I537" i="9"/>
  <c r="AA96" i="8"/>
  <c r="AA97" i="8"/>
  <c r="AA98" i="8"/>
  <c r="AA99" i="8"/>
  <c r="AA100" i="8"/>
  <c r="AA101" i="8"/>
  <c r="S101" i="8"/>
  <c r="W101" i="8"/>
  <c r="S100" i="8"/>
  <c r="W100" i="8"/>
  <c r="S99" i="8"/>
  <c r="W99" i="8"/>
  <c r="S98" i="8"/>
  <c r="W98" i="8"/>
  <c r="S97" i="8"/>
  <c r="W97" i="8"/>
  <c r="S96" i="8"/>
  <c r="W96" i="8"/>
  <c r="AK101" i="8"/>
  <c r="AK100" i="8"/>
  <c r="AL100" i="8" s="1"/>
  <c r="AK99" i="8"/>
  <c r="AK98" i="8"/>
  <c r="AK97" i="8"/>
  <c r="AK96" i="8"/>
  <c r="O96" i="8"/>
  <c r="O97" i="8"/>
  <c r="O98" i="8"/>
  <c r="O99" i="8"/>
  <c r="O100" i="8"/>
  <c r="O101" i="8"/>
  <c r="M101" i="8"/>
  <c r="M100" i="8"/>
  <c r="M99" i="8"/>
  <c r="M98" i="8"/>
  <c r="M97" i="8"/>
  <c r="M96" i="8"/>
  <c r="K116" i="6"/>
  <c r="K117" i="6"/>
  <c r="K118" i="6"/>
  <c r="K119" i="6"/>
  <c r="K115" i="6"/>
  <c r="K114" i="6"/>
  <c r="AA94" i="8"/>
  <c r="AK94" i="8"/>
  <c r="AA95" i="8"/>
  <c r="AK95" i="8"/>
  <c r="S95" i="8"/>
  <c r="W95" i="8"/>
  <c r="S94" i="8"/>
  <c r="W94" i="8"/>
  <c r="O94" i="8"/>
  <c r="O95" i="8"/>
  <c r="M95" i="8"/>
  <c r="M94" i="8"/>
  <c r="K113" i="6"/>
  <c r="K112" i="6"/>
  <c r="AA86" i="8"/>
  <c r="AK86" i="8"/>
  <c r="AA87" i="8"/>
  <c r="AK87" i="8"/>
  <c r="AA88" i="8"/>
  <c r="AK88" i="8"/>
  <c r="AA89" i="8"/>
  <c r="AK89" i="8"/>
  <c r="AA90" i="8"/>
  <c r="AK90" i="8"/>
  <c r="AA91" i="8"/>
  <c r="AK91" i="8"/>
  <c r="AA92" i="8"/>
  <c r="AF92" i="8" s="1"/>
  <c r="AK92" i="8"/>
  <c r="AA93" i="8"/>
  <c r="AK93" i="8"/>
  <c r="S93" i="8"/>
  <c r="W93" i="8"/>
  <c r="S92" i="8"/>
  <c r="W92" i="8"/>
  <c r="S91" i="8"/>
  <c r="W91" i="8"/>
  <c r="S90" i="8"/>
  <c r="W90" i="8"/>
  <c r="S89" i="8"/>
  <c r="W89" i="8"/>
  <c r="S88" i="8"/>
  <c r="W88" i="8"/>
  <c r="S87" i="8"/>
  <c r="W87" i="8"/>
  <c r="O87" i="8"/>
  <c r="O88" i="8"/>
  <c r="O89" i="8"/>
  <c r="O90" i="8"/>
  <c r="O91" i="8"/>
  <c r="O92" i="8"/>
  <c r="O93" i="8"/>
  <c r="M93" i="8"/>
  <c r="M92" i="8"/>
  <c r="M91" i="8"/>
  <c r="M90" i="8"/>
  <c r="M89" i="8"/>
  <c r="M88" i="8"/>
  <c r="M87" i="8"/>
  <c r="K111" i="6"/>
  <c r="K110" i="6"/>
  <c r="K109" i="6"/>
  <c r="K108" i="6"/>
  <c r="K107" i="6"/>
  <c r="K106" i="6"/>
  <c r="K105" i="6"/>
  <c r="O491" i="9"/>
  <c r="I491" i="9"/>
  <c r="L152" i="8"/>
  <c r="K152" i="8"/>
  <c r="AA82" i="8"/>
  <c r="AK82" i="8"/>
  <c r="AA83" i="8"/>
  <c r="AK83" i="8"/>
  <c r="AA84" i="8"/>
  <c r="AK84" i="8"/>
  <c r="AA85" i="8"/>
  <c r="AK85" i="8"/>
  <c r="S86" i="8"/>
  <c r="W86" i="8"/>
  <c r="S85" i="8"/>
  <c r="W85" i="8"/>
  <c r="S84" i="8"/>
  <c r="W84" i="8"/>
  <c r="S83" i="8"/>
  <c r="W83" i="8"/>
  <c r="S82" i="8"/>
  <c r="W82" i="8"/>
  <c r="O82" i="8"/>
  <c r="O83" i="8"/>
  <c r="O84" i="8"/>
  <c r="O85" i="8"/>
  <c r="O86" i="8"/>
  <c r="M86" i="8"/>
  <c r="M85" i="8"/>
  <c r="M84" i="8"/>
  <c r="M83" i="8"/>
  <c r="M82" i="8"/>
  <c r="K102" i="6"/>
  <c r="K103" i="6"/>
  <c r="K104" i="6"/>
  <c r="K101" i="6"/>
  <c r="K100" i="6"/>
  <c r="O395" i="9"/>
  <c r="O442" i="9"/>
  <c r="I442" i="9"/>
  <c r="N405" i="9"/>
  <c r="N406" i="9"/>
  <c r="P406" i="9" s="1"/>
  <c r="N407" i="9"/>
  <c r="P407" i="9" s="1"/>
  <c r="N408" i="9"/>
  <c r="P408" i="9" s="1"/>
  <c r="N409" i="9"/>
  <c r="P409" i="9" s="1"/>
  <c r="N410" i="9"/>
  <c r="P410" i="9" s="1"/>
  <c r="N411" i="9"/>
  <c r="P411" i="9" s="1"/>
  <c r="N412" i="9"/>
  <c r="P412" i="9" s="1"/>
  <c r="N413" i="9"/>
  <c r="P413" i="9" s="1"/>
  <c r="N414" i="9"/>
  <c r="P414" i="9" s="1"/>
  <c r="N415" i="9"/>
  <c r="P415" i="9" s="1"/>
  <c r="N416" i="9"/>
  <c r="P416" i="9" s="1"/>
  <c r="N417" i="9"/>
  <c r="P417" i="9" s="1"/>
  <c r="N418" i="9"/>
  <c r="P418" i="9" s="1"/>
  <c r="N419" i="9"/>
  <c r="P419" i="9" s="1"/>
  <c r="N420" i="9"/>
  <c r="P420" i="9" s="1"/>
  <c r="N421" i="9"/>
  <c r="P421" i="9" s="1"/>
  <c r="N422" i="9"/>
  <c r="P422" i="9" s="1"/>
  <c r="N423" i="9"/>
  <c r="P423" i="9" s="1"/>
  <c r="N424" i="9"/>
  <c r="P424" i="9" s="1"/>
  <c r="N425" i="9"/>
  <c r="P425" i="9" s="1"/>
  <c r="N426" i="9"/>
  <c r="P426" i="9" s="1"/>
  <c r="N427" i="9"/>
  <c r="P427" i="9" s="1"/>
  <c r="N428" i="9"/>
  <c r="P428" i="9" s="1"/>
  <c r="N429" i="9"/>
  <c r="P429" i="9" s="1"/>
  <c r="N430" i="9"/>
  <c r="P430" i="9" s="1"/>
  <c r="N431" i="9"/>
  <c r="P431" i="9" s="1"/>
  <c r="N432" i="9"/>
  <c r="P432" i="9" s="1"/>
  <c r="N433" i="9"/>
  <c r="N434" i="9"/>
  <c r="N435" i="9"/>
  <c r="N436" i="9"/>
  <c r="N437" i="9"/>
  <c r="N438" i="9"/>
  <c r="N439" i="9"/>
  <c r="N404" i="9"/>
  <c r="I395" i="9"/>
  <c r="AA81" i="8"/>
  <c r="AK81" i="8"/>
  <c r="S81" i="8"/>
  <c r="W81" i="8"/>
  <c r="O81" i="8"/>
  <c r="M81" i="8"/>
  <c r="K99" i="6"/>
  <c r="AA76" i="8"/>
  <c r="AK76" i="8"/>
  <c r="AL76" i="8" s="1"/>
  <c r="AA77" i="8"/>
  <c r="AK77" i="8"/>
  <c r="AA78" i="8"/>
  <c r="AF78" i="8" s="1"/>
  <c r="AK78" i="8"/>
  <c r="AA79" i="8"/>
  <c r="AF79" i="8" s="1"/>
  <c r="AK79" i="8"/>
  <c r="AA80" i="8"/>
  <c r="AF80" i="8" s="1"/>
  <c r="AK80" i="8"/>
  <c r="S80" i="8"/>
  <c r="W80" i="8"/>
  <c r="S79" i="8"/>
  <c r="W79" i="8"/>
  <c r="S78" i="8"/>
  <c r="W78" i="8"/>
  <c r="S77" i="8"/>
  <c r="W77" i="8"/>
  <c r="S76" i="8"/>
  <c r="W76" i="8"/>
  <c r="O76" i="8"/>
  <c r="O77" i="8"/>
  <c r="O78" i="8"/>
  <c r="O79" i="8"/>
  <c r="O80" i="8"/>
  <c r="M80" i="8"/>
  <c r="M79" i="8"/>
  <c r="M78" i="8"/>
  <c r="M77" i="8"/>
  <c r="M76" i="8"/>
  <c r="J124" i="6"/>
  <c r="I124" i="6"/>
  <c r="K94" i="6"/>
  <c r="K95" i="6"/>
  <c r="K96" i="6"/>
  <c r="K97" i="6"/>
  <c r="K98" i="6"/>
  <c r="AA74" i="8"/>
  <c r="AA75" i="8"/>
  <c r="S75" i="8"/>
  <c r="W75" i="8"/>
  <c r="S74" i="8"/>
  <c r="W74" i="8"/>
  <c r="AK75" i="8"/>
  <c r="AK74" i="8"/>
  <c r="O74" i="8"/>
  <c r="O75" i="8"/>
  <c r="M75" i="8"/>
  <c r="M74" i="8"/>
  <c r="K92" i="6"/>
  <c r="K93" i="6"/>
  <c r="AA72" i="8"/>
  <c r="AK72" i="8"/>
  <c r="AA73" i="8"/>
  <c r="AK73" i="8"/>
  <c r="S73" i="8"/>
  <c r="W73" i="8"/>
  <c r="S72" i="8"/>
  <c r="W72" i="8"/>
  <c r="AL72" i="8"/>
  <c r="O72" i="8"/>
  <c r="O73" i="8"/>
  <c r="M73" i="8"/>
  <c r="M72" i="8"/>
  <c r="K90" i="6"/>
  <c r="K91" i="6"/>
  <c r="O351" i="9"/>
  <c r="I351" i="9"/>
  <c r="AA70" i="8"/>
  <c r="AA71" i="8"/>
  <c r="S71" i="8"/>
  <c r="W71" i="8"/>
  <c r="S70" i="8"/>
  <c r="W70" i="8"/>
  <c r="AK71" i="8"/>
  <c r="AK70" i="8"/>
  <c r="O70" i="8"/>
  <c r="O71" i="8"/>
  <c r="M71" i="8"/>
  <c r="M70" i="8"/>
  <c r="K89" i="6"/>
  <c r="K88" i="6"/>
  <c r="N304" i="9"/>
  <c r="N305" i="9"/>
  <c r="O309" i="9"/>
  <c r="K309" i="9"/>
  <c r="I309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AA66" i="8"/>
  <c r="AK66" i="8"/>
  <c r="AA67" i="8"/>
  <c r="AK67" i="8"/>
  <c r="AA68" i="8"/>
  <c r="AK68" i="8"/>
  <c r="AA69" i="8"/>
  <c r="AK69" i="8"/>
  <c r="S69" i="8"/>
  <c r="W69" i="8"/>
  <c r="S68" i="8"/>
  <c r="W68" i="8"/>
  <c r="S67" i="8"/>
  <c r="W67" i="8"/>
  <c r="S66" i="8"/>
  <c r="W66" i="8"/>
  <c r="O66" i="8"/>
  <c r="O67" i="8"/>
  <c r="O68" i="8"/>
  <c r="O69" i="8"/>
  <c r="M69" i="8"/>
  <c r="M68" i="8"/>
  <c r="M67" i="8"/>
  <c r="M66" i="8"/>
  <c r="K85" i="6"/>
  <c r="K86" i="6"/>
  <c r="K87" i="6"/>
  <c r="K84" i="6"/>
  <c r="N267" i="9"/>
  <c r="O269" i="9"/>
  <c r="K269" i="9"/>
  <c r="I269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M65" i="8"/>
  <c r="M64" i="8"/>
  <c r="M63" i="8"/>
  <c r="M62" i="8"/>
  <c r="I235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P225" i="9" s="1"/>
  <c r="N226" i="9"/>
  <c r="N227" i="9"/>
  <c r="P227" i="9" s="1"/>
  <c r="N228" i="9"/>
  <c r="N229" i="9"/>
  <c r="N230" i="9"/>
  <c r="N231" i="9"/>
  <c r="N232" i="9"/>
  <c r="P226" i="9"/>
  <c r="P228" i="9"/>
  <c r="P229" i="9"/>
  <c r="P230" i="9"/>
  <c r="P231" i="9"/>
  <c r="O235" i="9"/>
  <c r="K235" i="9"/>
  <c r="N204" i="9"/>
  <c r="AA62" i="8"/>
  <c r="AF62" i="8" s="1"/>
  <c r="AK62" i="8"/>
  <c r="AA63" i="8"/>
  <c r="AC63" i="8" s="1"/>
  <c r="AK63" i="8"/>
  <c r="AA64" i="8"/>
  <c r="AK64" i="8"/>
  <c r="AA65" i="8"/>
  <c r="AK65" i="8"/>
  <c r="W62" i="8"/>
  <c r="W63" i="8"/>
  <c r="W64" i="8"/>
  <c r="W65" i="8"/>
  <c r="S65" i="8"/>
  <c r="X65" i="8" s="1"/>
  <c r="S64" i="8"/>
  <c r="X64" i="8" s="1"/>
  <c r="S63" i="8"/>
  <c r="X63" i="8" s="1"/>
  <c r="S62" i="8"/>
  <c r="X62" i="8" s="1"/>
  <c r="O62" i="8"/>
  <c r="O63" i="8"/>
  <c r="O64" i="8"/>
  <c r="O65" i="8"/>
  <c r="K72" i="6"/>
  <c r="K71" i="6"/>
  <c r="K70" i="6"/>
  <c r="K69" i="6"/>
  <c r="AA57" i="8"/>
  <c r="AK57" i="8"/>
  <c r="AL57" i="8" s="1"/>
  <c r="AN57" i="8" s="1"/>
  <c r="AO57" i="8" s="1"/>
  <c r="AA58" i="8"/>
  <c r="AK58" i="8"/>
  <c r="AL58" i="8" s="1"/>
  <c r="AN58" i="8" s="1"/>
  <c r="AO58" i="8" s="1"/>
  <c r="AA59" i="8"/>
  <c r="AK59" i="8"/>
  <c r="AL59" i="8" s="1"/>
  <c r="AN59" i="8" s="1"/>
  <c r="AO59" i="8" s="1"/>
  <c r="AA60" i="8"/>
  <c r="AK60" i="8"/>
  <c r="AL60" i="8" s="1"/>
  <c r="AN60" i="8" s="1"/>
  <c r="AO60" i="8" s="1"/>
  <c r="AA61" i="8"/>
  <c r="AK61" i="8"/>
  <c r="AL61" i="8" s="1"/>
  <c r="AN61" i="8" s="1"/>
  <c r="AO61" i="8" s="1"/>
  <c r="W57" i="8"/>
  <c r="W58" i="8"/>
  <c r="W59" i="8"/>
  <c r="W60" i="8"/>
  <c r="W61" i="8"/>
  <c r="S61" i="8"/>
  <c r="X61" i="8" s="1"/>
  <c r="S60" i="8"/>
  <c r="X60" i="8" s="1"/>
  <c r="S59" i="8"/>
  <c r="X59" i="8" s="1"/>
  <c r="S58" i="8"/>
  <c r="X58" i="8" s="1"/>
  <c r="S57" i="8"/>
  <c r="X57" i="8" s="1"/>
  <c r="O57" i="8"/>
  <c r="O58" i="8"/>
  <c r="O59" i="8"/>
  <c r="O60" i="8"/>
  <c r="O61" i="8"/>
  <c r="M61" i="8"/>
  <c r="M60" i="8"/>
  <c r="M59" i="8"/>
  <c r="M58" i="8"/>
  <c r="M57" i="8"/>
  <c r="K68" i="6"/>
  <c r="K67" i="6"/>
  <c r="K66" i="6"/>
  <c r="K65" i="6"/>
  <c r="K64" i="6"/>
  <c r="AA56" i="8"/>
  <c r="AK56" i="8"/>
  <c r="AL56" i="8" s="1"/>
  <c r="AN56" i="8" s="1"/>
  <c r="AO56" i="8" s="1"/>
  <c r="S56" i="8"/>
  <c r="X56" i="8" s="1"/>
  <c r="W56" i="8"/>
  <c r="O56" i="8"/>
  <c r="M56" i="8"/>
  <c r="K63" i="6"/>
  <c r="AA55" i="8"/>
  <c r="S55" i="8"/>
  <c r="X55" i="8" s="1"/>
  <c r="A55" i="8" s="1"/>
  <c r="W55" i="8"/>
  <c r="AK55" i="8"/>
  <c r="AL55" i="8" s="1"/>
  <c r="AN55" i="8" s="1"/>
  <c r="AO55" i="8" s="1"/>
  <c r="O55" i="8"/>
  <c r="M55" i="8"/>
  <c r="K62" i="6"/>
  <c r="N185" i="9"/>
  <c r="P185" i="9" s="1"/>
  <c r="N186" i="9"/>
  <c r="P186" i="9" s="1"/>
  <c r="N187" i="9"/>
  <c r="P187" i="9" s="1"/>
  <c r="N188" i="9"/>
  <c r="P188" i="9" s="1"/>
  <c r="N189" i="9"/>
  <c r="N190" i="9"/>
  <c r="P190" i="9" s="1"/>
  <c r="N191" i="9"/>
  <c r="P191" i="9" s="1"/>
  <c r="N192" i="9"/>
  <c r="P192" i="9" s="1"/>
  <c r="N193" i="9"/>
  <c r="P193" i="9" s="1"/>
  <c r="N194" i="9"/>
  <c r="P194" i="9" s="1"/>
  <c r="O196" i="9"/>
  <c r="K196" i="9"/>
  <c r="I196" i="9"/>
  <c r="N184" i="9"/>
  <c r="P184" i="9" s="1"/>
  <c r="N183" i="9"/>
  <c r="P183" i="9" s="1"/>
  <c r="N182" i="9"/>
  <c r="P182" i="9" s="1"/>
  <c r="N181" i="9"/>
  <c r="P181" i="9" s="1"/>
  <c r="N180" i="9"/>
  <c r="P180" i="9" s="1"/>
  <c r="N179" i="9"/>
  <c r="P179" i="9" s="1"/>
  <c r="N178" i="9"/>
  <c r="P178" i="9" s="1"/>
  <c r="N177" i="9"/>
  <c r="P177" i="9" s="1"/>
  <c r="N176" i="9"/>
  <c r="P176" i="9" s="1"/>
  <c r="N175" i="9"/>
  <c r="P175" i="9" s="1"/>
  <c r="N174" i="9"/>
  <c r="P174" i="9" s="1"/>
  <c r="N173" i="9"/>
  <c r="P173" i="9" s="1"/>
  <c r="N172" i="9"/>
  <c r="P172" i="9" s="1"/>
  <c r="N171" i="9"/>
  <c r="P171" i="9" s="1"/>
  <c r="N170" i="9"/>
  <c r="O46" i="8"/>
  <c r="O47" i="8"/>
  <c r="O48" i="8"/>
  <c r="O49" i="8"/>
  <c r="O50" i="8"/>
  <c r="N140" i="9"/>
  <c r="P140" i="9" s="1"/>
  <c r="N141" i="9"/>
  <c r="P141" i="9" s="1"/>
  <c r="N142" i="9"/>
  <c r="P142" i="9" s="1"/>
  <c r="N143" i="9"/>
  <c r="P143" i="9" s="1"/>
  <c r="N144" i="9"/>
  <c r="P144" i="9" s="1"/>
  <c r="N145" i="9"/>
  <c r="P145" i="9" s="1"/>
  <c r="N146" i="9"/>
  <c r="P146" i="9" s="1"/>
  <c r="N147" i="9"/>
  <c r="P147" i="9" s="1"/>
  <c r="N148" i="9"/>
  <c r="P148" i="9" s="1"/>
  <c r="N149" i="9"/>
  <c r="P149" i="9" s="1"/>
  <c r="N150" i="9"/>
  <c r="P150" i="9" s="1"/>
  <c r="N151" i="9"/>
  <c r="P151" i="9" s="1"/>
  <c r="N152" i="9"/>
  <c r="P152" i="9" s="1"/>
  <c r="N153" i="9"/>
  <c r="P153" i="9" s="1"/>
  <c r="N154" i="9"/>
  <c r="P154" i="9" s="1"/>
  <c r="N155" i="9"/>
  <c r="P155" i="9" s="1"/>
  <c r="N156" i="9"/>
  <c r="P156" i="9" s="1"/>
  <c r="N157" i="9"/>
  <c r="P157" i="9" s="1"/>
  <c r="N158" i="9"/>
  <c r="P158" i="9" s="1"/>
  <c r="O162" i="9"/>
  <c r="K162" i="9"/>
  <c r="I162" i="9"/>
  <c r="N139" i="9"/>
  <c r="AA52" i="8"/>
  <c r="AK52" i="8"/>
  <c r="AL52" i="8" s="1"/>
  <c r="AN52" i="8" s="1"/>
  <c r="AO52" i="8" s="1"/>
  <c r="AA53" i="8"/>
  <c r="AK53" i="8"/>
  <c r="AL53" i="8" s="1"/>
  <c r="AN53" i="8" s="1"/>
  <c r="AO53" i="8" s="1"/>
  <c r="AA54" i="8"/>
  <c r="AD54" i="8" s="1"/>
  <c r="AK54" i="8"/>
  <c r="AL54" i="8" s="1"/>
  <c r="AN54" i="8" s="1"/>
  <c r="AO54" i="8" s="1"/>
  <c r="S54" i="8"/>
  <c r="X54" i="8" s="1"/>
  <c r="W54" i="8"/>
  <c r="S53" i="8"/>
  <c r="X53" i="8" s="1"/>
  <c r="W53" i="8"/>
  <c r="S52" i="8"/>
  <c r="X52" i="8" s="1"/>
  <c r="W52" i="8"/>
  <c r="O52" i="8"/>
  <c r="O53" i="8"/>
  <c r="O54" i="8"/>
  <c r="M54" i="8"/>
  <c r="M53" i="8"/>
  <c r="M52" i="8"/>
  <c r="K61" i="6"/>
  <c r="K60" i="6"/>
  <c r="K59" i="6"/>
  <c r="AG140" i="8" l="1"/>
  <c r="AG141" i="8"/>
  <c r="AF138" i="8"/>
  <c r="AD138" i="8"/>
  <c r="AC138" i="8"/>
  <c r="AG138" i="8" s="1"/>
  <c r="AC139" i="8"/>
  <c r="AG139" i="8" s="1"/>
  <c r="AD139" i="8"/>
  <c r="AF139" i="8"/>
  <c r="AD142" i="8"/>
  <c r="AC142" i="8"/>
  <c r="AG142" i="8" s="1"/>
  <c r="AF142" i="8"/>
  <c r="AC143" i="8"/>
  <c r="AG143" i="8" s="1"/>
  <c r="AD143" i="8"/>
  <c r="AD144" i="8"/>
  <c r="AF144" i="8"/>
  <c r="AC144" i="8"/>
  <c r="AG144" i="8" s="1"/>
  <c r="AF145" i="8"/>
  <c r="AC145" i="8"/>
  <c r="AG145" i="8" s="1"/>
  <c r="AD145" i="8"/>
  <c r="A145" i="8"/>
  <c r="AT145" i="8"/>
  <c r="A144" i="8"/>
  <c r="AT144" i="8"/>
  <c r="A141" i="8"/>
  <c r="AT141" i="8"/>
  <c r="AT140" i="8"/>
  <c r="A140" i="8"/>
  <c r="AT139" i="8"/>
  <c r="A139" i="8"/>
  <c r="AT138" i="8"/>
  <c r="A138" i="8"/>
  <c r="AD136" i="8"/>
  <c r="AC136" i="8"/>
  <c r="AC137" i="8"/>
  <c r="AD137" i="8"/>
  <c r="AF137" i="8"/>
  <c r="K166" i="6"/>
  <c r="AG137" i="8"/>
  <c r="AT137" i="8"/>
  <c r="AG136" i="8"/>
  <c r="AF133" i="8"/>
  <c r="AD133" i="8"/>
  <c r="AC133" i="8"/>
  <c r="AG133" i="8" s="1"/>
  <c r="AC134" i="8"/>
  <c r="AG134" i="8" s="1"/>
  <c r="AD134" i="8"/>
  <c r="AF134" i="8"/>
  <c r="AC135" i="8"/>
  <c r="AG135" i="8" s="1"/>
  <c r="AD135" i="8"/>
  <c r="AF135" i="8"/>
  <c r="A136" i="8"/>
  <c r="AT136" i="8"/>
  <c r="AT135" i="8"/>
  <c r="A135" i="8"/>
  <c r="A134" i="8"/>
  <c r="AT134" i="8"/>
  <c r="A133" i="8"/>
  <c r="AT133" i="8"/>
  <c r="AC130" i="8"/>
  <c r="AF130" i="8"/>
  <c r="AD130" i="8"/>
  <c r="AC129" i="8"/>
  <c r="AG129" i="8" s="1"/>
  <c r="AD129" i="8"/>
  <c r="AC132" i="8"/>
  <c r="AD132" i="8"/>
  <c r="AF132" i="8"/>
  <c r="A128" i="8"/>
  <c r="AT128" i="8"/>
  <c r="AC127" i="8"/>
  <c r="AG127" i="8" s="1"/>
  <c r="AD127" i="8"/>
  <c r="AF126" i="8"/>
  <c r="AC126" i="8"/>
  <c r="AG126" i="8" s="1"/>
  <c r="AD126" i="8"/>
  <c r="AG132" i="8"/>
  <c r="AG130" i="8"/>
  <c r="A130" i="8"/>
  <c r="G77" i="10"/>
  <c r="I64" i="10"/>
  <c r="AC131" i="8"/>
  <c r="AG131" i="8" s="1"/>
  <c r="AF131" i="8"/>
  <c r="AD131" i="8"/>
  <c r="A132" i="8"/>
  <c r="AT132" i="8"/>
  <c r="AT131" i="8"/>
  <c r="A131" i="8"/>
  <c r="AC128" i="8"/>
  <c r="AG128" i="8" s="1"/>
  <c r="AF128" i="8"/>
  <c r="AT130" i="8"/>
  <c r="A129" i="8"/>
  <c r="AT129" i="8"/>
  <c r="A127" i="8"/>
  <c r="AT127" i="8"/>
  <c r="AT126" i="8"/>
  <c r="A126" i="8"/>
  <c r="AC121" i="8"/>
  <c r="AD121" i="8"/>
  <c r="AT125" i="8"/>
  <c r="A124" i="8"/>
  <c r="AT124" i="8"/>
  <c r="AT122" i="8"/>
  <c r="A122" i="8"/>
  <c r="AT117" i="8"/>
  <c r="A117" i="8"/>
  <c r="AD124" i="8"/>
  <c r="AC124" i="8"/>
  <c r="AG124" i="8" s="1"/>
  <c r="AC125" i="8"/>
  <c r="AG125" i="8" s="1"/>
  <c r="AD125" i="8"/>
  <c r="AG121" i="8"/>
  <c r="AC116" i="8"/>
  <c r="AG116" i="8" s="1"/>
  <c r="AD116" i="8"/>
  <c r="AF116" i="8"/>
  <c r="AF117" i="8"/>
  <c r="AD117" i="8"/>
  <c r="AC117" i="8"/>
  <c r="AG117" i="8" s="1"/>
  <c r="AD118" i="8"/>
  <c r="AF118" i="8"/>
  <c r="AC118" i="8"/>
  <c r="AG118" i="8" s="1"/>
  <c r="AF119" i="8"/>
  <c r="AD119" i="8"/>
  <c r="AC119" i="8"/>
  <c r="AG119" i="8" s="1"/>
  <c r="AD120" i="8"/>
  <c r="AC120" i="8"/>
  <c r="AG120" i="8" s="1"/>
  <c r="AD122" i="8"/>
  <c r="AF122" i="8"/>
  <c r="AC122" i="8"/>
  <c r="AG122" i="8" s="1"/>
  <c r="AD123" i="8"/>
  <c r="AF123" i="8"/>
  <c r="AC123" i="8"/>
  <c r="AG123" i="8" s="1"/>
  <c r="A123" i="8"/>
  <c r="AT123" i="8"/>
  <c r="A121" i="8"/>
  <c r="AT121" i="8"/>
  <c r="A120" i="8"/>
  <c r="AT120" i="8"/>
  <c r="AT119" i="8"/>
  <c r="A119" i="8"/>
  <c r="A118" i="8"/>
  <c r="AT118" i="8"/>
  <c r="A116" i="8"/>
  <c r="AT116" i="8"/>
  <c r="AT115" i="8"/>
  <c r="AT114" i="8"/>
  <c r="A114" i="8"/>
  <c r="AF115" i="8"/>
  <c r="AC115" i="8"/>
  <c r="AG115" i="8" s="1"/>
  <c r="AD115" i="8"/>
  <c r="AC114" i="8"/>
  <c r="AG114" i="8" s="1"/>
  <c r="AF114" i="8"/>
  <c r="AD114" i="8"/>
  <c r="A113" i="8"/>
  <c r="AT113" i="8"/>
  <c r="A112" i="8"/>
  <c r="AT112" i="8"/>
  <c r="AC108" i="8"/>
  <c r="AG108" i="8" s="1"/>
  <c r="AD108" i="8"/>
  <c r="AC80" i="8"/>
  <c r="AD80" i="8"/>
  <c r="AC113" i="8"/>
  <c r="AG113" i="8" s="1"/>
  <c r="AD113" i="8"/>
  <c r="AF113" i="8"/>
  <c r="AC107" i="8"/>
  <c r="AG107" i="8" s="1"/>
  <c r="AD107" i="8"/>
  <c r="AD111" i="8"/>
  <c r="AF111" i="8"/>
  <c r="AC111" i="8"/>
  <c r="AG111" i="8" s="1"/>
  <c r="AD112" i="8"/>
  <c r="AF112" i="8"/>
  <c r="AC112" i="8"/>
  <c r="AG112" i="8" s="1"/>
  <c r="A111" i="8"/>
  <c r="AT111" i="8"/>
  <c r="AC106" i="8"/>
  <c r="AF106" i="8"/>
  <c r="AD106" i="8"/>
  <c r="AT104" i="8"/>
  <c r="A104" i="8"/>
  <c r="AG106" i="8"/>
  <c r="AF104" i="8"/>
  <c r="AD104" i="8"/>
  <c r="AC104" i="8"/>
  <c r="AG104" i="8" s="1"/>
  <c r="AC105" i="8"/>
  <c r="AG105" i="8" s="1"/>
  <c r="AD105" i="8"/>
  <c r="AC109" i="8"/>
  <c r="AG109" i="8" s="1"/>
  <c r="AD109" i="8"/>
  <c r="AC110" i="8"/>
  <c r="AG110" i="8" s="1"/>
  <c r="AD110" i="8"/>
  <c r="AT110" i="8"/>
  <c r="A109" i="8"/>
  <c r="AT109" i="8"/>
  <c r="AT108" i="8"/>
  <c r="A108" i="8"/>
  <c r="AT107" i="8"/>
  <c r="A107" i="8"/>
  <c r="AT106" i="8"/>
  <c r="A106" i="8"/>
  <c r="AT105" i="8"/>
  <c r="A105" i="8"/>
  <c r="I42" i="10"/>
  <c r="G55" i="10"/>
  <c r="F35" i="10"/>
  <c r="H22" i="10"/>
  <c r="F16" i="10"/>
  <c r="H3" i="10"/>
  <c r="AD100" i="8"/>
  <c r="AF100" i="8"/>
  <c r="AC69" i="8"/>
  <c r="AD69" i="8"/>
  <c r="AF69" i="8"/>
  <c r="AC103" i="8"/>
  <c r="AG103" i="8" s="1"/>
  <c r="AD103" i="8"/>
  <c r="AF103" i="8"/>
  <c r="AT103" i="8"/>
  <c r="A103" i="8"/>
  <c r="AD88" i="8"/>
  <c r="AF88" i="8"/>
  <c r="AF95" i="8"/>
  <c r="AL98" i="8"/>
  <c r="AN98" i="8" s="1"/>
  <c r="AO98" i="8" s="1"/>
  <c r="AD101" i="8"/>
  <c r="AF101" i="8"/>
  <c r="P405" i="9"/>
  <c r="X99" i="8"/>
  <c r="AC101" i="8"/>
  <c r="AL83" i="8"/>
  <c r="AC102" i="8"/>
  <c r="AL102" i="8"/>
  <c r="AN102" i="8" s="1"/>
  <c r="AO102" i="8" s="1"/>
  <c r="AF102" i="8"/>
  <c r="AD102" i="8"/>
  <c r="X102" i="8"/>
  <c r="AL84" i="8"/>
  <c r="AF83" i="8"/>
  <c r="AF93" i="8"/>
  <c r="AD93" i="8"/>
  <c r="AD92" i="8"/>
  <c r="AN100" i="8"/>
  <c r="AO100" i="8" s="1"/>
  <c r="AF89" i="8"/>
  <c r="AD98" i="8"/>
  <c r="AC99" i="8"/>
  <c r="AF99" i="8"/>
  <c r="AC100" i="8"/>
  <c r="AC96" i="8"/>
  <c r="AC97" i="8"/>
  <c r="AF97" i="8"/>
  <c r="AF98" i="8"/>
  <c r="AD96" i="8"/>
  <c r="AD97" i="8"/>
  <c r="AF96" i="8"/>
  <c r="AC98" i="8"/>
  <c r="AD99" i="8"/>
  <c r="X101" i="8"/>
  <c r="X100" i="8"/>
  <c r="X98" i="8"/>
  <c r="X97" i="8"/>
  <c r="X96" i="8"/>
  <c r="AL101" i="8"/>
  <c r="AN101" i="8" s="1"/>
  <c r="AO101" i="8" s="1"/>
  <c r="AL99" i="8"/>
  <c r="AN99" i="8" s="1"/>
  <c r="AO99" i="8" s="1"/>
  <c r="AL97" i="8"/>
  <c r="AN97" i="8" s="1"/>
  <c r="AO97" i="8" s="1"/>
  <c r="AL96" i="8"/>
  <c r="AN96" i="8" s="1"/>
  <c r="AO96" i="8" s="1"/>
  <c r="AF84" i="8"/>
  <c r="AF75" i="8"/>
  <c r="AF82" i="8"/>
  <c r="AD95" i="8"/>
  <c r="AD94" i="8"/>
  <c r="AF94" i="8"/>
  <c r="AL94" i="8"/>
  <c r="AN94" i="8" s="1"/>
  <c r="AO94" i="8" s="1"/>
  <c r="AL95" i="8"/>
  <c r="AN95" i="8" s="1"/>
  <c r="AO95" i="8" s="1"/>
  <c r="AC94" i="8"/>
  <c r="AC95" i="8"/>
  <c r="X95" i="8"/>
  <c r="A95" i="8" s="1"/>
  <c r="X94" i="8"/>
  <c r="AL88" i="8"/>
  <c r="AF91" i="8"/>
  <c r="AD82" i="8"/>
  <c r="AD90" i="8"/>
  <c r="AC91" i="8"/>
  <c r="AL92" i="8"/>
  <c r="AN92" i="8" s="1"/>
  <c r="AO92" i="8" s="1"/>
  <c r="AC93" i="8"/>
  <c r="AL89" i="8"/>
  <c r="AN89" i="8" s="1"/>
  <c r="AF90" i="8"/>
  <c r="AL90" i="8"/>
  <c r="AN90" i="8" s="1"/>
  <c r="AO90" i="8" s="1"/>
  <c r="AC92" i="8"/>
  <c r="AL93" i="8"/>
  <c r="AN93" i="8" s="1"/>
  <c r="AO93" i="8" s="1"/>
  <c r="AD86" i="8"/>
  <c r="AC87" i="8"/>
  <c r="AL87" i="8"/>
  <c r="AN87" i="8" s="1"/>
  <c r="AO87" i="8" s="1"/>
  <c r="AC88" i="8"/>
  <c r="AC86" i="8"/>
  <c r="AL86" i="8"/>
  <c r="AN86" i="8" s="1"/>
  <c r="AO86" i="8" s="1"/>
  <c r="AD87" i="8"/>
  <c r="AD89" i="8"/>
  <c r="AC90" i="8"/>
  <c r="AD91" i="8"/>
  <c r="AL91" i="8"/>
  <c r="AN91" i="8" s="1"/>
  <c r="AO91" i="8" s="1"/>
  <c r="AF86" i="8"/>
  <c r="AF87" i="8"/>
  <c r="AC89" i="8"/>
  <c r="X93" i="8"/>
  <c r="A93" i="8" s="1"/>
  <c r="X92" i="8"/>
  <c r="X91" i="8"/>
  <c r="X90" i="8"/>
  <c r="X89" i="8"/>
  <c r="X88" i="8"/>
  <c r="X87" i="8"/>
  <c r="AD75" i="8"/>
  <c r="AD84" i="8"/>
  <c r="AD79" i="8"/>
  <c r="AF64" i="8"/>
  <c r="X85" i="8"/>
  <c r="X83" i="8"/>
  <c r="A83" i="8" s="1"/>
  <c r="AF85" i="8"/>
  <c r="AC83" i="8"/>
  <c r="AD78" i="8"/>
  <c r="AF73" i="8"/>
  <c r="AD83" i="8"/>
  <c r="AD85" i="8"/>
  <c r="AC82" i="8"/>
  <c r="AC84" i="8"/>
  <c r="AL85" i="8"/>
  <c r="AN85" i="8" s="1"/>
  <c r="AO85" i="8" s="1"/>
  <c r="AL82" i="8"/>
  <c r="AN82" i="8" s="1"/>
  <c r="AO82" i="8" s="1"/>
  <c r="AC85" i="8"/>
  <c r="X86" i="8"/>
  <c r="A86" i="8" s="1"/>
  <c r="X84" i="8"/>
  <c r="X82" i="8"/>
  <c r="AL75" i="8"/>
  <c r="N442" i="9"/>
  <c r="P433" i="9"/>
  <c r="P434" i="9"/>
  <c r="P435" i="9"/>
  <c r="P436" i="9"/>
  <c r="P437" i="9"/>
  <c r="P438" i="9"/>
  <c r="P439" i="9"/>
  <c r="X75" i="8"/>
  <c r="AF68" i="8"/>
  <c r="AD64" i="8"/>
  <c r="AF72" i="8"/>
  <c r="AD72" i="8"/>
  <c r="AD73" i="8"/>
  <c r="P404" i="9"/>
  <c r="AL71" i="8"/>
  <c r="AF81" i="8"/>
  <c r="X72" i="8"/>
  <c r="A72" i="8" s="1"/>
  <c r="AD81" i="8"/>
  <c r="X77" i="8"/>
  <c r="A77" i="8" s="1"/>
  <c r="AF67" i="8"/>
  <c r="AD74" i="8"/>
  <c r="AC81" i="8"/>
  <c r="X81" i="8"/>
  <c r="AL81" i="8"/>
  <c r="AN81" i="8" s="1"/>
  <c r="AO81" i="8" s="1"/>
  <c r="K124" i="6"/>
  <c r="AD76" i="8"/>
  <c r="AN76" i="8"/>
  <c r="AO76" i="8" s="1"/>
  <c r="AD77" i="8"/>
  <c r="AC78" i="8"/>
  <c r="AL78" i="8"/>
  <c r="AN78" i="8" s="1"/>
  <c r="AO78" i="8" s="1"/>
  <c r="AC79" i="8"/>
  <c r="AL79" i="8"/>
  <c r="AN79" i="8" s="1"/>
  <c r="AO79" i="8" s="1"/>
  <c r="AL80" i="8"/>
  <c r="AN80" i="8" s="1"/>
  <c r="AO80" i="8" s="1"/>
  <c r="AC76" i="8"/>
  <c r="AF76" i="8"/>
  <c r="AC77" i="8"/>
  <c r="AF77" i="8"/>
  <c r="AL77" i="8"/>
  <c r="AN77" i="8" s="1"/>
  <c r="AO77" i="8" s="1"/>
  <c r="X80" i="8"/>
  <c r="X79" i="8"/>
  <c r="X78" i="8"/>
  <c r="X76" i="8"/>
  <c r="AL62" i="8"/>
  <c r="AN62" i="8" s="1"/>
  <c r="AO62" i="8" s="1"/>
  <c r="AC74" i="8"/>
  <c r="AF74" i="8"/>
  <c r="AC75" i="8"/>
  <c r="X74" i="8"/>
  <c r="A74" i="8" s="1"/>
  <c r="AL74" i="8"/>
  <c r="AN74" i="8" s="1"/>
  <c r="AO74" i="8" s="1"/>
  <c r="AN72" i="8"/>
  <c r="AC73" i="8"/>
  <c r="AC72" i="8"/>
  <c r="X73" i="8"/>
  <c r="AL73" i="8"/>
  <c r="AN73" i="8" s="1"/>
  <c r="AO73" i="8" s="1"/>
  <c r="AD68" i="8"/>
  <c r="AL70" i="8"/>
  <c r="AN70" i="8" s="1"/>
  <c r="AO70" i="8" s="1"/>
  <c r="AF70" i="8"/>
  <c r="AC70" i="8"/>
  <c r="AD70" i="8"/>
  <c r="AD71" i="8"/>
  <c r="AC71" i="8"/>
  <c r="AF71" i="8"/>
  <c r="X71" i="8"/>
  <c r="A71" i="8" s="1"/>
  <c r="X70" i="8"/>
  <c r="A65" i="8"/>
  <c r="AD63" i="8"/>
  <c r="AF63" i="8"/>
  <c r="AC60" i="8"/>
  <c r="P232" i="9"/>
  <c r="P305" i="9"/>
  <c r="P304" i="9"/>
  <c r="P280" i="9"/>
  <c r="P301" i="9"/>
  <c r="P300" i="9"/>
  <c r="P299" i="9"/>
  <c r="P298" i="9"/>
  <c r="P296" i="9"/>
  <c r="P294" i="9"/>
  <c r="P292" i="9"/>
  <c r="P290" i="9"/>
  <c r="P288" i="9"/>
  <c r="P286" i="9"/>
  <c r="P284" i="9"/>
  <c r="P282" i="9"/>
  <c r="P279" i="9"/>
  <c r="P278" i="9"/>
  <c r="P277" i="9"/>
  <c r="P276" i="9"/>
  <c r="P275" i="9"/>
  <c r="N309" i="9"/>
  <c r="P303" i="9"/>
  <c r="P302" i="9"/>
  <c r="P297" i="9"/>
  <c r="P295" i="9"/>
  <c r="P293" i="9"/>
  <c r="P291" i="9"/>
  <c r="P289" i="9"/>
  <c r="P287" i="9"/>
  <c r="P285" i="9"/>
  <c r="P283" i="9"/>
  <c r="P281" i="9"/>
  <c r="AL69" i="8"/>
  <c r="AN69" i="8" s="1"/>
  <c r="X66" i="8"/>
  <c r="AT66" i="8" s="1"/>
  <c r="AL65" i="8"/>
  <c r="AN65" i="8" s="1"/>
  <c r="AO65" i="8" s="1"/>
  <c r="X67" i="8"/>
  <c r="X68" i="8"/>
  <c r="X69" i="8"/>
  <c r="AC66" i="8"/>
  <c r="AL67" i="8"/>
  <c r="AN67" i="8" s="1"/>
  <c r="AO67" i="8" s="1"/>
  <c r="AC68" i="8"/>
  <c r="AL68" i="8"/>
  <c r="AN68" i="8" s="1"/>
  <c r="AO68" i="8" s="1"/>
  <c r="AD66" i="8"/>
  <c r="AL66" i="8"/>
  <c r="AN66" i="8" s="1"/>
  <c r="AO66" i="8" s="1"/>
  <c r="AF66" i="8"/>
  <c r="AC67" i="8"/>
  <c r="AD67" i="8"/>
  <c r="AC64" i="8"/>
  <c r="AC65" i="8"/>
  <c r="AD65" i="8"/>
  <c r="AF65" i="8"/>
  <c r="AL64" i="8"/>
  <c r="AN64" i="8" s="1"/>
  <c r="AO64" i="8" s="1"/>
  <c r="AL63" i="8"/>
  <c r="AN63" i="8" s="1"/>
  <c r="AO63" i="8" s="1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24" i="9"/>
  <c r="P223" i="9"/>
  <c r="P222" i="9"/>
  <c r="P221" i="9"/>
  <c r="P220" i="9"/>
  <c r="P219" i="9"/>
  <c r="P189" i="9"/>
  <c r="P267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42" i="9"/>
  <c r="N269" i="9"/>
  <c r="P204" i="9"/>
  <c r="N235" i="9"/>
  <c r="AT65" i="8"/>
  <c r="AT64" i="8"/>
  <c r="A64" i="8"/>
  <c r="AG63" i="8"/>
  <c r="AT63" i="8"/>
  <c r="A63" i="8"/>
  <c r="AT62" i="8"/>
  <c r="A62" i="8"/>
  <c r="AC61" i="8"/>
  <c r="AG61" i="8" s="1"/>
  <c r="AD61" i="8"/>
  <c r="AF61" i="8"/>
  <c r="AC62" i="8"/>
  <c r="AG62" i="8" s="1"/>
  <c r="AD62" i="8"/>
  <c r="AD60" i="8"/>
  <c r="AF60" i="8"/>
  <c r="AT61" i="8"/>
  <c r="A61" i="8"/>
  <c r="AT60" i="8"/>
  <c r="A60" i="8"/>
  <c r="AT59" i="8"/>
  <c r="A59" i="8"/>
  <c r="AT58" i="8"/>
  <c r="A58" i="8"/>
  <c r="AT57" i="8"/>
  <c r="A57" i="8"/>
  <c r="AF57" i="8"/>
  <c r="AD57" i="8"/>
  <c r="AC57" i="8"/>
  <c r="AG57" i="8" s="1"/>
  <c r="AC58" i="8"/>
  <c r="AG58" i="8" s="1"/>
  <c r="AD58" i="8"/>
  <c r="AF58" i="8"/>
  <c r="AF59" i="8"/>
  <c r="AD59" i="8"/>
  <c r="AC59" i="8"/>
  <c r="AG59" i="8" s="1"/>
  <c r="AC56" i="8"/>
  <c r="AG56" i="8" s="1"/>
  <c r="AD56" i="8"/>
  <c r="AF56" i="8"/>
  <c r="A56" i="8"/>
  <c r="AT56" i="8"/>
  <c r="AD55" i="8"/>
  <c r="AF55" i="8"/>
  <c r="AC55" i="8"/>
  <c r="AG55" i="8" s="1"/>
  <c r="AT55" i="8"/>
  <c r="P170" i="9"/>
  <c r="N196" i="9"/>
  <c r="N162" i="9"/>
  <c r="P139" i="9"/>
  <c r="P162" i="9" s="1"/>
  <c r="AC53" i="8"/>
  <c r="AG53" i="8" s="1"/>
  <c r="AD53" i="8"/>
  <c r="AF53" i="8"/>
  <c r="AC54" i="8"/>
  <c r="AG54" i="8" s="1"/>
  <c r="AF54" i="8"/>
  <c r="AF52" i="8"/>
  <c r="AC52" i="8"/>
  <c r="AG52" i="8" s="1"/>
  <c r="AD52" i="8"/>
  <c r="A54" i="8"/>
  <c r="AT54" i="8"/>
  <c r="A53" i="8"/>
  <c r="AT53" i="8"/>
  <c r="A52" i="8"/>
  <c r="AT52" i="8"/>
  <c r="AA50" i="8"/>
  <c r="AK50" i="8"/>
  <c r="AL50" i="8" s="1"/>
  <c r="AN50" i="8" s="1"/>
  <c r="AO50" i="8" s="1"/>
  <c r="AA51" i="8"/>
  <c r="AK51" i="8"/>
  <c r="AL51" i="8" s="1"/>
  <c r="AN51" i="8" s="1"/>
  <c r="AO51" i="8" s="1"/>
  <c r="S51" i="8"/>
  <c r="X51" i="8" s="1"/>
  <c r="W51" i="8"/>
  <c r="S50" i="8"/>
  <c r="X50" i="8" s="1"/>
  <c r="W50" i="8"/>
  <c r="O51" i="8"/>
  <c r="M51" i="8"/>
  <c r="M50" i="8"/>
  <c r="J78" i="6"/>
  <c r="I78" i="6"/>
  <c r="K58" i="6"/>
  <c r="K57" i="6"/>
  <c r="O37" i="8"/>
  <c r="O36" i="8"/>
  <c r="AA48" i="8"/>
  <c r="AD48" i="8" s="1"/>
  <c r="AK48" i="8"/>
  <c r="AL48" i="8" s="1"/>
  <c r="AN48" i="8" s="1"/>
  <c r="AO48" i="8" s="1"/>
  <c r="AA49" i="8"/>
  <c r="AC49" i="8" s="1"/>
  <c r="AK49" i="8"/>
  <c r="AL49" i="8" s="1"/>
  <c r="AN49" i="8" s="1"/>
  <c r="AO49" i="8" s="1"/>
  <c r="W48" i="8"/>
  <c r="W49" i="8"/>
  <c r="S49" i="8"/>
  <c r="X49" i="8" s="1"/>
  <c r="S48" i="8"/>
  <c r="X48" i="8" s="1"/>
  <c r="M49" i="8"/>
  <c r="M48" i="8"/>
  <c r="K56" i="6"/>
  <c r="K55" i="6"/>
  <c r="O132" i="9"/>
  <c r="K132" i="9"/>
  <c r="AA47" i="8"/>
  <c r="AC47" i="8" s="1"/>
  <c r="AK47" i="8"/>
  <c r="AL47" i="8" s="1"/>
  <c r="AN47" i="8" s="1"/>
  <c r="AO47" i="8" s="1"/>
  <c r="S47" i="8"/>
  <c r="X47" i="8" s="1"/>
  <c r="A47" i="8" s="1"/>
  <c r="W47" i="8"/>
  <c r="M47" i="8"/>
  <c r="L64" i="10" l="1"/>
  <c r="L77" i="10" s="1"/>
  <c r="I77" i="10"/>
  <c r="AG70" i="8"/>
  <c r="AG101" i="8"/>
  <c r="A99" i="8"/>
  <c r="AT99" i="8"/>
  <c r="P442" i="9"/>
  <c r="I55" i="10"/>
  <c r="L42" i="10"/>
  <c r="L55" i="10" s="1"/>
  <c r="H35" i="10"/>
  <c r="K22" i="10"/>
  <c r="K3" i="10"/>
  <c r="H16" i="10"/>
  <c r="AG99" i="8"/>
  <c r="AN83" i="8"/>
  <c r="AO83" i="8" s="1"/>
  <c r="AN84" i="8"/>
  <c r="AO84" i="8" s="1"/>
  <c r="AG102" i="8"/>
  <c r="A102" i="8"/>
  <c r="AT102" i="8"/>
  <c r="AN88" i="8"/>
  <c r="AO88" i="8" s="1"/>
  <c r="AG100" i="8"/>
  <c r="AG96" i="8"/>
  <c r="AG97" i="8"/>
  <c r="AG98" i="8"/>
  <c r="AT83" i="8"/>
  <c r="A101" i="8"/>
  <c r="AT101" i="8"/>
  <c r="AT100" i="8"/>
  <c r="A100" i="8"/>
  <c r="AT98" i="8"/>
  <c r="A98" i="8"/>
  <c r="A97" i="8"/>
  <c r="AT97" i="8"/>
  <c r="A96" i="8"/>
  <c r="AT96" i="8"/>
  <c r="AG95" i="8"/>
  <c r="AG94" i="8"/>
  <c r="AO89" i="8"/>
  <c r="AT95" i="8"/>
  <c r="A94" i="8"/>
  <c r="AT94" i="8"/>
  <c r="AG83" i="8"/>
  <c r="AG85" i="8"/>
  <c r="AT85" i="8"/>
  <c r="A85" i="8"/>
  <c r="AG77" i="8"/>
  <c r="AG92" i="8"/>
  <c r="AG88" i="8"/>
  <c r="AG87" i="8"/>
  <c r="AG86" i="8"/>
  <c r="AG90" i="8"/>
  <c r="AG91" i="8"/>
  <c r="AG93" i="8"/>
  <c r="AG89" i="8"/>
  <c r="AT93" i="8"/>
  <c r="A92" i="8"/>
  <c r="AT92" i="8"/>
  <c r="A91" i="8"/>
  <c r="AT91" i="8"/>
  <c r="AT90" i="8"/>
  <c r="A90" i="8"/>
  <c r="AT89" i="8"/>
  <c r="A89" i="8"/>
  <c r="A88" i="8"/>
  <c r="AT88" i="8"/>
  <c r="AT87" i="8"/>
  <c r="A87" i="8"/>
  <c r="AN75" i="8"/>
  <c r="AN71" i="8"/>
  <c r="AO71" i="8" s="1"/>
  <c r="AG82" i="8"/>
  <c r="AG84" i="8"/>
  <c r="AT75" i="8"/>
  <c r="AT86" i="8"/>
  <c r="AT84" i="8"/>
  <c r="A84" i="8"/>
  <c r="AT82" i="8"/>
  <c r="A82" i="8"/>
  <c r="A75" i="8"/>
  <c r="AG75" i="8"/>
  <c r="AG72" i="8"/>
  <c r="AT72" i="8"/>
  <c r="AT77" i="8"/>
  <c r="AO72" i="8"/>
  <c r="AG81" i="8"/>
  <c r="AG78" i="8"/>
  <c r="AG80" i="8"/>
  <c r="AG79" i="8"/>
  <c r="AG76" i="8"/>
  <c r="AO75" i="8"/>
  <c r="AT81" i="8"/>
  <c r="A81" i="8"/>
  <c r="A80" i="8"/>
  <c r="AT80" i="8"/>
  <c r="A79" i="8"/>
  <c r="AT79" i="8"/>
  <c r="A78" i="8"/>
  <c r="AT78" i="8"/>
  <c r="AT76" i="8"/>
  <c r="A76" i="8"/>
  <c r="AG74" i="8"/>
  <c r="AT74" i="8"/>
  <c r="AG66" i="8"/>
  <c r="AG73" i="8"/>
  <c r="AO69" i="8"/>
  <c r="A73" i="8"/>
  <c r="AT73" i="8"/>
  <c r="AG68" i="8"/>
  <c r="AG67" i="8"/>
  <c r="AG60" i="8"/>
  <c r="AG71" i="8"/>
  <c r="AT71" i="8"/>
  <c r="A70" i="8"/>
  <c r="AT70" i="8"/>
  <c r="A66" i="8"/>
  <c r="P309" i="9"/>
  <c r="A67" i="8"/>
  <c r="AT67" i="8"/>
  <c r="AT68" i="8"/>
  <c r="A68" i="8"/>
  <c r="AT69" i="8"/>
  <c r="AG69" i="8"/>
  <c r="A69" i="8"/>
  <c r="AG65" i="8"/>
  <c r="AG64" i="8"/>
  <c r="P196" i="9"/>
  <c r="P269" i="9"/>
  <c r="P235" i="9"/>
  <c r="AD50" i="8"/>
  <c r="AC50" i="8"/>
  <c r="AG50" i="8" s="1"/>
  <c r="AF50" i="8"/>
  <c r="AC51" i="8"/>
  <c r="AG51" i="8" s="1"/>
  <c r="AD51" i="8"/>
  <c r="AT51" i="8"/>
  <c r="A51" i="8"/>
  <c r="AT50" i="8"/>
  <c r="A50" i="8"/>
  <c r="AT49" i="8"/>
  <c r="A49" i="8"/>
  <c r="AF51" i="8"/>
  <c r="AF48" i="8"/>
  <c r="A48" i="8"/>
  <c r="AT48" i="8"/>
  <c r="AG49" i="8"/>
  <c r="AT47" i="8"/>
  <c r="AC48" i="8"/>
  <c r="AG48" i="8" s="1"/>
  <c r="AF49" i="8"/>
  <c r="AD49" i="8"/>
  <c r="AG47" i="8"/>
  <c r="AF47" i="8"/>
  <c r="AD47" i="8"/>
  <c r="I132" i="9"/>
  <c r="N124" i="9"/>
  <c r="P124" i="9" s="1"/>
  <c r="N125" i="9"/>
  <c r="P125" i="9" s="1"/>
  <c r="N126" i="9"/>
  <c r="P126" i="9" s="1"/>
  <c r="N127" i="9"/>
  <c r="P127" i="9" s="1"/>
  <c r="N128" i="9"/>
  <c r="P128" i="9" s="1"/>
  <c r="N129" i="9"/>
  <c r="N123" i="9"/>
  <c r="P123" i="9" s="1"/>
  <c r="N122" i="9"/>
  <c r="P122" i="9" s="1"/>
  <c r="N121" i="9"/>
  <c r="P121" i="9" s="1"/>
  <c r="N120" i="9"/>
  <c r="P120" i="9" s="1"/>
  <c r="N119" i="9"/>
  <c r="P119" i="9" s="1"/>
  <c r="N118" i="9"/>
  <c r="P118" i="9" s="1"/>
  <c r="N117" i="9"/>
  <c r="P117" i="9" s="1"/>
  <c r="N116" i="9"/>
  <c r="P116" i="9" s="1"/>
  <c r="N115" i="9"/>
  <c r="P115" i="9" s="1"/>
  <c r="N114" i="9"/>
  <c r="P114" i="9" s="1"/>
  <c r="N113" i="9"/>
  <c r="P113" i="9" s="1"/>
  <c r="N112" i="9"/>
  <c r="P112" i="9" s="1"/>
  <c r="N111" i="9"/>
  <c r="P111" i="9" s="1"/>
  <c r="N110" i="9"/>
  <c r="N132" i="9" s="1"/>
  <c r="K54" i="6"/>
  <c r="AA41" i="8"/>
  <c r="AC41" i="8" s="1"/>
  <c r="AK41" i="8"/>
  <c r="AL41" i="8" s="1"/>
  <c r="AN41" i="8" s="1"/>
  <c r="AO41" i="8" s="1"/>
  <c r="AA42" i="8"/>
  <c r="AC42" i="8" s="1"/>
  <c r="AK42" i="8"/>
  <c r="AL42" i="8" s="1"/>
  <c r="AN42" i="8" s="1"/>
  <c r="AO42" i="8" s="1"/>
  <c r="AA43" i="8"/>
  <c r="AC43" i="8" s="1"/>
  <c r="AK43" i="8"/>
  <c r="AL43" i="8" s="1"/>
  <c r="AN43" i="8" s="1"/>
  <c r="AO43" i="8" s="1"/>
  <c r="AA44" i="8"/>
  <c r="AF44" i="8" s="1"/>
  <c r="AK44" i="8"/>
  <c r="AL44" i="8" s="1"/>
  <c r="AN44" i="8" s="1"/>
  <c r="AO44" i="8" s="1"/>
  <c r="AA45" i="8"/>
  <c r="AC45" i="8" s="1"/>
  <c r="AK45" i="8"/>
  <c r="AL45" i="8" s="1"/>
  <c r="AN45" i="8" s="1"/>
  <c r="AO45" i="8" s="1"/>
  <c r="AA46" i="8"/>
  <c r="AF46" i="8" s="1"/>
  <c r="AK46" i="8"/>
  <c r="AL46" i="8" s="1"/>
  <c r="AN46" i="8" s="1"/>
  <c r="AO46" i="8" s="1"/>
  <c r="S46" i="8"/>
  <c r="X46" i="8" s="1"/>
  <c r="AT46" i="8" s="1"/>
  <c r="W46" i="8"/>
  <c r="S45" i="8"/>
  <c r="X45" i="8" s="1"/>
  <c r="W45" i="8"/>
  <c r="S44" i="8"/>
  <c r="X44" i="8" s="1"/>
  <c r="W44" i="8"/>
  <c r="S43" i="8"/>
  <c r="X43" i="8" s="1"/>
  <c r="W43" i="8"/>
  <c r="S42" i="8"/>
  <c r="X42" i="8" s="1"/>
  <c r="W42" i="8"/>
  <c r="S41" i="8"/>
  <c r="X41" i="8" s="1"/>
  <c r="W41" i="8"/>
  <c r="O41" i="8"/>
  <c r="O42" i="8"/>
  <c r="O43" i="8"/>
  <c r="O44" i="8"/>
  <c r="O45" i="8"/>
  <c r="M46" i="8"/>
  <c r="M45" i="8"/>
  <c r="M44" i="8"/>
  <c r="M43" i="8"/>
  <c r="M42" i="8"/>
  <c r="M41" i="8"/>
  <c r="K51" i="6"/>
  <c r="K52" i="6"/>
  <c r="K53" i="6"/>
  <c r="K50" i="6"/>
  <c r="K49" i="6"/>
  <c r="K48" i="6"/>
  <c r="O103" i="9"/>
  <c r="K103" i="9"/>
  <c r="I103" i="9"/>
  <c r="N99" i="9"/>
  <c r="P99" i="9" s="1"/>
  <c r="N98" i="9"/>
  <c r="P98" i="9" s="1"/>
  <c r="N97" i="9"/>
  <c r="P97" i="9" s="1"/>
  <c r="N96" i="9"/>
  <c r="P96" i="9" s="1"/>
  <c r="N95" i="9"/>
  <c r="P95" i="9" s="1"/>
  <c r="N94" i="9"/>
  <c r="P94" i="9" s="1"/>
  <c r="N93" i="9"/>
  <c r="P93" i="9" s="1"/>
  <c r="N92" i="9"/>
  <c r="P92" i="9" s="1"/>
  <c r="N91" i="9"/>
  <c r="P91" i="9" s="1"/>
  <c r="N90" i="9"/>
  <c r="AA37" i="8"/>
  <c r="AD37" i="8" s="1"/>
  <c r="AK37" i="8"/>
  <c r="AL37" i="8" s="1"/>
  <c r="AN37" i="8" s="1"/>
  <c r="AO37" i="8" s="1"/>
  <c r="AA38" i="8"/>
  <c r="AC38" i="8" s="1"/>
  <c r="AK38" i="8"/>
  <c r="AL38" i="8" s="1"/>
  <c r="AN38" i="8" s="1"/>
  <c r="AO38" i="8" s="1"/>
  <c r="AA39" i="8"/>
  <c r="AD39" i="8" s="1"/>
  <c r="AK39" i="8"/>
  <c r="AL39" i="8" s="1"/>
  <c r="AN39" i="8" s="1"/>
  <c r="AO39" i="8" s="1"/>
  <c r="AA40" i="8"/>
  <c r="AC40" i="8" s="1"/>
  <c r="AK40" i="8"/>
  <c r="AL40" i="8" s="1"/>
  <c r="AN40" i="8" s="1"/>
  <c r="AO40" i="8" s="1"/>
  <c r="S40" i="8"/>
  <c r="X40" i="8" s="1"/>
  <c r="A40" i="8" s="1"/>
  <c r="W40" i="8"/>
  <c r="S39" i="8"/>
  <c r="X39" i="8" s="1"/>
  <c r="AT39" i="8" s="1"/>
  <c r="W39" i="8"/>
  <c r="S38" i="8"/>
  <c r="X38" i="8" s="1"/>
  <c r="A38" i="8" s="1"/>
  <c r="W38" i="8"/>
  <c r="S37" i="8"/>
  <c r="X37" i="8" s="1"/>
  <c r="A37" i="8" s="1"/>
  <c r="W37" i="8"/>
  <c r="O38" i="8"/>
  <c r="O39" i="8"/>
  <c r="O40" i="8"/>
  <c r="M40" i="8"/>
  <c r="M39" i="8"/>
  <c r="M38" i="8"/>
  <c r="M37" i="8"/>
  <c r="K47" i="6"/>
  <c r="K46" i="6"/>
  <c r="K45" i="6"/>
  <c r="K44" i="6"/>
  <c r="AA32" i="8"/>
  <c r="AC32" i="8" s="1"/>
  <c r="AK32" i="8"/>
  <c r="AL32" i="8" s="1"/>
  <c r="AN32" i="8" s="1"/>
  <c r="AO32" i="8" s="1"/>
  <c r="AA33" i="8"/>
  <c r="AC33" i="8" s="1"/>
  <c r="AK33" i="8"/>
  <c r="AL33" i="8" s="1"/>
  <c r="AN33" i="8" s="1"/>
  <c r="AO33" i="8" s="1"/>
  <c r="AA34" i="8"/>
  <c r="AD34" i="8" s="1"/>
  <c r="AK34" i="8"/>
  <c r="AL34" i="8" s="1"/>
  <c r="AN34" i="8" s="1"/>
  <c r="AO34" i="8" s="1"/>
  <c r="AA35" i="8"/>
  <c r="AC35" i="8" s="1"/>
  <c r="AK35" i="8"/>
  <c r="AL35" i="8" s="1"/>
  <c r="AN35" i="8" s="1"/>
  <c r="AO35" i="8" s="1"/>
  <c r="AA36" i="8"/>
  <c r="AC36" i="8" s="1"/>
  <c r="AK36" i="8"/>
  <c r="AL36" i="8" s="1"/>
  <c r="AN36" i="8" s="1"/>
  <c r="AO36" i="8" s="1"/>
  <c r="S36" i="8"/>
  <c r="X36" i="8" s="1"/>
  <c r="W36" i="8"/>
  <c r="S35" i="8"/>
  <c r="X35" i="8" s="1"/>
  <c r="W35" i="8"/>
  <c r="S34" i="8"/>
  <c r="X34" i="8" s="1"/>
  <c r="W34" i="8"/>
  <c r="S33" i="8"/>
  <c r="X33" i="8" s="1"/>
  <c r="W33" i="8"/>
  <c r="S32" i="8"/>
  <c r="X32" i="8" s="1"/>
  <c r="AT32" i="8" s="1"/>
  <c r="W32" i="8"/>
  <c r="O32" i="8"/>
  <c r="O33" i="8"/>
  <c r="O34" i="8"/>
  <c r="O35" i="8"/>
  <c r="M36" i="8"/>
  <c r="M35" i="8"/>
  <c r="M34" i="8"/>
  <c r="M33" i="8"/>
  <c r="M32" i="8"/>
  <c r="K41" i="6"/>
  <c r="K43" i="6"/>
  <c r="K42" i="6"/>
  <c r="K40" i="6"/>
  <c r="K39" i="6"/>
  <c r="K84" i="9"/>
  <c r="O84" i="9"/>
  <c r="I84" i="9"/>
  <c r="N67" i="9"/>
  <c r="P67" i="9" s="1"/>
  <c r="N68" i="9"/>
  <c r="P68" i="9" s="1"/>
  <c r="N69" i="9"/>
  <c r="P69" i="9" s="1"/>
  <c r="N70" i="9"/>
  <c r="P70" i="9" s="1"/>
  <c r="N71" i="9"/>
  <c r="P71" i="9" s="1"/>
  <c r="N72" i="9"/>
  <c r="P72" i="9" s="1"/>
  <c r="N73" i="9"/>
  <c r="P73" i="9" s="1"/>
  <c r="N74" i="9"/>
  <c r="P74" i="9" s="1"/>
  <c r="N75" i="9"/>
  <c r="P75" i="9" s="1"/>
  <c r="N76" i="9"/>
  <c r="P76" i="9" s="1"/>
  <c r="N77" i="9"/>
  <c r="P77" i="9" s="1"/>
  <c r="N78" i="9"/>
  <c r="P78" i="9" s="1"/>
  <c r="N79" i="9"/>
  <c r="P79" i="9" s="1"/>
  <c r="N80" i="9"/>
  <c r="P80" i="9" s="1"/>
  <c r="N81" i="9"/>
  <c r="P81" i="9" s="1"/>
  <c r="N82" i="9"/>
  <c r="P82" i="9" s="1"/>
  <c r="N66" i="9"/>
  <c r="P66" i="9" s="1"/>
  <c r="AA28" i="8"/>
  <c r="AD28" i="8" s="1"/>
  <c r="AK28" i="8"/>
  <c r="AL28" i="8" s="1"/>
  <c r="AN28" i="8" s="1"/>
  <c r="AO28" i="8" s="1"/>
  <c r="AA29" i="8"/>
  <c r="AC29" i="8" s="1"/>
  <c r="AK29" i="8"/>
  <c r="AL29" i="8" s="1"/>
  <c r="AN29" i="8" s="1"/>
  <c r="AO29" i="8" s="1"/>
  <c r="AA30" i="8"/>
  <c r="AC30" i="8" s="1"/>
  <c r="AK30" i="8"/>
  <c r="AL30" i="8" s="1"/>
  <c r="AN30" i="8" s="1"/>
  <c r="AO30" i="8" s="1"/>
  <c r="AA31" i="8"/>
  <c r="AC31" i="8" s="1"/>
  <c r="AK31" i="8"/>
  <c r="AL31" i="8" s="1"/>
  <c r="AN31" i="8" s="1"/>
  <c r="AO31" i="8" s="1"/>
  <c r="W29" i="8"/>
  <c r="W30" i="8"/>
  <c r="W31" i="8"/>
  <c r="S31" i="8"/>
  <c r="X31" i="8" s="1"/>
  <c r="S30" i="8"/>
  <c r="X30" i="8" s="1"/>
  <c r="A30" i="8" s="1"/>
  <c r="S29" i="8"/>
  <c r="X29" i="8" s="1"/>
  <c r="O29" i="8"/>
  <c r="O30" i="8"/>
  <c r="O31" i="8"/>
  <c r="M31" i="8"/>
  <c r="M30" i="8"/>
  <c r="M29" i="8"/>
  <c r="N47" i="9"/>
  <c r="P47" i="9" s="1"/>
  <c r="N48" i="9"/>
  <c r="P48" i="9" s="1"/>
  <c r="N49" i="9"/>
  <c r="P49" i="9" s="1"/>
  <c r="N50" i="9"/>
  <c r="P50" i="9" s="1"/>
  <c r="N51" i="9"/>
  <c r="P51" i="9" s="1"/>
  <c r="N52" i="9"/>
  <c r="P52" i="9" s="1"/>
  <c r="N53" i="9"/>
  <c r="P53" i="9" s="1"/>
  <c r="N54" i="9"/>
  <c r="P54" i="9" s="1"/>
  <c r="N55" i="9"/>
  <c r="P55" i="9" s="1"/>
  <c r="N46" i="9"/>
  <c r="P46" i="9" s="1"/>
  <c r="K38" i="6"/>
  <c r="K37" i="6"/>
  <c r="K36" i="6"/>
  <c r="K29" i="6"/>
  <c r="O59" i="9"/>
  <c r="K59" i="9"/>
  <c r="I59" i="9"/>
  <c r="M22" i="8"/>
  <c r="O22" i="8"/>
  <c r="K39" i="9"/>
  <c r="N25" i="9"/>
  <c r="K25" i="9"/>
  <c r="AA24" i="8"/>
  <c r="AD24" i="8" s="1"/>
  <c r="AK24" i="8"/>
  <c r="AL24" i="8" s="1"/>
  <c r="AN24" i="8" s="1"/>
  <c r="AO24" i="8" s="1"/>
  <c r="AA25" i="8"/>
  <c r="AC25" i="8" s="1"/>
  <c r="AK25" i="8"/>
  <c r="AL25" i="8" s="1"/>
  <c r="AN25" i="8" s="1"/>
  <c r="AO25" i="8" s="1"/>
  <c r="AA26" i="8"/>
  <c r="AC26" i="8" s="1"/>
  <c r="AK26" i="8"/>
  <c r="AL26" i="8" s="1"/>
  <c r="AN26" i="8" s="1"/>
  <c r="AO26" i="8" s="1"/>
  <c r="AA27" i="8"/>
  <c r="AC27" i="8" s="1"/>
  <c r="AK27" i="8"/>
  <c r="AL27" i="8" s="1"/>
  <c r="AN27" i="8" s="1"/>
  <c r="AO27" i="8" s="1"/>
  <c r="S28" i="8"/>
  <c r="X28" i="8" s="1"/>
  <c r="AT28" i="8" s="1"/>
  <c r="W28" i="8"/>
  <c r="S27" i="8"/>
  <c r="X27" i="8" s="1"/>
  <c r="W27" i="8"/>
  <c r="S26" i="8"/>
  <c r="X26" i="8" s="1"/>
  <c r="W26" i="8"/>
  <c r="S25" i="8"/>
  <c r="X25" i="8" s="1"/>
  <c r="AT25" i="8" s="1"/>
  <c r="W25" i="8"/>
  <c r="S24" i="8"/>
  <c r="X24" i="8" s="1"/>
  <c r="W24" i="8"/>
  <c r="O24" i="8"/>
  <c r="O25" i="8"/>
  <c r="O26" i="8"/>
  <c r="O27" i="8"/>
  <c r="O28" i="8"/>
  <c r="M28" i="8"/>
  <c r="M27" i="8"/>
  <c r="M26" i="8"/>
  <c r="M25" i="8"/>
  <c r="M24" i="8"/>
  <c r="K35" i="6"/>
  <c r="K34" i="6"/>
  <c r="K33" i="6"/>
  <c r="K32" i="6"/>
  <c r="K31" i="6"/>
  <c r="O39" i="9"/>
  <c r="I39" i="9"/>
  <c r="N33" i="9"/>
  <c r="P33" i="9" s="1"/>
  <c r="N34" i="9"/>
  <c r="P34" i="9" s="1"/>
  <c r="N35" i="9"/>
  <c r="P35" i="9" s="1"/>
  <c r="N36" i="9"/>
  <c r="P36" i="9" s="1"/>
  <c r="N37" i="9"/>
  <c r="P37" i="9" s="1"/>
  <c r="N32" i="9"/>
  <c r="P32" i="9" s="1"/>
  <c r="O25" i="9"/>
  <c r="P18" i="9"/>
  <c r="P19" i="9"/>
  <c r="P20" i="9"/>
  <c r="P21" i="9"/>
  <c r="P22" i="9"/>
  <c r="P23" i="9"/>
  <c r="I25" i="9"/>
  <c r="P17" i="9"/>
  <c r="K30" i="6"/>
  <c r="K28" i="6"/>
  <c r="K27" i="6"/>
  <c r="K26" i="6"/>
  <c r="K25" i="6"/>
  <c r="K24" i="6"/>
  <c r="K23" i="6"/>
  <c r="AA16" i="8"/>
  <c r="AC16" i="8" s="1"/>
  <c r="AK16" i="8"/>
  <c r="AL16" i="8" s="1"/>
  <c r="AN16" i="8" s="1"/>
  <c r="AO16" i="8" s="1"/>
  <c r="AA17" i="8"/>
  <c r="AC17" i="8" s="1"/>
  <c r="AK17" i="8"/>
  <c r="AL17" i="8" s="1"/>
  <c r="AN17" i="8" s="1"/>
  <c r="AO17" i="8" s="1"/>
  <c r="AA18" i="8"/>
  <c r="AC18" i="8" s="1"/>
  <c r="AK18" i="8"/>
  <c r="AL18" i="8" s="1"/>
  <c r="AN18" i="8" s="1"/>
  <c r="AO18" i="8" s="1"/>
  <c r="AA19" i="8"/>
  <c r="AC19" i="8" s="1"/>
  <c r="AK19" i="8"/>
  <c r="AL19" i="8" s="1"/>
  <c r="AN19" i="8" s="1"/>
  <c r="AO19" i="8" s="1"/>
  <c r="AA20" i="8"/>
  <c r="AC20" i="8" s="1"/>
  <c r="AK20" i="8"/>
  <c r="AL20" i="8" s="1"/>
  <c r="AN20" i="8" s="1"/>
  <c r="AO20" i="8" s="1"/>
  <c r="AA21" i="8"/>
  <c r="AF21" i="8" s="1"/>
  <c r="AK21" i="8"/>
  <c r="AL21" i="8" s="1"/>
  <c r="AN21" i="8" s="1"/>
  <c r="AO21" i="8" s="1"/>
  <c r="AA22" i="8"/>
  <c r="AD22" i="8" s="1"/>
  <c r="AK22" i="8"/>
  <c r="AL22" i="8" s="1"/>
  <c r="AN22" i="8" s="1"/>
  <c r="AO22" i="8" s="1"/>
  <c r="AA23" i="8"/>
  <c r="AC23" i="8" s="1"/>
  <c r="AK23" i="8"/>
  <c r="AL23" i="8" s="1"/>
  <c r="AN23" i="8" s="1"/>
  <c r="AO23" i="8" s="1"/>
  <c r="W23" i="8"/>
  <c r="S22" i="8"/>
  <c r="X22" i="8" s="1"/>
  <c r="A22" i="8" s="1"/>
  <c r="W22" i="8"/>
  <c r="W21" i="8"/>
  <c r="W20" i="8"/>
  <c r="S19" i="8"/>
  <c r="X19" i="8" s="1"/>
  <c r="W19" i="8"/>
  <c r="W18" i="8"/>
  <c r="W17" i="8"/>
  <c r="W16" i="8"/>
  <c r="O16" i="8"/>
  <c r="O17" i="8"/>
  <c r="O18" i="8"/>
  <c r="O19" i="8"/>
  <c r="O20" i="8"/>
  <c r="O21" i="8"/>
  <c r="O23" i="8"/>
  <c r="S23" i="8"/>
  <c r="X23" i="8" s="1"/>
  <c r="S21" i="8"/>
  <c r="X21" i="8" s="1"/>
  <c r="A21" i="8" s="1"/>
  <c r="S20" i="8"/>
  <c r="X20" i="8" s="1"/>
  <c r="S18" i="8"/>
  <c r="X18" i="8" s="1"/>
  <c r="S17" i="8"/>
  <c r="X17" i="8" s="1"/>
  <c r="X16" i="8"/>
  <c r="M17" i="8"/>
  <c r="M18" i="8"/>
  <c r="M19" i="8"/>
  <c r="M20" i="8"/>
  <c r="M21" i="8"/>
  <c r="M23" i="8"/>
  <c r="M16" i="8"/>
  <c r="J18" i="6"/>
  <c r="I18" i="6"/>
  <c r="S15" i="8"/>
  <c r="X15" i="8" s="1"/>
  <c r="A15" i="8" s="1"/>
  <c r="S14" i="8"/>
  <c r="X14" i="8" s="1"/>
  <c r="AT14" i="8" s="1"/>
  <c r="S13" i="8"/>
  <c r="X13" i="8" s="1"/>
  <c r="A13" i="8" s="1"/>
  <c r="S12" i="8"/>
  <c r="X12" i="8" s="1"/>
  <c r="A12" i="8" s="1"/>
  <c r="O13" i="8"/>
  <c r="O14" i="8"/>
  <c r="O15" i="8"/>
  <c r="M15" i="8"/>
  <c r="M14" i="8"/>
  <c r="M13" i="8"/>
  <c r="M12" i="8"/>
  <c r="K13" i="6"/>
  <c r="K14" i="6"/>
  <c r="K15" i="6"/>
  <c r="K12" i="6"/>
  <c r="O9" i="9"/>
  <c r="K11" i="6"/>
  <c r="K10" i="6"/>
  <c r="K9" i="6"/>
  <c r="K8" i="6"/>
  <c r="K7" i="6"/>
  <c r="K6" i="6"/>
  <c r="K5" i="6"/>
  <c r="K4" i="6"/>
  <c r="K3" i="6"/>
  <c r="AK15" i="8"/>
  <c r="AL15" i="8" s="1"/>
  <c r="AN15" i="8" s="1"/>
  <c r="AO15" i="8" s="1"/>
  <c r="AA15" i="8"/>
  <c r="AF15" i="8" s="1"/>
  <c r="W15" i="8"/>
  <c r="AK14" i="8"/>
  <c r="AL14" i="8" s="1"/>
  <c r="AN14" i="8" s="1"/>
  <c r="AO14" i="8" s="1"/>
  <c r="AA14" i="8"/>
  <c r="AC14" i="8" s="1"/>
  <c r="W14" i="8"/>
  <c r="AK13" i="8"/>
  <c r="AL13" i="8" s="1"/>
  <c r="AN13" i="8" s="1"/>
  <c r="AO13" i="8" s="1"/>
  <c r="AA13" i="8"/>
  <c r="AF13" i="8" s="1"/>
  <c r="W13" i="8"/>
  <c r="AK12" i="8"/>
  <c r="AL12" i="8" s="1"/>
  <c r="AN12" i="8" s="1"/>
  <c r="AO12" i="8" s="1"/>
  <c r="AA12" i="8"/>
  <c r="AD12" i="8" s="1"/>
  <c r="W12" i="8"/>
  <c r="O12" i="8"/>
  <c r="AK11" i="8"/>
  <c r="AL11" i="8" s="1"/>
  <c r="AN11" i="8" s="1"/>
  <c r="AO11" i="8" s="1"/>
  <c r="AA11" i="8"/>
  <c r="AF11" i="8" s="1"/>
  <c r="W11" i="8"/>
  <c r="S11" i="8"/>
  <c r="X11" i="8" s="1"/>
  <c r="O11" i="8"/>
  <c r="M11" i="8"/>
  <c r="AK10" i="8"/>
  <c r="AL10" i="8" s="1"/>
  <c r="AN10" i="8" s="1"/>
  <c r="AO10" i="8" s="1"/>
  <c r="AA10" i="8"/>
  <c r="AF10" i="8" s="1"/>
  <c r="W10" i="8"/>
  <c r="S10" i="8"/>
  <c r="X10" i="8" s="1"/>
  <c r="O10" i="8"/>
  <c r="M10" i="8"/>
  <c r="AK9" i="8"/>
  <c r="AL9" i="8" s="1"/>
  <c r="AN9" i="8" s="1"/>
  <c r="AO9" i="8" s="1"/>
  <c r="AA9" i="8"/>
  <c r="AF9" i="8" s="1"/>
  <c r="W9" i="8"/>
  <c r="S9" i="8"/>
  <c r="X9" i="8" s="1"/>
  <c r="O9" i="8"/>
  <c r="M9" i="8"/>
  <c r="AK8" i="8"/>
  <c r="AL8" i="8" s="1"/>
  <c r="AN8" i="8" s="1"/>
  <c r="AO8" i="8" s="1"/>
  <c r="AA8" i="8"/>
  <c r="AD8" i="8" s="1"/>
  <c r="W8" i="8"/>
  <c r="S8" i="8"/>
  <c r="X8" i="8" s="1"/>
  <c r="O8" i="8"/>
  <c r="M8" i="8"/>
  <c r="AK7" i="8"/>
  <c r="AL7" i="8" s="1"/>
  <c r="AN7" i="8" s="1"/>
  <c r="AO7" i="8" s="1"/>
  <c r="AA7" i="8"/>
  <c r="AD7" i="8" s="1"/>
  <c r="W7" i="8"/>
  <c r="S7" i="8"/>
  <c r="X7" i="8" s="1"/>
  <c r="O7" i="8"/>
  <c r="M7" i="8"/>
  <c r="AK6" i="8"/>
  <c r="AL6" i="8" s="1"/>
  <c r="AN6" i="8" s="1"/>
  <c r="AO6" i="8" s="1"/>
  <c r="AA6" i="8"/>
  <c r="AF6" i="8" s="1"/>
  <c r="W6" i="8"/>
  <c r="S6" i="8"/>
  <c r="X6" i="8" s="1"/>
  <c r="O6" i="8"/>
  <c r="M6" i="8"/>
  <c r="AK5" i="8"/>
  <c r="AL5" i="8" s="1"/>
  <c r="AN5" i="8" s="1"/>
  <c r="AO5" i="8" s="1"/>
  <c r="AA5" i="8"/>
  <c r="AC5" i="8" s="1"/>
  <c r="W5" i="8"/>
  <c r="S5" i="8"/>
  <c r="X5" i="8" s="1"/>
  <c r="O5" i="8"/>
  <c r="M5" i="8"/>
  <c r="AK4" i="8"/>
  <c r="AL4" i="8" s="1"/>
  <c r="AN4" i="8" s="1"/>
  <c r="AO4" i="8" s="1"/>
  <c r="AA4" i="8"/>
  <c r="AD4" i="8" s="1"/>
  <c r="W4" i="8"/>
  <c r="S4" i="8"/>
  <c r="X4" i="8" s="1"/>
  <c r="O4" i="8"/>
  <c r="M4" i="8"/>
  <c r="AK3" i="8"/>
  <c r="AA3" i="8"/>
  <c r="AF3" i="8" s="1"/>
  <c r="W3" i="8"/>
  <c r="S3" i="8"/>
  <c r="X3" i="8" s="1"/>
  <c r="O3" i="8"/>
  <c r="AV3" i="8" s="1"/>
  <c r="M3" i="8"/>
  <c r="N8" i="9"/>
  <c r="P8" i="9" s="1"/>
  <c r="N7" i="9"/>
  <c r="P7" i="9" s="1"/>
  <c r="N6" i="9"/>
  <c r="P6" i="9" s="1"/>
  <c r="N5" i="9"/>
  <c r="P5" i="9" s="1"/>
  <c r="AK152" i="8" l="1"/>
  <c r="W152" i="8"/>
  <c r="X152" i="8"/>
  <c r="K35" i="10"/>
  <c r="T22" i="10"/>
  <c r="T35" i="10" s="1"/>
  <c r="T3" i="10"/>
  <c r="T16" i="10" s="1"/>
  <c r="K16" i="10"/>
  <c r="M152" i="8"/>
  <c r="AL3" i="8"/>
  <c r="AN3" i="8" s="1"/>
  <c r="AO3" i="8" s="1"/>
  <c r="K18" i="6"/>
  <c r="K78" i="6"/>
  <c r="AD44" i="8"/>
  <c r="AC44" i="8"/>
  <c r="AG44" i="8" s="1"/>
  <c r="AD43" i="8"/>
  <c r="AC46" i="8"/>
  <c r="AG46" i="8" s="1"/>
  <c r="P110" i="9"/>
  <c r="P132" i="9" s="1"/>
  <c r="A41" i="8"/>
  <c r="AT41" i="8"/>
  <c r="AG42" i="8"/>
  <c r="AF45" i="8"/>
  <c r="AD45" i="8"/>
  <c r="AF43" i="8"/>
  <c r="AG43" i="8"/>
  <c r="AG45" i="8"/>
  <c r="AG41" i="8"/>
  <c r="AD46" i="8"/>
  <c r="AF42" i="8"/>
  <c r="AD42" i="8"/>
  <c r="AF41" i="8"/>
  <c r="AD41" i="8"/>
  <c r="A46" i="8"/>
  <c r="A45" i="8"/>
  <c r="AT45" i="8"/>
  <c r="A44" i="8"/>
  <c r="AT44" i="8"/>
  <c r="AT43" i="8"/>
  <c r="A43" i="8"/>
  <c r="AT42" i="8"/>
  <c r="A42" i="8"/>
  <c r="N103" i="9"/>
  <c r="P90" i="9"/>
  <c r="P103" i="9" s="1"/>
  <c r="AT40" i="8"/>
  <c r="AT38" i="8"/>
  <c r="AT37" i="8"/>
  <c r="AF35" i="8"/>
  <c r="AD35" i="8"/>
  <c r="AF40" i="8"/>
  <c r="AD38" i="8"/>
  <c r="A34" i="8"/>
  <c r="AG38" i="8"/>
  <c r="A39" i="8"/>
  <c r="AF34" i="8"/>
  <c r="AF39" i="8"/>
  <c r="AF37" i="8"/>
  <c r="AC34" i="8"/>
  <c r="AG34" i="8" s="1"/>
  <c r="AC39" i="8"/>
  <c r="AG39" i="8" s="1"/>
  <c r="AC37" i="8"/>
  <c r="AG37" i="8" s="1"/>
  <c r="AG36" i="8"/>
  <c r="AG40" i="8"/>
  <c r="AD40" i="8"/>
  <c r="AF38" i="8"/>
  <c r="AT33" i="8"/>
  <c r="AG33" i="8"/>
  <c r="A33" i="8"/>
  <c r="A35" i="8"/>
  <c r="AT35" i="8"/>
  <c r="A36" i="8"/>
  <c r="AT36" i="8"/>
  <c r="AF36" i="8"/>
  <c r="AG35" i="8"/>
  <c r="AT34" i="8"/>
  <c r="A32" i="8"/>
  <c r="AD36" i="8"/>
  <c r="AG32" i="8"/>
  <c r="AF33" i="8"/>
  <c r="AF32" i="8"/>
  <c r="AD33" i="8"/>
  <c r="AD32" i="8"/>
  <c r="P84" i="9"/>
  <c r="N84" i="9"/>
  <c r="AD29" i="8"/>
  <c r="AG30" i="8"/>
  <c r="A31" i="8"/>
  <c r="AT31" i="8"/>
  <c r="A29" i="8"/>
  <c r="AT29" i="8"/>
  <c r="AC28" i="8"/>
  <c r="AG28" i="8" s="1"/>
  <c r="AG31" i="8"/>
  <c r="AG29" i="8"/>
  <c r="AT30" i="8"/>
  <c r="AF30" i="8"/>
  <c r="AD30" i="8"/>
  <c r="AF28" i="8"/>
  <c r="N59" i="9"/>
  <c r="AF31" i="8"/>
  <c r="AD31" i="8"/>
  <c r="AF29" i="8"/>
  <c r="AD20" i="8"/>
  <c r="P59" i="9"/>
  <c r="P9" i="9"/>
  <c r="AG25" i="8"/>
  <c r="AF24" i="8"/>
  <c r="AC24" i="8"/>
  <c r="AG24" i="8" s="1"/>
  <c r="A27" i="8"/>
  <c r="AT27" i="8"/>
  <c r="A24" i="8"/>
  <c r="AT24" i="8"/>
  <c r="A28" i="8"/>
  <c r="AG26" i="8"/>
  <c r="A26" i="8"/>
  <c r="AT26" i="8"/>
  <c r="AF26" i="8"/>
  <c r="A25" i="8"/>
  <c r="AD26" i="8"/>
  <c r="AG27" i="8"/>
  <c r="AD25" i="8"/>
  <c r="P25" i="9"/>
  <c r="P39" i="9"/>
  <c r="N39" i="9"/>
  <c r="AF27" i="8"/>
  <c r="AD27" i="8"/>
  <c r="AF25" i="8"/>
  <c r="AF20" i="8"/>
  <c r="AF19" i="8"/>
  <c r="AD19" i="8"/>
  <c r="AT17" i="8"/>
  <c r="A17" i="8"/>
  <c r="AT18" i="8"/>
  <c r="AG18" i="8"/>
  <c r="A18" i="8"/>
  <c r="A19" i="8"/>
  <c r="AT19" i="8"/>
  <c r="A20" i="8"/>
  <c r="AT20" i="8"/>
  <c r="AG20" i="8"/>
  <c r="A23" i="8"/>
  <c r="AT23" i="8"/>
  <c r="A16" i="8"/>
  <c r="AT16" i="8"/>
  <c r="AC21" i="8"/>
  <c r="AG21" i="8" s="1"/>
  <c r="AG16" i="8"/>
  <c r="AG23" i="8"/>
  <c r="AG19" i="8"/>
  <c r="AF17" i="8"/>
  <c r="AT22" i="8"/>
  <c r="AD17" i="8"/>
  <c r="AT21" i="8"/>
  <c r="AG17" i="8"/>
  <c r="AF18" i="8"/>
  <c r="AD18" i="8"/>
  <c r="AD21" i="8"/>
  <c r="AF16" i="8"/>
  <c r="AC22" i="8"/>
  <c r="AG22" i="8" s="1"/>
  <c r="AF23" i="8"/>
  <c r="AD16" i="8"/>
  <c r="AD23" i="8"/>
  <c r="AF22" i="8"/>
  <c r="AF4" i="8"/>
  <c r="AF5" i="8"/>
  <c r="AD6" i="8"/>
  <c r="AD11" i="8"/>
  <c r="AD5" i="8"/>
  <c r="AC6" i="8"/>
  <c r="AG6" i="8" s="1"/>
  <c r="AC11" i="8"/>
  <c r="AG11" i="8" s="1"/>
  <c r="AC4" i="8"/>
  <c r="AG4" i="8" s="1"/>
  <c r="AD3" i="8"/>
  <c r="AC7" i="8"/>
  <c r="AG7" i="8" s="1"/>
  <c r="AC8" i="8"/>
  <c r="AG8" i="8" s="1"/>
  <c r="AC9" i="8"/>
  <c r="AG9" i="8" s="1"/>
  <c r="AF7" i="8"/>
  <c r="AF8" i="8"/>
  <c r="AD9" i="8"/>
  <c r="AC10" i="8"/>
  <c r="AG10" i="8" s="1"/>
  <c r="AF12" i="8"/>
  <c r="AD10" i="8"/>
  <c r="AD14" i="8"/>
  <c r="AF14" i="8"/>
  <c r="AT13" i="8"/>
  <c r="A4" i="8"/>
  <c r="AT4" i="8"/>
  <c r="A3" i="8"/>
  <c r="AT3" i="8"/>
  <c r="A5" i="8"/>
  <c r="AT5" i="8"/>
  <c r="AG5" i="8"/>
  <c r="A6" i="8"/>
  <c r="AT6" i="8"/>
  <c r="A7" i="8"/>
  <c r="AT7" i="8"/>
  <c r="A8" i="8"/>
  <c r="AT8" i="8"/>
  <c r="A9" i="8"/>
  <c r="AT9" i="8"/>
  <c r="A10" i="8"/>
  <c r="AT10" i="8"/>
  <c r="A11" i="8"/>
  <c r="AT11" i="8"/>
  <c r="AD13" i="8"/>
  <c r="AG14" i="8"/>
  <c r="AC13" i="8"/>
  <c r="AG13" i="8" s="1"/>
  <c r="AC12" i="8"/>
  <c r="AG12" i="8" s="1"/>
  <c r="AT12" i="8"/>
  <c r="AC3" i="8"/>
  <c r="AG3" i="8" s="1"/>
  <c r="AC15" i="8"/>
  <c r="AG15" i="8" s="1"/>
  <c r="AT15" i="8"/>
  <c r="AD15" i="8"/>
  <c r="A14" i="8"/>
</calcChain>
</file>

<file path=xl/sharedStrings.xml><?xml version="1.0" encoding="utf-8"?>
<sst xmlns="http://schemas.openxmlformats.org/spreadsheetml/2006/main" count="9581" uniqueCount="532">
  <si>
    <t>PATAUDI  BRANCH</t>
  </si>
  <si>
    <t xml:space="preserve">Case Status </t>
  </si>
  <si>
    <t>Dist.</t>
  </si>
  <si>
    <t>Branch Name</t>
  </si>
  <si>
    <t>BM Name</t>
  </si>
  <si>
    <t>F0 Name</t>
  </si>
  <si>
    <t>MONTH</t>
  </si>
  <si>
    <t>VILLAGE/ CITY</t>
  </si>
  <si>
    <t>MemberName</t>
  </si>
  <si>
    <t>Father/HUSBAND  Name</t>
  </si>
  <si>
    <t>MOBILE</t>
  </si>
  <si>
    <t>LOAN AMOUNT</t>
  </si>
  <si>
    <t>FILE CHARGE</t>
  </si>
  <si>
    <t>FINAL DISBURSEMENT AMT.</t>
  </si>
  <si>
    <t>EMI AMOUNT</t>
  </si>
  <si>
    <t>PENDING AMT.</t>
  </si>
  <si>
    <t>DUE EMI</t>
  </si>
  <si>
    <t>TOTAL EMI</t>
  </si>
  <si>
    <t>PAID EMI</t>
  </si>
  <si>
    <t>PENDING EMI</t>
  </si>
  <si>
    <t>SHORT AMOUNT</t>
  </si>
  <si>
    <t>ADVANCE</t>
  </si>
  <si>
    <t>TOTAL RECEIVED AMOUNT</t>
  </si>
  <si>
    <t>Ledger Balance</t>
  </si>
  <si>
    <t>Meeting Day</t>
  </si>
  <si>
    <t>center number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</si>
  <si>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</si>
  <si>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</si>
  <si>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</si>
  <si>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</si>
  <si>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</si>
  <si>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</si>
  <si>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</si>
  <si>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Write Off Y/N</t>
  </si>
  <si>
    <t xml:space="preserve">NPA Settlement amt </t>
  </si>
  <si>
    <t>ONE TIME SETTLEMENT AMT</t>
  </si>
  <si>
    <t>Total Mem. Outstanding</t>
  </si>
  <si>
    <t>TOTAL INTEREST</t>
  </si>
  <si>
    <t>MONTHLY EMI</t>
  </si>
  <si>
    <t>PER EMI INTEREST</t>
  </si>
  <si>
    <t>MONTHLY INTEREST</t>
  </si>
  <si>
    <t>DIS.DATE</t>
  </si>
  <si>
    <t>CASH DIS.</t>
  </si>
  <si>
    <t>FIRST EMI DATE</t>
  </si>
  <si>
    <t>CLOSE DATE</t>
  </si>
  <si>
    <t>PENDING</t>
  </si>
  <si>
    <t>CLOSE MONTH</t>
  </si>
  <si>
    <t>CLOSE AMT</t>
  </si>
  <si>
    <t>HARYANA</t>
  </si>
  <si>
    <t>PATAUDI</t>
  </si>
  <si>
    <t xml:space="preserve">ASHOK </t>
  </si>
  <si>
    <t>PRASHANT</t>
  </si>
  <si>
    <t>APRIL'26</t>
  </si>
  <si>
    <t>ARCHANA</t>
  </si>
  <si>
    <t>SURESH</t>
  </si>
  <si>
    <t>WED</t>
  </si>
  <si>
    <t>PL 01</t>
  </si>
  <si>
    <t>NO</t>
  </si>
  <si>
    <t>HARJAN CHOPAL</t>
  </si>
  <si>
    <t>VIJAY LAXMI</t>
  </si>
  <si>
    <t>BAHADUR</t>
  </si>
  <si>
    <t>PL 02</t>
  </si>
  <si>
    <t>VYAPARI MOHALLA</t>
  </si>
  <si>
    <t>HUSAN BANO</t>
  </si>
  <si>
    <t>JAKIR</t>
  </si>
  <si>
    <t>PL 03</t>
  </si>
  <si>
    <t>FARRUKH NAGAR</t>
  </si>
  <si>
    <t>BHAWNA</t>
  </si>
  <si>
    <t>AMIT</t>
  </si>
  <si>
    <t>TUE</t>
  </si>
  <si>
    <t>PL 04</t>
  </si>
  <si>
    <t>PINKI</t>
  </si>
  <si>
    <t>KAMAL KUMAR</t>
  </si>
  <si>
    <t>PL 05</t>
  </si>
  <si>
    <t>NOORBANO</t>
  </si>
  <si>
    <t>SABEER</t>
  </si>
  <si>
    <t>PL 06</t>
  </si>
  <si>
    <t>NEHA RANI</t>
  </si>
  <si>
    <t>RAVI</t>
  </si>
  <si>
    <t>PL 07</t>
  </si>
  <si>
    <t>RENU</t>
  </si>
  <si>
    <t>NAWAL SINGH</t>
  </si>
  <si>
    <t>PL 08</t>
  </si>
  <si>
    <t>GEETA</t>
  </si>
  <si>
    <t>INDERJEET</t>
  </si>
  <si>
    <t>PL 09</t>
  </si>
  <si>
    <t>APRIL 2026 DISBURSEMENT SHEET</t>
  </si>
  <si>
    <t>SR NO</t>
  </si>
  <si>
    <t>STAFF NAME</t>
  </si>
  <si>
    <t>DAYS</t>
  </si>
  <si>
    <t>CENTRE NO</t>
  </si>
  <si>
    <t>CENTRE NAME</t>
  </si>
  <si>
    <t>MEMBERS NAME</t>
  </si>
  <si>
    <t>HUSBAND NAME</t>
  </si>
  <si>
    <t>MOBILE NO</t>
  </si>
  <si>
    <t>FINAL DISBURSEMENT</t>
  </si>
  <si>
    <t>EMI</t>
  </si>
  <si>
    <t>DB DATE</t>
  </si>
  <si>
    <t>ACCOUNT DB DATE</t>
  </si>
  <si>
    <t>DB STATUS</t>
  </si>
  <si>
    <t xml:space="preserve">PRASHANT </t>
  </si>
  <si>
    <t>DONE</t>
  </si>
  <si>
    <t>PATAUDI DEMAND SHEET WEDNESDAY</t>
  </si>
  <si>
    <t>DATE</t>
  </si>
  <si>
    <t>CN.NO.</t>
  </si>
  <si>
    <t>VILLAGE NAME</t>
  </si>
  <si>
    <t>MEMBER NAME</t>
  </si>
  <si>
    <t xml:space="preserve">MOBILE NAME </t>
  </si>
  <si>
    <t>DEMAND</t>
  </si>
  <si>
    <t>CLEAR</t>
  </si>
  <si>
    <t>RECEIVED AMOUNT</t>
  </si>
  <si>
    <t>TATAL COLLECTION</t>
  </si>
  <si>
    <t>PREVIOUS OUTSTANDING</t>
  </si>
  <si>
    <t>CURRENT OUTSTANDING</t>
  </si>
  <si>
    <t>PL 10</t>
  </si>
  <si>
    <t>PL 11</t>
  </si>
  <si>
    <t>PL 12</t>
  </si>
  <si>
    <t>PL 13</t>
  </si>
  <si>
    <t>BHORA KALAN</t>
  </si>
  <si>
    <t>NARHEDA</t>
  </si>
  <si>
    <t>RAJNI</t>
  </si>
  <si>
    <t>SUMAN</t>
  </si>
  <si>
    <t>DIVYA</t>
  </si>
  <si>
    <t>SUDHA</t>
  </si>
  <si>
    <t>TONI</t>
  </si>
  <si>
    <t>VINOD</t>
  </si>
  <si>
    <t>SHIV KUMAR</t>
  </si>
  <si>
    <t>RAVINDER</t>
  </si>
  <si>
    <t>JAMALPUR</t>
  </si>
  <si>
    <t>DABODA</t>
  </si>
  <si>
    <t>HALLY MANDI</t>
  </si>
  <si>
    <t>NISHA</t>
  </si>
  <si>
    <t>MANISHA</t>
  </si>
  <si>
    <t>PREETI</t>
  </si>
  <si>
    <t>HANSA</t>
  </si>
  <si>
    <t>BABITA</t>
  </si>
  <si>
    <t>SAVITRI</t>
  </si>
  <si>
    <t>REETA</t>
  </si>
  <si>
    <t>LAZMAN</t>
  </si>
  <si>
    <t>JAVED</t>
  </si>
  <si>
    <t>MUKESH</t>
  </si>
  <si>
    <t>RAM SINGH</t>
  </si>
  <si>
    <t>KULDEEP</t>
  </si>
  <si>
    <t>MAHENDRA</t>
  </si>
  <si>
    <t>RANBIR SINGH</t>
  </si>
  <si>
    <t>PL 14</t>
  </si>
  <si>
    <t>PL 15</t>
  </si>
  <si>
    <t>PL 16</t>
  </si>
  <si>
    <t>PL 17</t>
  </si>
  <si>
    <t>PL 18</t>
  </si>
  <si>
    <t>PL 19</t>
  </si>
  <si>
    <t>PL 20</t>
  </si>
  <si>
    <t>PL 21</t>
  </si>
  <si>
    <t>MAY 2026 DISBURSEMENT SHEET</t>
  </si>
  <si>
    <t>PAID</t>
  </si>
  <si>
    <t>PATAUDI DEMAND SHEET TUESDAY</t>
  </si>
  <si>
    <t>pl 12</t>
  </si>
  <si>
    <t>pl 13</t>
  </si>
  <si>
    <t>PL 22</t>
  </si>
  <si>
    <t>PL 23</t>
  </si>
  <si>
    <t>PL 24</t>
  </si>
  <si>
    <t>PL 25</t>
  </si>
  <si>
    <t>PL 26</t>
  </si>
  <si>
    <t>REENA</t>
  </si>
  <si>
    <t>PRIYANKA</t>
  </si>
  <si>
    <t>SUNITA</t>
  </si>
  <si>
    <t>KOMAL</t>
  </si>
  <si>
    <t>JAI PAL</t>
  </si>
  <si>
    <t>VED PRAKESH</t>
  </si>
  <si>
    <t>RAJU</t>
  </si>
  <si>
    <t>GIRVAR SINGH</t>
  </si>
  <si>
    <t>MUMTAJPUR</t>
  </si>
  <si>
    <t>FARIDABAD</t>
  </si>
  <si>
    <t>MAY'26</t>
  </si>
  <si>
    <t>PL 27</t>
  </si>
  <si>
    <t>PL 28</t>
  </si>
  <si>
    <t>PL 29</t>
  </si>
  <si>
    <t>NANRHEDA</t>
  </si>
  <si>
    <t>UNCHA MAZRA</t>
  </si>
  <si>
    <t>KARISHMA</t>
  </si>
  <si>
    <t>JYOTI</t>
  </si>
  <si>
    <t>MANOJ</t>
  </si>
  <si>
    <t>RAKESH</t>
  </si>
  <si>
    <t>MINTU</t>
  </si>
  <si>
    <t>SANJOGITA</t>
  </si>
  <si>
    <t>SATBIR</t>
  </si>
  <si>
    <t>LATA</t>
  </si>
  <si>
    <t>DOLATRAM</t>
  </si>
  <si>
    <t>LAKHPATI</t>
  </si>
  <si>
    <t xml:space="preserve">RAMESH </t>
  </si>
  <si>
    <t>PL 30</t>
  </si>
  <si>
    <t>PL 31</t>
  </si>
  <si>
    <t>PL 32</t>
  </si>
  <si>
    <t>PL 33</t>
  </si>
  <si>
    <t>PL 34</t>
  </si>
  <si>
    <t>KHERA</t>
  </si>
  <si>
    <t>FARUK NAGAR</t>
  </si>
  <si>
    <t>NARHERA</t>
  </si>
  <si>
    <t>JANAK</t>
  </si>
  <si>
    <t>PL 35</t>
  </si>
  <si>
    <t>PL 36</t>
  </si>
  <si>
    <t>PL 37</t>
  </si>
  <si>
    <t>PL 38</t>
  </si>
  <si>
    <t>BHARTI</t>
  </si>
  <si>
    <t>BEER SINGH</t>
  </si>
  <si>
    <t>DEVANAND</t>
  </si>
  <si>
    <t>KHOR</t>
  </si>
  <si>
    <t>PL 39</t>
  </si>
  <si>
    <t>PL 40</t>
  </si>
  <si>
    <t>PL 41</t>
  </si>
  <si>
    <t>PL 42</t>
  </si>
  <si>
    <t>PL 43</t>
  </si>
  <si>
    <t>PL 44</t>
  </si>
  <si>
    <t>MAMTA</t>
  </si>
  <si>
    <t>RAJ KUMAR</t>
  </si>
  <si>
    <t>SHIWANI</t>
  </si>
  <si>
    <t>SUNIL</t>
  </si>
  <si>
    <t>POOJA</t>
  </si>
  <si>
    <t>SONU</t>
  </si>
  <si>
    <t>DIMPLE</t>
  </si>
  <si>
    <t>VICKY</t>
  </si>
  <si>
    <t>MANJU</t>
  </si>
  <si>
    <t>RAM PRASAD</t>
  </si>
  <si>
    <t>RAKHI</t>
  </si>
  <si>
    <t>GIRWAR</t>
  </si>
  <si>
    <t>JHAJJAR</t>
  </si>
  <si>
    <t>JATOLA</t>
  </si>
  <si>
    <t>DAULATPUR</t>
  </si>
  <si>
    <t>PL 45</t>
  </si>
  <si>
    <t>JORI KALAN</t>
  </si>
  <si>
    <t>J9588783317</t>
  </si>
  <si>
    <t>REKHA</t>
  </si>
  <si>
    <t>LAXMI</t>
  </si>
  <si>
    <t>PL 46</t>
  </si>
  <si>
    <t>PL 47</t>
  </si>
  <si>
    <t>SANDEEP</t>
  </si>
  <si>
    <t>PL 48</t>
  </si>
  <si>
    <t>PL 49</t>
  </si>
  <si>
    <t>KEDA KHURAMPUR</t>
  </si>
  <si>
    <t>KAVITA</t>
  </si>
  <si>
    <t>PRADEEP</t>
  </si>
  <si>
    <t>JASWANT</t>
  </si>
  <si>
    <t>PL 50</t>
  </si>
  <si>
    <t>PL 51</t>
  </si>
  <si>
    <t>PL 52</t>
  </si>
  <si>
    <t>KHAJJAR</t>
  </si>
  <si>
    <t>GYANO</t>
  </si>
  <si>
    <t>ANAMIKA</t>
  </si>
  <si>
    <t>RAJESHWARI</t>
  </si>
  <si>
    <t>SUNDER</t>
  </si>
  <si>
    <t>ROHIT</t>
  </si>
  <si>
    <t>DHRAMBIR</t>
  </si>
  <si>
    <t>PL 53</t>
  </si>
  <si>
    <t>YASHPAL</t>
  </si>
  <si>
    <t>URMILA</t>
  </si>
  <si>
    <t>PL 63</t>
  </si>
  <si>
    <t>PL 54</t>
  </si>
  <si>
    <t>KHURAMPUR</t>
  </si>
  <si>
    <t>PAYAL</t>
  </si>
  <si>
    <t>VISHAL</t>
  </si>
  <si>
    <t>SAJO</t>
  </si>
  <si>
    <t>AASMIN</t>
  </si>
  <si>
    <t>PL 55</t>
  </si>
  <si>
    <t>PL 56</t>
  </si>
  <si>
    <t>PL 57</t>
  </si>
  <si>
    <t>PL 58</t>
  </si>
  <si>
    <t>PL 59</t>
  </si>
  <si>
    <t>SARJEET</t>
  </si>
  <si>
    <t>FAINUDEEN</t>
  </si>
  <si>
    <t>NARESH</t>
  </si>
  <si>
    <t>DIN MOHAMMAD</t>
  </si>
  <si>
    <t>KOYAL</t>
  </si>
  <si>
    <t>SUKANT</t>
  </si>
  <si>
    <t>SHARJEENA</t>
  </si>
  <si>
    <t>NIRMALA</t>
  </si>
  <si>
    <t>PL 60</t>
  </si>
  <si>
    <t>PL 61</t>
  </si>
  <si>
    <t>PL 62</t>
  </si>
  <si>
    <t>SINDHARWALI</t>
  </si>
  <si>
    <t>BAWRI WARD</t>
  </si>
  <si>
    <t>CHRAT</t>
  </si>
  <si>
    <t>FAKR CHAND</t>
  </si>
  <si>
    <t>SALMAN</t>
  </si>
  <si>
    <t>JUNE 2026 DISBURSEMENT SHEET</t>
  </si>
  <si>
    <t>CHANCHAL</t>
  </si>
  <si>
    <t>SAVITA</t>
  </si>
  <si>
    <t>PL 64</t>
  </si>
  <si>
    <t>PL 65</t>
  </si>
  <si>
    <t>PL 66</t>
  </si>
  <si>
    <t>PL 67</t>
  </si>
  <si>
    <t>KHANDEVILA</t>
  </si>
  <si>
    <t>SULTANPUR</t>
  </si>
  <si>
    <t>RASHMI BAI</t>
  </si>
  <si>
    <t>DEEP CHAND</t>
  </si>
  <si>
    <t>MOHIT</t>
  </si>
  <si>
    <t>AJIT</t>
  </si>
  <si>
    <t>PRABHU DAYAL</t>
  </si>
  <si>
    <t>JUNE'26</t>
  </si>
  <si>
    <t>PL 68</t>
  </si>
  <si>
    <t>PL 69</t>
  </si>
  <si>
    <t>PATAUDA</t>
  </si>
  <si>
    <t>SEEMA</t>
  </si>
  <si>
    <t>BARHMANAND</t>
  </si>
  <si>
    <t>DHRAMPAL</t>
  </si>
  <si>
    <t>10/56/26</t>
  </si>
  <si>
    <t>ANJALI</t>
  </si>
  <si>
    <t>PL 70</t>
  </si>
  <si>
    <t>PL 71</t>
  </si>
  <si>
    <t>KASAN</t>
  </si>
  <si>
    <t>SADH NAGAR</t>
  </si>
  <si>
    <t>UMRAV</t>
  </si>
  <si>
    <t>SUSHIL</t>
  </si>
  <si>
    <t>PL 72</t>
  </si>
  <si>
    <t>PL 73</t>
  </si>
  <si>
    <t>KHARKHARI</t>
  </si>
  <si>
    <t>CHARAN SINGH</t>
  </si>
  <si>
    <t>PAWAN</t>
  </si>
  <si>
    <t>SARDHA</t>
  </si>
  <si>
    <t>BIJENDRA</t>
  </si>
  <si>
    <t>KAMLESH DEVI</t>
  </si>
  <si>
    <t>BHEEM SINGH</t>
  </si>
  <si>
    <t>SUSHILA</t>
  </si>
  <si>
    <t>KARAMVIR</t>
  </si>
  <si>
    <t>POONAM</t>
  </si>
  <si>
    <t>PL 74</t>
  </si>
  <si>
    <t>PL 75</t>
  </si>
  <si>
    <t>PL 76</t>
  </si>
  <si>
    <t>PL 77</t>
  </si>
  <si>
    <t>PL 78</t>
  </si>
  <si>
    <t>pl 79</t>
  </si>
  <si>
    <t>SAHIN</t>
  </si>
  <si>
    <t>MUBIN</t>
  </si>
  <si>
    <t>PL 79</t>
  </si>
  <si>
    <t>IMRANA</t>
  </si>
  <si>
    <t>KAIF</t>
  </si>
  <si>
    <t>SAHIBA</t>
  </si>
  <si>
    <t>HANIF</t>
  </si>
  <si>
    <t>ABHISHEK</t>
  </si>
  <si>
    <t>SIYA</t>
  </si>
  <si>
    <t>HASMEEN</t>
  </si>
  <si>
    <t>JAMIL</t>
  </si>
  <si>
    <t>SUKI</t>
  </si>
  <si>
    <t>JABBAR</t>
  </si>
  <si>
    <t>PL 80</t>
  </si>
  <si>
    <t>PL 81</t>
  </si>
  <si>
    <t>PL 82</t>
  </si>
  <si>
    <t>PL 83</t>
  </si>
  <si>
    <t>PL 84</t>
  </si>
  <si>
    <t>pataudi</t>
  </si>
  <si>
    <t>JATAULI</t>
  </si>
  <si>
    <t>PL 85</t>
  </si>
  <si>
    <t>PL 86</t>
  </si>
  <si>
    <t>PL 87</t>
  </si>
  <si>
    <t>PL 88</t>
  </si>
  <si>
    <t>PL 89</t>
  </si>
  <si>
    <t>PL 90</t>
  </si>
  <si>
    <t>PL 91</t>
  </si>
  <si>
    <t>PALI</t>
  </si>
  <si>
    <t>NEERAJ</t>
  </si>
  <si>
    <t>BHATERI</t>
  </si>
  <si>
    <t>NEELAM</t>
  </si>
  <si>
    <t>PAPPI</t>
  </si>
  <si>
    <t>SANJU</t>
  </si>
  <si>
    <t>DEEPIKA</t>
  </si>
  <si>
    <t xml:space="preserve">MOHIT </t>
  </si>
  <si>
    <t>ASHOK</t>
  </si>
  <si>
    <t>RAMAVTAR</t>
  </si>
  <si>
    <t>TEJPAL</t>
  </si>
  <si>
    <t>GAURAV</t>
  </si>
  <si>
    <t>SACHIN</t>
  </si>
  <si>
    <t>PL 92</t>
  </si>
  <si>
    <t>PL 93</t>
  </si>
  <si>
    <t>MOHINDERGARH</t>
  </si>
  <si>
    <t>NEERU</t>
  </si>
  <si>
    <t>SAROJ</t>
  </si>
  <si>
    <t>ANIL</t>
  </si>
  <si>
    <t>NITIN</t>
  </si>
  <si>
    <t>PL 94</t>
  </si>
  <si>
    <t>PL 95</t>
  </si>
  <si>
    <t>PL 96</t>
  </si>
  <si>
    <t>PL 97</t>
  </si>
  <si>
    <t>PL 98</t>
  </si>
  <si>
    <t>PL 99</t>
  </si>
  <si>
    <t>KAHRI</t>
  </si>
  <si>
    <t>KANCHAN</t>
  </si>
  <si>
    <t>SANGITA</t>
  </si>
  <si>
    <t>KAILASH</t>
  </si>
  <si>
    <t>ASHA</t>
  </si>
  <si>
    <t>RAJESH</t>
  </si>
  <si>
    <t xml:space="preserve">PRAKESH </t>
  </si>
  <si>
    <t>BIRENDRA</t>
  </si>
  <si>
    <t>SURENDER</t>
  </si>
  <si>
    <t>PL 100</t>
  </si>
  <si>
    <t>SUDHIR</t>
  </si>
  <si>
    <t>BALLABGARH</t>
  </si>
  <si>
    <t>JULY 2026 DISBURSEMENT SHEET</t>
  </si>
  <si>
    <t>PRASHNAT</t>
  </si>
  <si>
    <t>PL 101</t>
  </si>
  <si>
    <t>SHEETAL</t>
  </si>
  <si>
    <t>JULY'26</t>
  </si>
  <si>
    <t>PATAUDI COLLECTION TRACKER MAY'26</t>
  </si>
  <si>
    <t>AA2 MUTUAL</t>
  </si>
  <si>
    <t>SR.NO</t>
  </si>
  <si>
    <t>BRANCH</t>
  </si>
  <si>
    <t>TOTAL DEMAND</t>
  </si>
  <si>
    <t>TOTAL PENDING</t>
  </si>
  <si>
    <t>COLLECTION</t>
  </si>
  <si>
    <t>RECEIVED PENDING AMOUNT</t>
  </si>
  <si>
    <t>LOAN FINAL AMOUNT</t>
  </si>
  <si>
    <t>TOTAL COLLECTION FOR THE DAY</t>
  </si>
  <si>
    <t xml:space="preserve">OPENING BAL. </t>
  </si>
  <si>
    <t>DEPOSIT FROM OTHER BRANCH OR HO</t>
  </si>
  <si>
    <t xml:space="preserve">UPI </t>
  </si>
  <si>
    <t>A/C</t>
  </si>
  <si>
    <t>CASH DEPOSIT</t>
  </si>
  <si>
    <t>EXPENSE</t>
  </si>
  <si>
    <t>PRECLOSE AMOUNT CUT FROM NEW LOAN</t>
  </si>
  <si>
    <t>CASH DB</t>
  </si>
  <si>
    <t>CLOSING BAL.</t>
  </si>
  <si>
    <t>PATAUDI COLLECTION TRACKER JUNE'26</t>
  </si>
  <si>
    <t xml:space="preserve">   PATAUDI COLLECTION TRACKER JULY'26</t>
  </si>
  <si>
    <t>STAFF</t>
  </si>
  <si>
    <t>MON</t>
  </si>
  <si>
    <t>PL 102</t>
  </si>
  <si>
    <t>PL 103</t>
  </si>
  <si>
    <t>PL 104</t>
  </si>
  <si>
    <t>PL 105</t>
  </si>
  <si>
    <t>PL 106</t>
  </si>
  <si>
    <t>PL 107</t>
  </si>
  <si>
    <t>PL 108</t>
  </si>
  <si>
    <t>SIDHRAWALI</t>
  </si>
  <si>
    <t>HARI NAGAR</t>
  </si>
  <si>
    <t>BASAI</t>
  </si>
  <si>
    <t>HAILLY MANDI</t>
  </si>
  <si>
    <t>KHALILPUR</t>
  </si>
  <si>
    <t>KRIPA DEVI</t>
  </si>
  <si>
    <t>ASHA DEVI</t>
  </si>
  <si>
    <t>MEENAKSHI</t>
  </si>
  <si>
    <t>RANI</t>
  </si>
  <si>
    <t>TINKU</t>
  </si>
  <si>
    <t>KAPIL</t>
  </si>
  <si>
    <t>SUSHMA</t>
  </si>
  <si>
    <t>UMA</t>
  </si>
  <si>
    <t>SATISH</t>
  </si>
  <si>
    <t>SAHIL</t>
  </si>
  <si>
    <t>PL 109</t>
  </si>
  <si>
    <t>PL 110</t>
  </si>
  <si>
    <t>MAKRANA</t>
  </si>
  <si>
    <t xml:space="preserve">DEATH CASE </t>
  </si>
  <si>
    <t>PL 111</t>
  </si>
  <si>
    <t xml:space="preserve">MAHESH </t>
  </si>
  <si>
    <t>KHUTABPURA</t>
  </si>
  <si>
    <t>PL 112</t>
  </si>
  <si>
    <t>HARSARU</t>
  </si>
  <si>
    <t>VINITA</t>
  </si>
  <si>
    <t>PL 113</t>
  </si>
  <si>
    <t>ASAON</t>
  </si>
  <si>
    <t>USHA DEVI</t>
  </si>
  <si>
    <t>VIJAY NARAYAN</t>
  </si>
  <si>
    <t>PL 114</t>
  </si>
  <si>
    <t>PL 115</t>
  </si>
  <si>
    <t>PL 116</t>
  </si>
  <si>
    <t>PL 117</t>
  </si>
  <si>
    <t>PL 118</t>
  </si>
  <si>
    <t>PL 119</t>
  </si>
  <si>
    <t>PL 120</t>
  </si>
  <si>
    <t>PL 121</t>
  </si>
  <si>
    <t>MONIKA</t>
  </si>
  <si>
    <t>KIRAN</t>
  </si>
  <si>
    <t>PREMLATA</t>
  </si>
  <si>
    <t>GOVIND</t>
  </si>
  <si>
    <t>HANSRAJ</t>
  </si>
  <si>
    <t>SHRI OM</t>
  </si>
  <si>
    <t>JOGINDER</t>
  </si>
  <si>
    <t>NAVEEN</t>
  </si>
  <si>
    <t>RAJBIR</t>
  </si>
  <si>
    <t>NAVRATAN</t>
  </si>
  <si>
    <t>PL 122</t>
  </si>
  <si>
    <t>PL 123</t>
  </si>
  <si>
    <t>ANITA</t>
  </si>
  <si>
    <t>SABNAM</t>
  </si>
  <si>
    <t>SUKBIR</t>
  </si>
  <si>
    <t>PL 124</t>
  </si>
  <si>
    <t>PL 125</t>
  </si>
  <si>
    <t>MUNDAWAR</t>
  </si>
  <si>
    <t>LALITA</t>
  </si>
  <si>
    <t>KHUSHBOO</t>
  </si>
  <si>
    <t>ANKIT</t>
  </si>
  <si>
    <t>ADHAR NO</t>
  </si>
  <si>
    <t>PL 126</t>
  </si>
  <si>
    <t>PL 127</t>
  </si>
  <si>
    <t>PL 128</t>
  </si>
  <si>
    <t>MOLA</t>
  </si>
  <si>
    <t>KUMKUM</t>
  </si>
  <si>
    <t>RAM KUMAR</t>
  </si>
  <si>
    <t>JAIBIR</t>
  </si>
  <si>
    <t>PL 129</t>
  </si>
  <si>
    <t>PL 130</t>
  </si>
  <si>
    <t>SWATI</t>
  </si>
  <si>
    <t>KHORI</t>
  </si>
  <si>
    <t>REWARI</t>
  </si>
  <si>
    <t>AUGUST 2026 DISBURSEMENT SHEET</t>
  </si>
  <si>
    <t xml:space="preserve">   PATAUDI COLLECTION TRACKER AUG'26</t>
  </si>
  <si>
    <t>PL 131</t>
  </si>
  <si>
    <t>PL 132</t>
  </si>
  <si>
    <t>HARSARA</t>
  </si>
  <si>
    <t>KAMLA</t>
  </si>
  <si>
    <t>JAGDESH</t>
  </si>
  <si>
    <t>PENDING AMT</t>
  </si>
  <si>
    <t xml:space="preserve">PENDING MEMBER DATA </t>
  </si>
  <si>
    <t>PL 133</t>
  </si>
  <si>
    <t>PL 134</t>
  </si>
  <si>
    <t>PL 135</t>
  </si>
  <si>
    <t>MANDI</t>
  </si>
  <si>
    <t>KALAN</t>
  </si>
  <si>
    <t>VIKRAN</t>
  </si>
  <si>
    <t>SUBE SINGH</t>
  </si>
  <si>
    <t>BAHADUER</t>
  </si>
  <si>
    <t>AUG'26</t>
  </si>
  <si>
    <t>PL 136</t>
  </si>
  <si>
    <t>PRIYA</t>
  </si>
  <si>
    <t>PL 137</t>
  </si>
  <si>
    <t>PL 138</t>
  </si>
  <si>
    <t>PL 139</t>
  </si>
  <si>
    <t>PL 140</t>
  </si>
  <si>
    <t>PL 141</t>
  </si>
  <si>
    <t>PL 142</t>
  </si>
  <si>
    <t>PL 143</t>
  </si>
  <si>
    <t>REENU</t>
  </si>
  <si>
    <t>RAJ SINGH</t>
  </si>
  <si>
    <t>SUBH KARAN</t>
  </si>
  <si>
    <t>TOTAL OUTSTANDING      2548165     15 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</si>
</sst>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DLaM Display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2"/>
      <name val="ADLaM Display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2"/>
      <name val="ADLaM Display"/>
    </font>
    <font>
      <sz val="18"/>
      <color theme="1"/>
      <name val="Calibri"/>
      <family val="2"/>
      <scheme val="minor"/>
    </font>
    <font>
      <b/>
      <sz val="11"/>
      <color theme="1"/>
      <name val="ADLaM Display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434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6B998E"/>
        <bgColor indexed="64"/>
      </patternFill>
    </fill>
    <fill>
      <patternFill patternType="solid">
        <fgColor theme="9" tint="0.39994506668294322"/>
        <bgColor theme="4" tint="0.79995117038483843"/>
      </patternFill>
    </fill>
    <fill>
      <patternFill patternType="solid">
        <fgColor theme="9" tint="0.39994506668294322"/>
        <bgColor rgb="FFFFFF00"/>
      </patternFill>
    </fill>
    <fill>
      <patternFill patternType="solid">
        <fgColor rgb="FF6B998E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D87E9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44" fillId="0" borderId="0" applyFont="0" applyFill="0" applyBorder="0" applyAlignment="0" applyProtection="0"/>
  </cellStyleXfs>
  <cellXfs count="149">
    <xf numFmtId="0" fontId="0" fillId="0" borderId="0" xfId="0"/>
    <xf numFmtId="0" fontId="36" fillId="3" borderId="1" xfId="0" applyFont="1" applyFill="1" applyBorder="1" applyAlignment="1">
      <alignment horizontal="center" vertical="center" wrapText="1"/>
    </xf>
    <xf numFmtId="43" fontId="36" fillId="3" borderId="1" xfId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14" fontId="36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14" fontId="37" fillId="0" borderId="1" xfId="0" applyNumberFormat="1" applyFont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43" fontId="36" fillId="11" borderId="1" xfId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40" fillId="12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40" fillId="13" borderId="1" xfId="0" applyFont="1" applyFill="1" applyBorder="1" applyAlignment="1">
      <alignment horizontal="center" vertical="center" wrapText="1"/>
    </xf>
    <xf numFmtId="1" fontId="36" fillId="3" borderId="1" xfId="1" applyNumberFormat="1" applyFont="1" applyFill="1" applyBorder="1" applyAlignment="1">
      <alignment horizontal="center" vertical="center" wrapText="1"/>
    </xf>
    <xf numFmtId="0" fontId="36" fillId="3" borderId="1" xfId="1" applyNumberFormat="1" applyFont="1" applyFill="1" applyBorder="1" applyAlignment="1">
      <alignment horizontal="center" vertical="center" wrapText="1"/>
    </xf>
    <xf numFmtId="164" fontId="36" fillId="3" borderId="1" xfId="1" applyNumberFormat="1" applyFont="1" applyFill="1" applyBorder="1" applyAlignment="1">
      <alignment horizontal="center" vertical="center" wrapText="1"/>
    </xf>
    <xf numFmtId="164" fontId="36" fillId="11" borderId="1" xfId="1" applyNumberFormat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0" fontId="37" fillId="9" borderId="1" xfId="0" applyFont="1" applyFill="1" applyBorder="1" applyAlignment="1">
      <alignment horizontal="center"/>
    </xf>
    <xf numFmtId="0" fontId="37" fillId="10" borderId="1" xfId="0" applyFont="1" applyFill="1" applyBorder="1" applyAlignment="1">
      <alignment horizontal="center"/>
    </xf>
    <xf numFmtId="0" fontId="37" fillId="7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6" fillId="10" borderId="1" xfId="0" applyFont="1" applyFill="1" applyBorder="1" applyAlignment="1">
      <alignment horizontal="center"/>
    </xf>
    <xf numFmtId="0" fontId="36" fillId="9" borderId="1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center"/>
    </xf>
    <xf numFmtId="0" fontId="45" fillId="6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/>
    </xf>
    <xf numFmtId="14" fontId="45" fillId="0" borderId="1" xfId="0" applyNumberFormat="1" applyFont="1" applyBorder="1" applyAlignment="1">
      <alignment horizontal="center"/>
    </xf>
    <xf numFmtId="0" fontId="45" fillId="7" borderId="1" xfId="0" applyFont="1" applyFill="1" applyBorder="1" applyAlignment="1">
      <alignment horizontal="center"/>
    </xf>
    <xf numFmtId="0" fontId="34" fillId="0" borderId="1" xfId="0" applyFont="1" applyBorder="1"/>
    <xf numFmtId="0" fontId="49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4" borderId="1" xfId="0" applyFont="1" applyFill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31" fillId="0" borderId="1" xfId="0" applyFont="1" applyBorder="1"/>
    <xf numFmtId="0" fontId="37" fillId="0" borderId="3" xfId="0" applyFont="1" applyBorder="1" applyAlignment="1">
      <alignment horizontal="center"/>
    </xf>
    <xf numFmtId="0" fontId="30" fillId="0" borderId="1" xfId="0" applyFont="1" applyBorder="1"/>
    <xf numFmtId="0" fontId="29" fillId="0" borderId="1" xfId="0" applyFont="1" applyBorder="1"/>
    <xf numFmtId="0" fontId="28" fillId="0" borderId="1" xfId="0" applyFont="1" applyBorder="1"/>
    <xf numFmtId="0" fontId="27" fillId="0" borderId="1" xfId="0" applyFont="1" applyBorder="1"/>
    <xf numFmtId="0" fontId="26" fillId="0" borderId="1" xfId="0" applyFont="1" applyBorder="1"/>
    <xf numFmtId="0" fontId="25" fillId="0" borderId="1" xfId="0" applyFont="1" applyBorder="1"/>
    <xf numFmtId="0" fontId="23" fillId="0" borderId="1" xfId="0" applyFont="1" applyBorder="1"/>
    <xf numFmtId="0" fontId="22" fillId="0" borderId="1" xfId="0" applyFont="1" applyBorder="1"/>
    <xf numFmtId="0" fontId="21" fillId="0" borderId="1" xfId="0" applyFont="1" applyBorder="1"/>
    <xf numFmtId="0" fontId="20" fillId="0" borderId="1" xfId="0" applyFont="1" applyBorder="1"/>
    <xf numFmtId="0" fontId="19" fillId="0" borderId="1" xfId="0" applyFont="1" applyBorder="1"/>
    <xf numFmtId="14" fontId="0" fillId="0" borderId="1" xfId="0" applyNumberForma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6" fontId="36" fillId="0" borderId="1" xfId="0" applyNumberFormat="1" applyFont="1" applyBorder="1" applyAlignment="1">
      <alignment horizontal="center"/>
    </xf>
    <xf numFmtId="0" fontId="37" fillId="4" borderId="1" xfId="0" applyFont="1" applyFill="1" applyBorder="1" applyAlignment="1">
      <alignment horizontal="center" vertical="center"/>
    </xf>
    <xf numFmtId="2" fontId="37" fillId="4" borderId="1" xfId="0" applyNumberFormat="1" applyFont="1" applyFill="1" applyBorder="1" applyAlignment="1">
      <alignment horizontal="center" vertical="center"/>
    </xf>
    <xf numFmtId="14" fontId="37" fillId="4" borderId="1" xfId="0" applyNumberFormat="1" applyFont="1" applyFill="1" applyBorder="1" applyAlignment="1">
      <alignment horizontal="center"/>
    </xf>
    <xf numFmtId="16" fontId="37" fillId="7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33" fillId="0" borderId="1" xfId="0" applyFont="1" applyBorder="1"/>
    <xf numFmtId="0" fontId="40" fillId="16" borderId="1" xfId="0" applyFont="1" applyFill="1" applyBorder="1" applyAlignment="1">
      <alignment horizontal="center" vertical="center" wrapText="1"/>
    </xf>
    <xf numFmtId="1" fontId="40" fillId="16" borderId="1" xfId="0" applyNumberFormat="1" applyFont="1" applyFill="1" applyBorder="1" applyAlignment="1">
      <alignment horizontal="center" vertical="center" wrapText="1"/>
    </xf>
    <xf numFmtId="0" fontId="40" fillId="18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6" fontId="36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36" fillId="19" borderId="1" xfId="0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 vertical="center"/>
    </xf>
    <xf numFmtId="16" fontId="36" fillId="20" borderId="1" xfId="0" applyNumberFormat="1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/>
    </xf>
    <xf numFmtId="0" fontId="36" fillId="8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42" fillId="14" borderId="1" xfId="0" applyFont="1" applyFill="1" applyBorder="1" applyAlignment="1">
      <alignment horizontal="center"/>
    </xf>
    <xf numFmtId="0" fontId="36" fillId="0" borderId="1" xfId="0" applyFont="1" applyBorder="1"/>
    <xf numFmtId="14" fontId="36" fillId="0" borderId="1" xfId="0" applyNumberFormat="1" applyFont="1" applyBorder="1"/>
    <xf numFmtId="0" fontId="48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14" fontId="34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34" fillId="0" borderId="0" xfId="0" applyNumberFormat="1" applyFont="1" applyAlignment="1">
      <alignment horizontal="center"/>
    </xf>
    <xf numFmtId="0" fontId="37" fillId="22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 vertical="center"/>
    </xf>
    <xf numFmtId="14" fontId="37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7" fillId="5" borderId="1" xfId="0" applyFont="1" applyFill="1" applyBorder="1" applyAlignment="1">
      <alignment horizontal="center" vertical="center"/>
    </xf>
    <xf numFmtId="0" fontId="52" fillId="16" borderId="1" xfId="0" applyFont="1" applyFill="1" applyBorder="1" applyAlignment="1">
      <alignment horizontal="center" vertical="center"/>
    </xf>
    <xf numFmtId="0" fontId="53" fillId="17" borderId="1" xfId="0" applyFont="1" applyFill="1" applyBorder="1" applyAlignment="1">
      <alignment horizontal="center"/>
    </xf>
    <xf numFmtId="0" fontId="38" fillId="8" borderId="1" xfId="0" applyFont="1" applyFill="1" applyBorder="1" applyAlignment="1">
      <alignment horizontal="center"/>
    </xf>
    <xf numFmtId="0" fontId="38" fillId="9" borderId="1" xfId="0" applyFont="1" applyFill="1" applyBorder="1" applyAlignment="1">
      <alignment horizontal="center"/>
    </xf>
    <xf numFmtId="0" fontId="43" fillId="15" borderId="1" xfId="0" applyFont="1" applyFill="1" applyBorder="1" applyAlignment="1">
      <alignment horizontal="center"/>
    </xf>
    <xf numFmtId="0" fontId="43" fillId="9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0" fontId="39" fillId="2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36" fillId="4" borderId="1" xfId="0" applyNumberFormat="1" applyFont="1" applyFill="1" applyBorder="1" applyAlignment="1">
      <alignment horizontal="center"/>
    </xf>
    <xf numFmtId="14" fontId="36" fillId="4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6B998E"/>
      <color rgb="FF007434"/>
      <color rgb="FFFF7C80"/>
      <color rgb="FFFF5050"/>
      <color rgb="FF00FFFF"/>
      <color rgb="FFFFFF99"/>
      <color rgb="FF009999"/>
      <color rgb="FF008080"/>
      <color rgb="FFD87E91"/>
      <color rgb="FF00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774D-4AAA-4402-AEA2-8CD9D39FB4D2}">
  <dimension ref="A1:U78"/>
  <sheetViews>
    <sheetView topLeftCell="C63" workbookViewId="0">
      <selection activeCell="H80" sqref="H80"/>
    </sheetView>
  </sheetViews>
  <sheetFormatPr defaultRowHeight="15"/>
  <cols>
    <col min="2" max="2" width="9" bestFit="1" customWidth="1"/>
    <col min="3" max="3" width="10.5703125" bestFit="1" customWidth="1"/>
  </cols>
  <sheetData>
    <row r="1" spans="1:20" ht="33.75">
      <c r="A1" s="136" t="s">
        <v>400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7" t="s">
        <v>401</v>
      </c>
      <c r="M1" s="137"/>
      <c r="N1" s="137"/>
      <c r="O1" s="137"/>
      <c r="P1" s="137"/>
      <c r="Q1" s="137"/>
      <c r="R1" s="137"/>
      <c r="S1" s="137"/>
      <c r="T1" s="137"/>
    </row>
    <row r="2" spans="1:20" ht="110.25">
      <c r="A2" s="82" t="s">
        <v>402</v>
      </c>
      <c r="B2" s="82" t="s">
        <v>403</v>
      </c>
      <c r="C2" s="82" t="s">
        <v>103</v>
      </c>
      <c r="D2" s="82" t="s">
        <v>108</v>
      </c>
      <c r="E2" s="82" t="s">
        <v>21</v>
      </c>
      <c r="F2" s="83" t="s">
        <v>404</v>
      </c>
      <c r="G2" s="82" t="s">
        <v>405</v>
      </c>
      <c r="H2" s="82" t="s">
        <v>406</v>
      </c>
      <c r="I2" s="82" t="s">
        <v>407</v>
      </c>
      <c r="J2" s="82" t="s">
        <v>408</v>
      </c>
      <c r="K2" s="84" t="s">
        <v>409</v>
      </c>
      <c r="L2" s="85" t="s">
        <v>410</v>
      </c>
      <c r="M2" s="85" t="s">
        <v>411</v>
      </c>
      <c r="N2" s="5" t="s">
        <v>412</v>
      </c>
      <c r="O2" s="5" t="s">
        <v>413</v>
      </c>
      <c r="P2" s="86" t="s">
        <v>414</v>
      </c>
      <c r="Q2" s="5" t="s">
        <v>415</v>
      </c>
      <c r="R2" s="86" t="s">
        <v>416</v>
      </c>
      <c r="S2" s="86" t="s">
        <v>417</v>
      </c>
      <c r="T2" s="86" t="s">
        <v>418</v>
      </c>
    </row>
    <row r="3" spans="1:20">
      <c r="A3" s="10">
        <v>1</v>
      </c>
      <c r="B3" s="87" t="s">
        <v>49</v>
      </c>
      <c r="C3" s="87">
        <v>46141</v>
      </c>
      <c r="D3" s="10">
        <v>3000</v>
      </c>
      <c r="E3" s="10">
        <v>0</v>
      </c>
      <c r="F3" s="88">
        <f t="shared" ref="F3:F14" si="0">D3+E3</f>
        <v>3000</v>
      </c>
      <c r="G3" s="10">
        <v>0</v>
      </c>
      <c r="H3" s="10">
        <f t="shared" ref="H3:H15" si="1">F3-G3</f>
        <v>3000</v>
      </c>
      <c r="I3" s="10">
        <v>0</v>
      </c>
      <c r="J3" s="10">
        <v>0</v>
      </c>
      <c r="K3" s="89">
        <f t="shared" ref="K3:K13" si="2">H3+I3+J3</f>
        <v>3000</v>
      </c>
      <c r="L3" s="10">
        <v>0</v>
      </c>
      <c r="M3" s="10">
        <v>0</v>
      </c>
      <c r="N3" s="10">
        <v>2770</v>
      </c>
      <c r="O3" s="10">
        <v>0</v>
      </c>
      <c r="P3" s="10">
        <v>0</v>
      </c>
      <c r="Q3" s="10">
        <v>230</v>
      </c>
      <c r="R3" s="10">
        <v>0</v>
      </c>
      <c r="S3" s="10">
        <v>0</v>
      </c>
      <c r="T3" s="10">
        <f t="shared" ref="T3:T13" si="3">K3+L3+M3-N3-O3-P3-Q3-R3-S3</f>
        <v>0</v>
      </c>
    </row>
    <row r="4" spans="1:20">
      <c r="A4" s="10">
        <v>2</v>
      </c>
      <c r="B4" s="87" t="s">
        <v>49</v>
      </c>
      <c r="C4" s="87">
        <v>46147</v>
      </c>
      <c r="D4" s="10">
        <v>5400</v>
      </c>
      <c r="E4" s="10">
        <v>0</v>
      </c>
      <c r="F4" s="88">
        <f t="shared" si="0"/>
        <v>5400</v>
      </c>
      <c r="G4" s="10">
        <v>0</v>
      </c>
      <c r="H4" s="10">
        <f t="shared" si="1"/>
        <v>5400</v>
      </c>
      <c r="I4" s="10">
        <v>0</v>
      </c>
      <c r="J4" s="10">
        <v>0</v>
      </c>
      <c r="K4" s="89">
        <f t="shared" si="2"/>
        <v>5400</v>
      </c>
      <c r="L4" s="10">
        <v>0</v>
      </c>
      <c r="M4" s="10">
        <v>0</v>
      </c>
      <c r="N4" s="10">
        <v>5400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f t="shared" si="3"/>
        <v>0</v>
      </c>
    </row>
    <row r="5" spans="1:20">
      <c r="A5" s="10">
        <v>3</v>
      </c>
      <c r="B5" s="87" t="s">
        <v>49</v>
      </c>
      <c r="C5" s="87">
        <v>46148</v>
      </c>
      <c r="D5" s="10">
        <v>4500</v>
      </c>
      <c r="E5" s="10">
        <v>0</v>
      </c>
      <c r="F5" s="88">
        <f t="shared" si="0"/>
        <v>4500</v>
      </c>
      <c r="G5" s="10">
        <v>0</v>
      </c>
      <c r="H5" s="10">
        <f t="shared" si="1"/>
        <v>4500</v>
      </c>
      <c r="I5" s="10">
        <v>0</v>
      </c>
      <c r="J5" s="10">
        <v>0</v>
      </c>
      <c r="K5" s="89">
        <f t="shared" si="2"/>
        <v>4500</v>
      </c>
      <c r="L5" s="10">
        <v>0</v>
      </c>
      <c r="M5" s="10">
        <v>0</v>
      </c>
      <c r="N5" s="10">
        <v>2290</v>
      </c>
      <c r="O5" s="10">
        <v>0</v>
      </c>
      <c r="P5" s="10">
        <v>0</v>
      </c>
      <c r="Q5" s="10">
        <v>2215</v>
      </c>
      <c r="R5" s="10">
        <v>0</v>
      </c>
      <c r="S5" s="10">
        <v>0</v>
      </c>
      <c r="T5" s="10">
        <f t="shared" si="3"/>
        <v>-5</v>
      </c>
    </row>
    <row r="6" spans="1:20">
      <c r="A6" s="10">
        <v>4</v>
      </c>
      <c r="B6" s="87" t="s">
        <v>49</v>
      </c>
      <c r="C6" s="87">
        <v>46154</v>
      </c>
      <c r="D6" s="10">
        <v>7800</v>
      </c>
      <c r="E6" s="10">
        <v>0</v>
      </c>
      <c r="F6" s="88">
        <f t="shared" si="0"/>
        <v>7800</v>
      </c>
      <c r="G6" s="10">
        <v>0</v>
      </c>
      <c r="H6" s="10">
        <f t="shared" si="1"/>
        <v>7800</v>
      </c>
      <c r="I6" s="10">
        <v>0</v>
      </c>
      <c r="J6" s="10">
        <v>0</v>
      </c>
      <c r="K6" s="89">
        <f t="shared" si="2"/>
        <v>7800</v>
      </c>
      <c r="L6" s="10">
        <v>0</v>
      </c>
      <c r="M6" s="10">
        <v>0</v>
      </c>
      <c r="N6" s="10">
        <v>7800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f t="shared" si="3"/>
        <v>0</v>
      </c>
    </row>
    <row r="7" spans="1:20">
      <c r="A7" s="10">
        <v>5</v>
      </c>
      <c r="B7" s="87" t="s">
        <v>49</v>
      </c>
      <c r="C7" s="87">
        <v>46155</v>
      </c>
      <c r="D7" s="10">
        <v>13100</v>
      </c>
      <c r="E7" s="10">
        <v>0</v>
      </c>
      <c r="F7" s="88">
        <f t="shared" si="0"/>
        <v>13100</v>
      </c>
      <c r="G7" s="10">
        <v>0</v>
      </c>
      <c r="H7" s="10">
        <f t="shared" si="1"/>
        <v>13100</v>
      </c>
      <c r="I7" s="10">
        <v>0</v>
      </c>
      <c r="J7" s="10">
        <v>0</v>
      </c>
      <c r="K7" s="89">
        <f t="shared" si="2"/>
        <v>13100</v>
      </c>
      <c r="L7" s="10">
        <v>0</v>
      </c>
      <c r="M7" s="10">
        <v>0</v>
      </c>
      <c r="N7" s="10">
        <v>11100</v>
      </c>
      <c r="O7" s="10">
        <v>0</v>
      </c>
      <c r="P7" s="10">
        <v>0</v>
      </c>
      <c r="Q7" s="10">
        <v>2000</v>
      </c>
      <c r="R7" s="10">
        <v>0</v>
      </c>
      <c r="S7" s="10">
        <v>0</v>
      </c>
      <c r="T7" s="10">
        <f t="shared" si="3"/>
        <v>0</v>
      </c>
    </row>
    <row r="8" spans="1:20">
      <c r="A8" s="10">
        <v>6</v>
      </c>
      <c r="B8" s="87" t="s">
        <v>49</v>
      </c>
      <c r="C8" s="87">
        <v>46161</v>
      </c>
      <c r="D8" s="10">
        <v>7800</v>
      </c>
      <c r="E8" s="10">
        <v>0</v>
      </c>
      <c r="F8" s="88">
        <f t="shared" si="0"/>
        <v>7800</v>
      </c>
      <c r="G8" s="10">
        <v>0</v>
      </c>
      <c r="H8" s="10">
        <f t="shared" si="1"/>
        <v>7800</v>
      </c>
      <c r="I8" s="10">
        <v>0</v>
      </c>
      <c r="J8" s="10">
        <v>0</v>
      </c>
      <c r="K8" s="89">
        <f t="shared" si="2"/>
        <v>7800</v>
      </c>
      <c r="L8" s="10">
        <v>0</v>
      </c>
      <c r="M8" s="10">
        <v>0</v>
      </c>
      <c r="N8" s="10">
        <v>7800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f t="shared" si="3"/>
        <v>0</v>
      </c>
    </row>
    <row r="9" spans="1:20">
      <c r="A9" s="10">
        <v>7</v>
      </c>
      <c r="B9" s="87" t="s">
        <v>49</v>
      </c>
      <c r="C9" s="87">
        <v>46162</v>
      </c>
      <c r="D9" s="10">
        <v>14650</v>
      </c>
      <c r="E9" s="10">
        <v>0</v>
      </c>
      <c r="F9" s="88">
        <f t="shared" si="0"/>
        <v>14650</v>
      </c>
      <c r="G9" s="10">
        <v>0</v>
      </c>
      <c r="H9" s="10">
        <f t="shared" si="1"/>
        <v>14650</v>
      </c>
      <c r="I9" s="10">
        <v>0</v>
      </c>
      <c r="J9" s="10">
        <v>0</v>
      </c>
      <c r="K9" s="89">
        <f t="shared" si="2"/>
        <v>14650</v>
      </c>
      <c r="L9" s="10">
        <v>0</v>
      </c>
      <c r="M9" s="10">
        <v>0</v>
      </c>
      <c r="N9" s="10">
        <v>11136</v>
      </c>
      <c r="O9" s="10">
        <v>0</v>
      </c>
      <c r="P9" s="10">
        <v>0</v>
      </c>
      <c r="Q9" s="10">
        <v>3514</v>
      </c>
      <c r="R9" s="10">
        <v>0</v>
      </c>
      <c r="S9" s="10">
        <v>0</v>
      </c>
      <c r="T9" s="10">
        <f t="shared" si="3"/>
        <v>0</v>
      </c>
    </row>
    <row r="10" spans="1:20">
      <c r="A10" s="10">
        <v>8</v>
      </c>
      <c r="B10" s="87" t="s">
        <v>49</v>
      </c>
      <c r="C10" s="87">
        <v>46168</v>
      </c>
      <c r="D10" s="10">
        <v>15350</v>
      </c>
      <c r="E10" s="10">
        <v>0</v>
      </c>
      <c r="F10" s="88">
        <f t="shared" si="0"/>
        <v>15350</v>
      </c>
      <c r="G10" s="10">
        <v>0</v>
      </c>
      <c r="H10" s="10">
        <f t="shared" si="1"/>
        <v>15350</v>
      </c>
      <c r="I10" s="10">
        <v>0</v>
      </c>
      <c r="J10" s="10">
        <v>0</v>
      </c>
      <c r="K10" s="89">
        <f t="shared" si="2"/>
        <v>15350</v>
      </c>
      <c r="L10" s="10">
        <v>0</v>
      </c>
      <c r="M10" s="10">
        <v>0</v>
      </c>
      <c r="N10" s="10">
        <v>11350</v>
      </c>
      <c r="O10" s="10">
        <v>0</v>
      </c>
      <c r="P10" s="10">
        <v>0</v>
      </c>
      <c r="Q10" s="10">
        <v>4000</v>
      </c>
      <c r="R10" s="10">
        <v>0</v>
      </c>
      <c r="S10" s="10">
        <v>0</v>
      </c>
      <c r="T10" s="10">
        <f t="shared" si="3"/>
        <v>0</v>
      </c>
    </row>
    <row r="11" spans="1:20">
      <c r="A11" s="10">
        <v>9</v>
      </c>
      <c r="B11" s="87" t="s">
        <v>49</v>
      </c>
      <c r="C11" s="87">
        <v>46169</v>
      </c>
      <c r="D11" s="10">
        <v>19300</v>
      </c>
      <c r="E11" s="10">
        <v>0</v>
      </c>
      <c r="F11" s="88">
        <f t="shared" si="0"/>
        <v>19300</v>
      </c>
      <c r="G11" s="10">
        <v>0</v>
      </c>
      <c r="H11" s="10">
        <f t="shared" si="1"/>
        <v>19300</v>
      </c>
      <c r="I11" s="10">
        <v>0</v>
      </c>
      <c r="J11" s="10">
        <v>0</v>
      </c>
      <c r="K11" s="89">
        <f t="shared" si="2"/>
        <v>19300</v>
      </c>
      <c r="L11" s="10">
        <v>0</v>
      </c>
      <c r="M11" s="10">
        <v>0</v>
      </c>
      <c r="N11" s="10">
        <v>19300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f t="shared" si="3"/>
        <v>0</v>
      </c>
    </row>
    <row r="12" spans="1:20">
      <c r="A12" s="10"/>
      <c r="B12" s="87"/>
      <c r="C12" s="87"/>
      <c r="D12" s="10"/>
      <c r="E12" s="10"/>
      <c r="F12" s="88">
        <f t="shared" si="0"/>
        <v>0</v>
      </c>
      <c r="G12" s="10"/>
      <c r="H12" s="10">
        <f t="shared" si="1"/>
        <v>0</v>
      </c>
      <c r="I12" s="10"/>
      <c r="J12" s="10"/>
      <c r="K12" s="89">
        <f t="shared" si="2"/>
        <v>0</v>
      </c>
      <c r="L12" s="10"/>
      <c r="M12" s="10"/>
      <c r="N12" s="10"/>
      <c r="O12" s="10"/>
      <c r="P12" s="10"/>
      <c r="Q12" s="10"/>
      <c r="R12" s="10"/>
      <c r="S12" s="10"/>
      <c r="T12" s="10">
        <f t="shared" si="3"/>
        <v>0</v>
      </c>
    </row>
    <row r="13" spans="1:20">
      <c r="A13" s="10"/>
      <c r="B13" s="87"/>
      <c r="C13" s="87"/>
      <c r="D13" s="10"/>
      <c r="E13" s="10"/>
      <c r="F13" s="88">
        <f t="shared" si="0"/>
        <v>0</v>
      </c>
      <c r="G13" s="10"/>
      <c r="H13" s="10">
        <f t="shared" si="1"/>
        <v>0</v>
      </c>
      <c r="I13" s="10"/>
      <c r="J13" s="10"/>
      <c r="K13" s="89">
        <f t="shared" si="2"/>
        <v>0</v>
      </c>
      <c r="L13" s="10"/>
      <c r="M13" s="10"/>
      <c r="N13" s="10"/>
      <c r="O13" s="10"/>
      <c r="P13" s="10"/>
      <c r="Q13" s="10"/>
      <c r="R13" s="10"/>
      <c r="S13" s="10"/>
      <c r="T13" s="10">
        <f t="shared" si="3"/>
        <v>0</v>
      </c>
    </row>
    <row r="14" spans="1:20">
      <c r="A14" s="10"/>
      <c r="B14" s="87"/>
      <c r="C14" s="87"/>
      <c r="D14" s="10"/>
      <c r="E14" s="10"/>
      <c r="F14" s="88">
        <f t="shared" si="0"/>
        <v>0</v>
      </c>
      <c r="G14" s="10"/>
      <c r="H14" s="10">
        <f t="shared" si="1"/>
        <v>0</v>
      </c>
      <c r="I14" s="10"/>
      <c r="J14" s="10"/>
      <c r="K14" s="89"/>
      <c r="L14" s="10"/>
      <c r="M14" s="10"/>
      <c r="N14" s="10"/>
      <c r="O14" s="10"/>
      <c r="P14" s="10"/>
      <c r="Q14" s="10"/>
      <c r="R14" s="10"/>
      <c r="S14" s="10"/>
      <c r="T14" s="10"/>
    </row>
    <row r="15" spans="1:20">
      <c r="A15" s="10"/>
      <c r="B15" s="87"/>
      <c r="C15" s="87"/>
      <c r="D15" s="10"/>
      <c r="E15" s="10"/>
      <c r="F15" s="88"/>
      <c r="G15" s="10"/>
      <c r="H15" s="10">
        <f t="shared" si="1"/>
        <v>0</v>
      </c>
      <c r="I15" s="10"/>
      <c r="J15" s="10"/>
      <c r="K15" s="89"/>
      <c r="L15" s="10"/>
      <c r="M15" s="10"/>
      <c r="N15" s="10"/>
      <c r="O15" s="10"/>
      <c r="P15" s="10"/>
      <c r="Q15" s="10"/>
      <c r="R15" s="10"/>
      <c r="S15" s="10"/>
      <c r="T15" s="10"/>
    </row>
    <row r="16" spans="1:20" s="50" customFormat="1">
      <c r="A16" s="90"/>
      <c r="B16" s="91"/>
      <c r="C16" s="91"/>
      <c r="D16" s="92">
        <f t="shared" ref="D16:T16" si="4">SUM(D3:D15)</f>
        <v>90900</v>
      </c>
      <c r="E16" s="92">
        <f t="shared" si="4"/>
        <v>0</v>
      </c>
      <c r="F16" s="92">
        <f t="shared" si="4"/>
        <v>90900</v>
      </c>
      <c r="G16" s="92">
        <f t="shared" si="4"/>
        <v>0</v>
      </c>
      <c r="H16" s="92">
        <f t="shared" si="4"/>
        <v>90900</v>
      </c>
      <c r="I16" s="92">
        <f t="shared" si="4"/>
        <v>0</v>
      </c>
      <c r="J16" s="92">
        <f t="shared" si="4"/>
        <v>0</v>
      </c>
      <c r="K16" s="92">
        <f t="shared" si="4"/>
        <v>90900</v>
      </c>
      <c r="L16" s="92">
        <f t="shared" si="4"/>
        <v>0</v>
      </c>
      <c r="M16" s="92">
        <f t="shared" si="4"/>
        <v>0</v>
      </c>
      <c r="N16" s="92">
        <f t="shared" si="4"/>
        <v>78946</v>
      </c>
      <c r="O16" s="92">
        <f t="shared" si="4"/>
        <v>0</v>
      </c>
      <c r="P16" s="92">
        <f t="shared" si="4"/>
        <v>0</v>
      </c>
      <c r="Q16" s="92">
        <f t="shared" si="4"/>
        <v>11959</v>
      </c>
      <c r="R16" s="92">
        <f t="shared" si="4"/>
        <v>0</v>
      </c>
      <c r="S16" s="92">
        <f t="shared" si="4"/>
        <v>0</v>
      </c>
      <c r="T16" s="92">
        <f t="shared" si="4"/>
        <v>-5</v>
      </c>
    </row>
    <row r="17" spans="1:20">
      <c r="A17" s="10"/>
      <c r="B17" s="87"/>
      <c r="C17" s="87"/>
      <c r="D17" s="10"/>
      <c r="E17" s="10"/>
      <c r="F17" s="88"/>
      <c r="G17" s="10"/>
      <c r="H17" s="10"/>
      <c r="I17" s="10"/>
      <c r="J17" s="10"/>
      <c r="K17" s="89"/>
      <c r="L17" s="10"/>
      <c r="M17" s="10"/>
      <c r="N17" s="10"/>
      <c r="O17" s="10"/>
      <c r="P17" s="10"/>
      <c r="Q17" s="10"/>
      <c r="R17" s="10"/>
      <c r="S17" s="10"/>
      <c r="T17" s="10"/>
    </row>
    <row r="18" spans="1:20">
      <c r="A18" s="10"/>
      <c r="B18" s="87"/>
      <c r="C18" s="87"/>
      <c r="D18" s="10"/>
      <c r="E18" s="10"/>
      <c r="F18" s="88"/>
      <c r="G18" s="10"/>
      <c r="H18" s="10"/>
      <c r="I18" s="10"/>
      <c r="J18" s="10"/>
      <c r="K18" s="89"/>
      <c r="L18" s="10"/>
      <c r="M18" s="10"/>
      <c r="N18" s="10"/>
      <c r="O18" s="10"/>
      <c r="P18" s="10"/>
      <c r="Q18" s="10"/>
      <c r="R18" s="10"/>
      <c r="S18" s="10"/>
      <c r="T18" s="10"/>
    </row>
    <row r="19" spans="1:20">
      <c r="A19" s="10"/>
      <c r="B19" s="87"/>
      <c r="C19" s="87"/>
      <c r="D19" s="10"/>
      <c r="E19" s="10"/>
      <c r="F19" s="88"/>
      <c r="G19" s="10"/>
      <c r="H19" s="10"/>
      <c r="I19" s="10"/>
      <c r="J19" s="10"/>
      <c r="K19" s="89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33.75">
      <c r="A20" s="136" t="s">
        <v>419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7" t="s">
        <v>401</v>
      </c>
      <c r="M20" s="137"/>
      <c r="N20" s="137"/>
      <c r="O20" s="137"/>
      <c r="P20" s="137"/>
      <c r="Q20" s="137"/>
      <c r="R20" s="137"/>
      <c r="S20" s="137"/>
      <c r="T20" s="137"/>
    </row>
    <row r="21" spans="1:20" ht="110.25">
      <c r="A21" s="82" t="s">
        <v>402</v>
      </c>
      <c r="B21" s="82" t="s">
        <v>403</v>
      </c>
      <c r="C21" s="82" t="s">
        <v>103</v>
      </c>
      <c r="D21" s="82" t="s">
        <v>108</v>
      </c>
      <c r="E21" s="82" t="s">
        <v>21</v>
      </c>
      <c r="F21" s="83" t="s">
        <v>404</v>
      </c>
      <c r="G21" s="82" t="s">
        <v>405</v>
      </c>
      <c r="H21" s="82" t="s">
        <v>406</v>
      </c>
      <c r="I21" s="82" t="s">
        <v>407</v>
      </c>
      <c r="J21" s="82" t="s">
        <v>408</v>
      </c>
      <c r="K21" s="84" t="s">
        <v>409</v>
      </c>
      <c r="L21" s="85" t="s">
        <v>410</v>
      </c>
      <c r="M21" s="85" t="s">
        <v>411</v>
      </c>
      <c r="N21" s="5" t="s">
        <v>412</v>
      </c>
      <c r="O21" s="5" t="s">
        <v>413</v>
      </c>
      <c r="P21" s="86" t="s">
        <v>414</v>
      </c>
      <c r="Q21" s="5" t="s">
        <v>415</v>
      </c>
      <c r="R21" s="86" t="s">
        <v>416</v>
      </c>
      <c r="S21" s="86" t="s">
        <v>417</v>
      </c>
      <c r="T21" s="86" t="s">
        <v>418</v>
      </c>
    </row>
    <row r="22" spans="1:20">
      <c r="A22" s="10">
        <v>1</v>
      </c>
      <c r="B22" s="87" t="s">
        <v>49</v>
      </c>
      <c r="C22" s="87">
        <v>46175</v>
      </c>
      <c r="D22" s="10">
        <v>22350</v>
      </c>
      <c r="E22" s="10">
        <v>0</v>
      </c>
      <c r="F22" s="88">
        <f t="shared" ref="F22:F33" si="5">D22+E22</f>
        <v>22350</v>
      </c>
      <c r="G22" s="10">
        <v>0</v>
      </c>
      <c r="H22" s="10">
        <f t="shared" ref="H22:H34" si="6">F22-G22</f>
        <v>22350</v>
      </c>
      <c r="I22" s="10">
        <v>0</v>
      </c>
      <c r="J22" s="10">
        <v>0</v>
      </c>
      <c r="K22" s="89">
        <f t="shared" ref="K22:K32" si="7">H22+I22+J22</f>
        <v>22350</v>
      </c>
      <c r="L22" s="10">
        <v>0</v>
      </c>
      <c r="M22" s="10">
        <v>0</v>
      </c>
      <c r="N22" s="10">
        <v>22350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f t="shared" ref="T22:T32" si="8">K22+L22+M22-N22-O22-P22-Q22-R22-S22</f>
        <v>0</v>
      </c>
    </row>
    <row r="23" spans="1:20">
      <c r="A23" s="10">
        <v>2</v>
      </c>
      <c r="B23" s="87" t="s">
        <v>49</v>
      </c>
      <c r="C23" s="87">
        <v>46176</v>
      </c>
      <c r="D23" s="10">
        <v>20050</v>
      </c>
      <c r="E23" s="10">
        <v>0</v>
      </c>
      <c r="F23" s="88">
        <f t="shared" si="5"/>
        <v>20050</v>
      </c>
      <c r="G23" s="10">
        <v>0</v>
      </c>
      <c r="H23" s="10">
        <f t="shared" si="6"/>
        <v>20050</v>
      </c>
      <c r="I23" s="10">
        <v>0</v>
      </c>
      <c r="J23" s="10">
        <v>0</v>
      </c>
      <c r="K23" s="89">
        <f t="shared" si="7"/>
        <v>20050</v>
      </c>
      <c r="L23" s="10">
        <v>0</v>
      </c>
      <c r="M23" s="10">
        <v>0</v>
      </c>
      <c r="N23" s="10">
        <v>20050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f t="shared" si="8"/>
        <v>0</v>
      </c>
    </row>
    <row r="24" spans="1:20">
      <c r="A24" s="10">
        <v>3</v>
      </c>
      <c r="B24" s="87" t="s">
        <v>49</v>
      </c>
      <c r="C24" s="87">
        <v>46182</v>
      </c>
      <c r="D24" s="10">
        <v>23850</v>
      </c>
      <c r="E24" s="10">
        <v>0</v>
      </c>
      <c r="F24" s="88">
        <f t="shared" si="5"/>
        <v>23850</v>
      </c>
      <c r="G24" s="10">
        <v>0</v>
      </c>
      <c r="H24" s="10">
        <f t="shared" si="6"/>
        <v>23850</v>
      </c>
      <c r="I24" s="10">
        <v>0</v>
      </c>
      <c r="J24" s="10">
        <v>0</v>
      </c>
      <c r="K24" s="89">
        <f t="shared" si="7"/>
        <v>23850</v>
      </c>
      <c r="L24" s="10">
        <v>0</v>
      </c>
      <c r="M24" s="10">
        <v>0</v>
      </c>
      <c r="N24" s="10">
        <v>23850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f t="shared" si="8"/>
        <v>0</v>
      </c>
    </row>
    <row r="25" spans="1:20">
      <c r="A25" s="10">
        <v>4</v>
      </c>
      <c r="B25" s="87" t="s">
        <v>49</v>
      </c>
      <c r="C25" s="87">
        <v>46183</v>
      </c>
      <c r="D25" s="10">
        <v>24750</v>
      </c>
      <c r="E25" s="10">
        <v>0</v>
      </c>
      <c r="F25" s="88">
        <f t="shared" si="5"/>
        <v>24750</v>
      </c>
      <c r="G25" s="10">
        <v>0</v>
      </c>
      <c r="H25" s="10">
        <f t="shared" si="6"/>
        <v>24750</v>
      </c>
      <c r="I25" s="10">
        <v>0</v>
      </c>
      <c r="J25" s="10">
        <v>0</v>
      </c>
      <c r="K25" s="89">
        <f t="shared" si="7"/>
        <v>24750</v>
      </c>
      <c r="L25" s="10">
        <v>0</v>
      </c>
      <c r="M25" s="10">
        <v>0</v>
      </c>
      <c r="N25" s="10">
        <v>24750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f t="shared" si="8"/>
        <v>0</v>
      </c>
    </row>
    <row r="26" spans="1:20">
      <c r="A26" s="10">
        <v>5</v>
      </c>
      <c r="B26" s="87" t="s">
        <v>49</v>
      </c>
      <c r="C26" s="87">
        <v>46189</v>
      </c>
      <c r="D26" s="10">
        <v>25400</v>
      </c>
      <c r="E26" s="10">
        <v>0</v>
      </c>
      <c r="F26" s="88">
        <f t="shared" si="5"/>
        <v>25400</v>
      </c>
      <c r="G26" s="10">
        <v>0</v>
      </c>
      <c r="H26" s="10">
        <f t="shared" si="6"/>
        <v>25400</v>
      </c>
      <c r="I26" s="10">
        <v>0</v>
      </c>
      <c r="J26" s="10">
        <v>0</v>
      </c>
      <c r="K26" s="89">
        <f t="shared" si="7"/>
        <v>25400</v>
      </c>
      <c r="L26" s="10">
        <v>0</v>
      </c>
      <c r="M26" s="10">
        <v>0</v>
      </c>
      <c r="N26" s="10">
        <v>25400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f t="shared" si="8"/>
        <v>0</v>
      </c>
    </row>
    <row r="27" spans="1:20">
      <c r="A27" s="10">
        <v>6</v>
      </c>
      <c r="B27" s="87" t="s">
        <v>49</v>
      </c>
      <c r="C27" s="87">
        <v>46190</v>
      </c>
      <c r="D27" s="10">
        <v>27950</v>
      </c>
      <c r="E27" s="10">
        <v>0</v>
      </c>
      <c r="F27" s="88">
        <f t="shared" si="5"/>
        <v>27950</v>
      </c>
      <c r="G27" s="10">
        <v>0</v>
      </c>
      <c r="H27" s="10">
        <f t="shared" si="6"/>
        <v>27950</v>
      </c>
      <c r="I27" s="10">
        <v>0</v>
      </c>
      <c r="J27" s="10">
        <v>0</v>
      </c>
      <c r="K27" s="89">
        <f t="shared" si="7"/>
        <v>27950</v>
      </c>
      <c r="L27" s="10">
        <v>0</v>
      </c>
      <c r="M27" s="10">
        <v>0</v>
      </c>
      <c r="N27" s="10">
        <v>27950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f t="shared" si="8"/>
        <v>0</v>
      </c>
    </row>
    <row r="28" spans="1:20">
      <c r="A28" s="10">
        <v>7</v>
      </c>
      <c r="B28" s="87" t="s">
        <v>49</v>
      </c>
      <c r="C28" s="87">
        <v>46196</v>
      </c>
      <c r="D28" s="10">
        <v>34000</v>
      </c>
      <c r="E28" s="10">
        <v>0</v>
      </c>
      <c r="F28" s="88">
        <f t="shared" si="5"/>
        <v>34000</v>
      </c>
      <c r="G28" s="10">
        <v>0</v>
      </c>
      <c r="H28" s="10">
        <f t="shared" si="6"/>
        <v>34000</v>
      </c>
      <c r="I28" s="10">
        <v>0</v>
      </c>
      <c r="J28" s="10">
        <v>0</v>
      </c>
      <c r="K28" s="89">
        <f t="shared" si="7"/>
        <v>34000</v>
      </c>
      <c r="L28" s="10">
        <v>0</v>
      </c>
      <c r="M28" s="10">
        <v>0</v>
      </c>
      <c r="N28" s="10">
        <v>28700</v>
      </c>
      <c r="O28" s="10">
        <v>0</v>
      </c>
      <c r="P28" s="10">
        <v>0</v>
      </c>
      <c r="Q28" s="10">
        <v>5500</v>
      </c>
      <c r="R28" s="10">
        <v>0</v>
      </c>
      <c r="S28" s="10">
        <v>0</v>
      </c>
      <c r="T28" s="10">
        <f t="shared" si="8"/>
        <v>-200</v>
      </c>
    </row>
    <row r="29" spans="1:20">
      <c r="A29" s="10">
        <v>8</v>
      </c>
      <c r="B29" s="87" t="s">
        <v>49</v>
      </c>
      <c r="C29" s="87">
        <v>46197</v>
      </c>
      <c r="D29" s="10">
        <v>28750</v>
      </c>
      <c r="E29" s="10">
        <v>0</v>
      </c>
      <c r="F29" s="88">
        <f t="shared" si="5"/>
        <v>28750</v>
      </c>
      <c r="G29" s="10">
        <v>0</v>
      </c>
      <c r="H29" s="10">
        <f t="shared" si="6"/>
        <v>28750</v>
      </c>
      <c r="I29" s="10">
        <v>0</v>
      </c>
      <c r="J29" s="10">
        <v>0</v>
      </c>
      <c r="K29" s="89">
        <f t="shared" si="7"/>
        <v>28750</v>
      </c>
      <c r="L29" s="10">
        <v>-200</v>
      </c>
      <c r="M29" s="10">
        <v>0</v>
      </c>
      <c r="N29" s="10">
        <v>28550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f t="shared" si="8"/>
        <v>0</v>
      </c>
    </row>
    <row r="30" spans="1:20">
      <c r="A30" s="10">
        <v>9</v>
      </c>
      <c r="B30" s="87" t="s">
        <v>49</v>
      </c>
      <c r="C30" s="87">
        <v>46203</v>
      </c>
      <c r="D30" s="10">
        <v>34000</v>
      </c>
      <c r="E30" s="10">
        <v>0</v>
      </c>
      <c r="F30" s="88">
        <f t="shared" si="5"/>
        <v>34000</v>
      </c>
      <c r="G30" s="10">
        <v>800</v>
      </c>
      <c r="H30" s="10">
        <f t="shared" si="6"/>
        <v>33200</v>
      </c>
      <c r="I30" s="10">
        <v>0</v>
      </c>
      <c r="J30" s="10">
        <v>0</v>
      </c>
      <c r="K30" s="89">
        <f t="shared" si="7"/>
        <v>33200</v>
      </c>
      <c r="L30" s="10">
        <v>0</v>
      </c>
      <c r="M30" s="10">
        <v>0</v>
      </c>
      <c r="N30" s="10">
        <v>33200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f t="shared" si="8"/>
        <v>0</v>
      </c>
    </row>
    <row r="31" spans="1:20">
      <c r="A31" s="10"/>
      <c r="B31" s="87"/>
      <c r="C31" s="87"/>
      <c r="D31" s="10"/>
      <c r="E31" s="10"/>
      <c r="F31" s="88">
        <f t="shared" si="5"/>
        <v>0</v>
      </c>
      <c r="G31" s="10"/>
      <c r="H31" s="10">
        <f t="shared" si="6"/>
        <v>0</v>
      </c>
      <c r="I31" s="10"/>
      <c r="J31" s="10"/>
      <c r="K31" s="89">
        <f t="shared" si="7"/>
        <v>0</v>
      </c>
      <c r="L31" s="10"/>
      <c r="M31" s="10"/>
      <c r="N31" s="10"/>
      <c r="O31" s="10"/>
      <c r="P31" s="10"/>
      <c r="Q31" s="10"/>
      <c r="R31" s="10"/>
      <c r="S31" s="10"/>
      <c r="T31" s="10">
        <f t="shared" si="8"/>
        <v>0</v>
      </c>
    </row>
    <row r="32" spans="1:20">
      <c r="A32" s="10"/>
      <c r="B32" s="87"/>
      <c r="C32" s="87"/>
      <c r="D32" s="10"/>
      <c r="E32" s="10"/>
      <c r="F32" s="88">
        <f t="shared" si="5"/>
        <v>0</v>
      </c>
      <c r="G32" s="10"/>
      <c r="H32" s="10">
        <f t="shared" si="6"/>
        <v>0</v>
      </c>
      <c r="I32" s="10"/>
      <c r="J32" s="10"/>
      <c r="K32" s="89">
        <f t="shared" si="7"/>
        <v>0</v>
      </c>
      <c r="L32" s="10"/>
      <c r="M32" s="10"/>
      <c r="N32" s="10"/>
      <c r="O32" s="10"/>
      <c r="P32" s="10"/>
      <c r="Q32" s="10"/>
      <c r="R32" s="10"/>
      <c r="S32" s="10"/>
      <c r="T32" s="10">
        <f t="shared" si="8"/>
        <v>0</v>
      </c>
    </row>
    <row r="33" spans="1:21">
      <c r="A33" s="10"/>
      <c r="B33" s="87"/>
      <c r="C33" s="87"/>
      <c r="D33" s="10"/>
      <c r="E33" s="10"/>
      <c r="F33" s="88">
        <f t="shared" si="5"/>
        <v>0</v>
      </c>
      <c r="G33" s="10"/>
      <c r="H33" s="10">
        <f t="shared" si="6"/>
        <v>0</v>
      </c>
      <c r="I33" s="10"/>
      <c r="J33" s="10"/>
      <c r="K33" s="89"/>
      <c r="L33" s="10"/>
      <c r="M33" s="10"/>
      <c r="N33" s="10"/>
      <c r="O33" s="10"/>
      <c r="P33" s="10"/>
      <c r="Q33" s="10"/>
      <c r="R33" s="10"/>
      <c r="S33" s="10"/>
      <c r="T33" s="10"/>
    </row>
    <row r="34" spans="1:21">
      <c r="A34" s="10"/>
      <c r="B34" s="87"/>
      <c r="C34" s="87"/>
      <c r="D34" s="10"/>
      <c r="E34" s="10"/>
      <c r="F34" s="88"/>
      <c r="G34" s="10"/>
      <c r="H34" s="10">
        <f t="shared" si="6"/>
        <v>0</v>
      </c>
      <c r="I34" s="10"/>
      <c r="J34" s="10"/>
      <c r="K34" s="89"/>
      <c r="L34" s="10"/>
      <c r="M34" s="10"/>
      <c r="N34" s="10"/>
      <c r="O34" s="10"/>
      <c r="P34" s="10"/>
      <c r="Q34" s="10"/>
      <c r="R34" s="10"/>
      <c r="S34" s="10"/>
      <c r="T34" s="10"/>
    </row>
    <row r="35" spans="1:21">
      <c r="A35" s="90"/>
      <c r="B35" s="91"/>
      <c r="C35" s="91"/>
      <c r="D35" s="92">
        <f t="shared" ref="D35:T35" si="9">SUM(D22:D34)</f>
        <v>241100</v>
      </c>
      <c r="E35" s="92">
        <f t="shared" si="9"/>
        <v>0</v>
      </c>
      <c r="F35" s="92">
        <f t="shared" si="9"/>
        <v>241100</v>
      </c>
      <c r="G35" s="92">
        <f t="shared" si="9"/>
        <v>800</v>
      </c>
      <c r="H35" s="92">
        <f t="shared" si="9"/>
        <v>240300</v>
      </c>
      <c r="I35" s="92">
        <f t="shared" si="9"/>
        <v>0</v>
      </c>
      <c r="J35" s="92">
        <f t="shared" si="9"/>
        <v>0</v>
      </c>
      <c r="K35" s="92">
        <f t="shared" si="9"/>
        <v>240300</v>
      </c>
      <c r="L35" s="92">
        <f t="shared" si="9"/>
        <v>-200</v>
      </c>
      <c r="M35" s="92">
        <f t="shared" si="9"/>
        <v>0</v>
      </c>
      <c r="N35" s="92">
        <f t="shared" si="9"/>
        <v>234800</v>
      </c>
      <c r="O35" s="92">
        <f t="shared" si="9"/>
        <v>0</v>
      </c>
      <c r="P35" s="92">
        <f t="shared" si="9"/>
        <v>0</v>
      </c>
      <c r="Q35" s="92">
        <f t="shared" si="9"/>
        <v>5500</v>
      </c>
      <c r="R35" s="92">
        <f t="shared" si="9"/>
        <v>0</v>
      </c>
      <c r="S35" s="92">
        <f t="shared" si="9"/>
        <v>0</v>
      </c>
      <c r="T35" s="92">
        <f t="shared" si="9"/>
        <v>-200</v>
      </c>
    </row>
    <row r="40" spans="1:21" ht="33.75">
      <c r="A40" s="136" t="s">
        <v>420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7" t="s">
        <v>401</v>
      </c>
      <c r="N40" s="137"/>
      <c r="O40" s="137"/>
      <c r="P40" s="137"/>
      <c r="Q40" s="137"/>
      <c r="R40" s="137"/>
      <c r="S40" s="137"/>
      <c r="T40" s="137"/>
      <c r="U40" s="137"/>
    </row>
    <row r="41" spans="1:21" ht="110.25">
      <c r="A41" s="82" t="s">
        <v>402</v>
      </c>
      <c r="B41" s="82" t="s">
        <v>403</v>
      </c>
      <c r="C41" s="82" t="s">
        <v>421</v>
      </c>
      <c r="D41" s="82" t="s">
        <v>103</v>
      </c>
      <c r="E41" s="82" t="s">
        <v>108</v>
      </c>
      <c r="F41" s="82" t="s">
        <v>21</v>
      </c>
      <c r="G41" s="83" t="s">
        <v>404</v>
      </c>
      <c r="H41" s="82" t="s">
        <v>405</v>
      </c>
      <c r="I41" s="82" t="s">
        <v>406</v>
      </c>
      <c r="J41" s="82" t="s">
        <v>407</v>
      </c>
      <c r="K41" s="82" t="s">
        <v>408</v>
      </c>
      <c r="L41" s="84" t="s">
        <v>409</v>
      </c>
      <c r="M41" s="85" t="s">
        <v>410</v>
      </c>
      <c r="N41" s="85" t="s">
        <v>411</v>
      </c>
      <c r="O41" s="5" t="s">
        <v>412</v>
      </c>
      <c r="P41" s="5" t="s">
        <v>413</v>
      </c>
      <c r="Q41" s="86" t="s">
        <v>414</v>
      </c>
      <c r="R41" s="5" t="s">
        <v>415</v>
      </c>
      <c r="S41" s="86" t="s">
        <v>416</v>
      </c>
      <c r="T41" s="86" t="s">
        <v>417</v>
      </c>
      <c r="U41" s="86" t="s">
        <v>418</v>
      </c>
    </row>
    <row r="42" spans="1:21">
      <c r="A42" s="10">
        <v>1</v>
      </c>
      <c r="B42" s="87" t="s">
        <v>49</v>
      </c>
      <c r="C42" s="87" t="s">
        <v>51</v>
      </c>
      <c r="D42" s="87">
        <v>46204</v>
      </c>
      <c r="E42" s="10">
        <v>32560</v>
      </c>
      <c r="F42" s="10">
        <v>800</v>
      </c>
      <c r="G42" s="88">
        <f t="shared" ref="G42:G53" si="10">E42+F42</f>
        <v>33360</v>
      </c>
      <c r="H42" s="10">
        <v>0</v>
      </c>
      <c r="I42" s="10">
        <f t="shared" ref="I42:I53" si="11">G42-H42</f>
        <v>33360</v>
      </c>
      <c r="J42" s="10">
        <v>0</v>
      </c>
      <c r="K42" s="10">
        <v>0</v>
      </c>
      <c r="L42" s="89">
        <f t="shared" ref="L42:L53" si="12">I42+J42+K42</f>
        <v>33360</v>
      </c>
      <c r="M42" s="10">
        <v>0</v>
      </c>
      <c r="N42" s="10">
        <v>0</v>
      </c>
      <c r="O42" s="10">
        <v>33360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</row>
    <row r="43" spans="1:21">
      <c r="A43" s="10">
        <v>2</v>
      </c>
      <c r="B43" s="87" t="s">
        <v>49</v>
      </c>
      <c r="C43" s="87" t="s">
        <v>51</v>
      </c>
      <c r="D43" s="87">
        <v>46210</v>
      </c>
      <c r="E43" s="10">
        <v>45870</v>
      </c>
      <c r="F43" s="10">
        <v>0</v>
      </c>
      <c r="G43" s="88">
        <f t="shared" si="10"/>
        <v>45870</v>
      </c>
      <c r="H43" s="10">
        <v>800</v>
      </c>
      <c r="I43" s="10">
        <f t="shared" si="11"/>
        <v>45070</v>
      </c>
      <c r="J43" s="10">
        <v>0</v>
      </c>
      <c r="K43" s="10">
        <v>0</v>
      </c>
      <c r="L43" s="89">
        <f t="shared" si="12"/>
        <v>45070</v>
      </c>
      <c r="M43" s="10">
        <v>0</v>
      </c>
      <c r="N43" s="10">
        <v>0</v>
      </c>
      <c r="O43" s="10">
        <v>18800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f t="shared" ref="U43:U48" si="13">L43+M43+N43-O43-P43-Q43-R43-S43-T43</f>
        <v>26270</v>
      </c>
    </row>
    <row r="44" spans="1:21">
      <c r="A44" s="10">
        <v>3</v>
      </c>
      <c r="B44" s="87" t="s">
        <v>49</v>
      </c>
      <c r="C44" s="87" t="s">
        <v>51</v>
      </c>
      <c r="D44" s="87">
        <v>46211</v>
      </c>
      <c r="E44" s="10">
        <v>34370</v>
      </c>
      <c r="F44" s="10">
        <v>0</v>
      </c>
      <c r="G44" s="88">
        <f t="shared" si="10"/>
        <v>34370</v>
      </c>
      <c r="H44" s="10">
        <v>0</v>
      </c>
      <c r="I44" s="10">
        <f t="shared" si="11"/>
        <v>34370</v>
      </c>
      <c r="J44" s="10">
        <v>0</v>
      </c>
      <c r="K44" s="10">
        <v>0</v>
      </c>
      <c r="L44" s="89">
        <f t="shared" si="12"/>
        <v>34370</v>
      </c>
      <c r="M44" s="10">
        <v>26270</v>
      </c>
      <c r="N44" s="10">
        <v>0</v>
      </c>
      <c r="O44" s="10">
        <v>52640</v>
      </c>
      <c r="P44" s="10">
        <v>0</v>
      </c>
      <c r="Q44" s="10">
        <v>0</v>
      </c>
      <c r="R44" s="10">
        <v>8000</v>
      </c>
      <c r="S44" s="10">
        <v>0</v>
      </c>
      <c r="T44" s="10">
        <v>0</v>
      </c>
      <c r="U44" s="10">
        <f t="shared" si="13"/>
        <v>0</v>
      </c>
    </row>
    <row r="45" spans="1:21">
      <c r="A45" s="10">
        <v>4</v>
      </c>
      <c r="B45" s="87" t="s">
        <v>49</v>
      </c>
      <c r="C45" s="87" t="s">
        <v>51</v>
      </c>
      <c r="D45" s="87">
        <v>46217</v>
      </c>
      <c r="E45" s="10">
        <v>45870</v>
      </c>
      <c r="F45" s="10">
        <v>0</v>
      </c>
      <c r="G45" s="88">
        <f t="shared" si="10"/>
        <v>45870</v>
      </c>
      <c r="H45" s="10">
        <v>0</v>
      </c>
      <c r="I45" s="10">
        <f t="shared" si="11"/>
        <v>45870</v>
      </c>
      <c r="J45" s="10">
        <v>0</v>
      </c>
      <c r="K45" s="10">
        <v>0</v>
      </c>
      <c r="L45" s="89">
        <f t="shared" si="12"/>
        <v>45870</v>
      </c>
      <c r="M45" s="10">
        <v>0</v>
      </c>
      <c r="N45" s="10">
        <v>0</v>
      </c>
      <c r="O45" s="10">
        <v>45870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f t="shared" si="13"/>
        <v>0</v>
      </c>
    </row>
    <row r="46" spans="1:21">
      <c r="A46" s="10">
        <v>5</v>
      </c>
      <c r="B46" s="87" t="s">
        <v>49</v>
      </c>
      <c r="C46" s="87" t="s">
        <v>51</v>
      </c>
      <c r="D46" s="87">
        <v>46218</v>
      </c>
      <c r="E46" s="10">
        <v>35370</v>
      </c>
      <c r="F46" s="10">
        <v>0</v>
      </c>
      <c r="G46" s="88">
        <f t="shared" si="10"/>
        <v>35370</v>
      </c>
      <c r="H46" s="10">
        <v>0</v>
      </c>
      <c r="I46" s="10">
        <f t="shared" si="11"/>
        <v>35370</v>
      </c>
      <c r="J46" s="10">
        <v>0</v>
      </c>
      <c r="K46" s="10">
        <v>0</v>
      </c>
      <c r="L46" s="89">
        <f t="shared" si="12"/>
        <v>35370</v>
      </c>
      <c r="M46" s="10">
        <v>0</v>
      </c>
      <c r="N46" s="10">
        <v>0</v>
      </c>
      <c r="O46" s="10">
        <v>26050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f t="shared" si="13"/>
        <v>9320</v>
      </c>
    </row>
    <row r="47" spans="1:21">
      <c r="A47" s="10">
        <v>6</v>
      </c>
      <c r="B47" s="87" t="s">
        <v>49</v>
      </c>
      <c r="C47" s="87" t="s">
        <v>51</v>
      </c>
      <c r="D47" s="87">
        <v>46219</v>
      </c>
      <c r="E47" s="10">
        <v>0</v>
      </c>
      <c r="F47" s="10">
        <v>0</v>
      </c>
      <c r="G47" s="88">
        <f t="shared" si="10"/>
        <v>0</v>
      </c>
      <c r="H47" s="10">
        <v>0</v>
      </c>
      <c r="I47" s="10">
        <f t="shared" si="11"/>
        <v>0</v>
      </c>
      <c r="J47" s="10">
        <v>0</v>
      </c>
      <c r="K47" s="10">
        <v>0</v>
      </c>
      <c r="L47" s="89">
        <f t="shared" si="12"/>
        <v>0</v>
      </c>
      <c r="M47" s="10">
        <v>9320</v>
      </c>
      <c r="N47" s="10">
        <v>0</v>
      </c>
      <c r="O47" s="10">
        <v>10240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f t="shared" si="13"/>
        <v>-920</v>
      </c>
    </row>
    <row r="48" spans="1:21">
      <c r="A48" s="10">
        <v>7</v>
      </c>
      <c r="B48" s="87" t="s">
        <v>49</v>
      </c>
      <c r="C48" s="87" t="s">
        <v>51</v>
      </c>
      <c r="D48" s="87">
        <v>46224</v>
      </c>
      <c r="E48" s="10">
        <v>48680</v>
      </c>
      <c r="F48" s="10">
        <v>0</v>
      </c>
      <c r="G48" s="88">
        <f t="shared" si="10"/>
        <v>48680</v>
      </c>
      <c r="H48" s="10">
        <v>0</v>
      </c>
      <c r="I48" s="10">
        <f t="shared" si="11"/>
        <v>48680</v>
      </c>
      <c r="J48" s="10">
        <v>0</v>
      </c>
      <c r="K48" s="10">
        <v>0</v>
      </c>
      <c r="L48" s="89">
        <f t="shared" si="12"/>
        <v>48680</v>
      </c>
      <c r="M48" s="10">
        <v>-920</v>
      </c>
      <c r="N48" s="10">
        <v>0</v>
      </c>
      <c r="O48" s="10">
        <v>40940</v>
      </c>
      <c r="P48" s="10">
        <v>0</v>
      </c>
      <c r="Q48" s="10">
        <v>0</v>
      </c>
      <c r="R48" s="10">
        <v>7000</v>
      </c>
      <c r="S48" s="10">
        <v>0</v>
      </c>
      <c r="T48" s="10">
        <v>0</v>
      </c>
      <c r="U48" s="10">
        <f t="shared" si="13"/>
        <v>-180</v>
      </c>
    </row>
    <row r="49" spans="1:21">
      <c r="A49" s="10">
        <v>8</v>
      </c>
      <c r="B49" s="3" t="s">
        <v>49</v>
      </c>
      <c r="C49" s="3" t="s">
        <v>51</v>
      </c>
      <c r="D49" s="75">
        <v>46225</v>
      </c>
      <c r="E49" s="10">
        <v>39180</v>
      </c>
      <c r="F49" s="10">
        <v>0</v>
      </c>
      <c r="G49" s="88">
        <f t="shared" si="10"/>
        <v>39180</v>
      </c>
      <c r="H49" s="10">
        <v>750</v>
      </c>
      <c r="I49" s="10">
        <f t="shared" si="11"/>
        <v>38430</v>
      </c>
      <c r="J49" s="10">
        <v>0</v>
      </c>
      <c r="K49" s="10">
        <v>0</v>
      </c>
      <c r="L49" s="89">
        <f t="shared" si="12"/>
        <v>38430</v>
      </c>
      <c r="M49" s="10">
        <v>-180</v>
      </c>
      <c r="N49" s="10">
        <v>0</v>
      </c>
      <c r="O49" s="10">
        <v>38250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f>L49+M49+N49-O49-P49-Q49-R49-S49-T49</f>
        <v>0</v>
      </c>
    </row>
    <row r="50" spans="1:21">
      <c r="A50" s="10">
        <v>9</v>
      </c>
      <c r="B50" s="3" t="s">
        <v>49</v>
      </c>
      <c r="C50" s="3" t="s">
        <v>51</v>
      </c>
      <c r="D50" s="75">
        <v>46230</v>
      </c>
      <c r="E50" s="3">
        <v>0</v>
      </c>
      <c r="F50" s="3">
        <v>810</v>
      </c>
      <c r="G50" s="88">
        <f t="shared" si="10"/>
        <v>810</v>
      </c>
      <c r="H50" s="3">
        <v>0</v>
      </c>
      <c r="I50" s="10">
        <f t="shared" si="11"/>
        <v>810</v>
      </c>
      <c r="J50" s="3">
        <v>0</v>
      </c>
      <c r="K50" s="3">
        <v>0</v>
      </c>
      <c r="L50" s="89">
        <f t="shared" si="12"/>
        <v>810</v>
      </c>
      <c r="M50" s="3">
        <v>0</v>
      </c>
      <c r="N50" s="3">
        <v>0</v>
      </c>
      <c r="O50" s="3">
        <v>810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10">
        <f t="shared" ref="U50:U53" si="14">L50+M50+N50-O50-P50-Q50-R50-S50-T50</f>
        <v>0</v>
      </c>
    </row>
    <row r="51" spans="1:21">
      <c r="A51" s="10">
        <v>10</v>
      </c>
      <c r="B51" s="3" t="s">
        <v>49</v>
      </c>
      <c r="C51" s="3" t="s">
        <v>51</v>
      </c>
      <c r="D51" s="75">
        <v>46231</v>
      </c>
      <c r="E51" s="3">
        <v>51680</v>
      </c>
      <c r="F51" s="3">
        <v>0</v>
      </c>
      <c r="G51" s="88">
        <f t="shared" si="10"/>
        <v>51680</v>
      </c>
      <c r="H51" s="3">
        <v>0</v>
      </c>
      <c r="I51" s="10">
        <f t="shared" si="11"/>
        <v>51680</v>
      </c>
      <c r="J51" s="3">
        <v>0</v>
      </c>
      <c r="K51" s="3">
        <v>0</v>
      </c>
      <c r="L51" s="89">
        <f t="shared" si="12"/>
        <v>51680</v>
      </c>
      <c r="M51" s="3">
        <v>0</v>
      </c>
      <c r="N51" s="3">
        <v>0</v>
      </c>
      <c r="O51" s="3">
        <v>46600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10">
        <f t="shared" si="14"/>
        <v>5080</v>
      </c>
    </row>
    <row r="52" spans="1:21">
      <c r="A52" s="10">
        <v>11</v>
      </c>
      <c r="B52" s="3" t="s">
        <v>49</v>
      </c>
      <c r="C52" s="3" t="s">
        <v>51</v>
      </c>
      <c r="D52" s="75">
        <v>46232</v>
      </c>
      <c r="E52" s="3">
        <v>40855</v>
      </c>
      <c r="F52" s="3">
        <v>0</v>
      </c>
      <c r="G52" s="88">
        <f t="shared" si="10"/>
        <v>40855</v>
      </c>
      <c r="H52" s="3">
        <v>1500</v>
      </c>
      <c r="I52" s="10">
        <f t="shared" si="11"/>
        <v>39355</v>
      </c>
      <c r="J52" s="3">
        <v>0</v>
      </c>
      <c r="K52" s="3">
        <v>0</v>
      </c>
      <c r="L52" s="89">
        <f t="shared" si="12"/>
        <v>39355</v>
      </c>
      <c r="M52" s="3">
        <v>0</v>
      </c>
      <c r="N52" s="3">
        <v>0</v>
      </c>
      <c r="O52" s="3">
        <v>26410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10">
        <f t="shared" si="14"/>
        <v>12945</v>
      </c>
    </row>
    <row r="53" spans="1:21">
      <c r="A53" s="10">
        <v>12</v>
      </c>
      <c r="B53" s="3" t="s">
        <v>49</v>
      </c>
      <c r="C53" s="3" t="s">
        <v>51</v>
      </c>
      <c r="D53" s="75">
        <v>46233</v>
      </c>
      <c r="E53" s="3">
        <v>0</v>
      </c>
      <c r="F53" s="3">
        <v>0</v>
      </c>
      <c r="G53" s="88">
        <f t="shared" si="10"/>
        <v>0</v>
      </c>
      <c r="H53" s="3">
        <v>0</v>
      </c>
      <c r="I53" s="10">
        <f t="shared" si="11"/>
        <v>0</v>
      </c>
      <c r="J53" s="3">
        <v>0</v>
      </c>
      <c r="K53" s="3">
        <v>0</v>
      </c>
      <c r="L53" s="89">
        <f t="shared" si="12"/>
        <v>0</v>
      </c>
      <c r="M53" s="3">
        <v>12945</v>
      </c>
      <c r="N53" s="3">
        <v>0</v>
      </c>
      <c r="O53" s="3">
        <v>12945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10">
        <f t="shared" si="14"/>
        <v>0</v>
      </c>
    </row>
    <row r="54" spans="1:21">
      <c r="A54" s="10"/>
      <c r="B54" s="3"/>
      <c r="C54" s="3"/>
      <c r="D54" s="75"/>
      <c r="E54" s="3"/>
      <c r="F54" s="3"/>
      <c r="G54" s="88"/>
      <c r="H54" s="3"/>
      <c r="I54" s="10"/>
      <c r="J54" s="3"/>
      <c r="K54" s="3"/>
      <c r="L54" s="89"/>
      <c r="M54" s="3"/>
      <c r="N54" s="3"/>
      <c r="O54" s="3"/>
      <c r="P54" s="3"/>
      <c r="Q54" s="3"/>
      <c r="R54" s="3"/>
      <c r="S54" s="3"/>
      <c r="T54" s="3"/>
      <c r="U54" s="10"/>
    </row>
    <row r="55" spans="1:21">
      <c r="A55" s="10"/>
      <c r="B55" s="3"/>
      <c r="C55" s="3"/>
      <c r="D55" s="75"/>
      <c r="E55" s="3">
        <f t="shared" ref="E55:T55" si="15">SUM(E42:E53)</f>
        <v>374435</v>
      </c>
      <c r="F55" s="3">
        <f t="shared" si="15"/>
        <v>1610</v>
      </c>
      <c r="G55" s="3">
        <f t="shared" si="15"/>
        <v>376045</v>
      </c>
      <c r="H55" s="3">
        <f t="shared" si="15"/>
        <v>3050</v>
      </c>
      <c r="I55" s="3">
        <f t="shared" si="15"/>
        <v>372995</v>
      </c>
      <c r="J55" s="3">
        <f t="shared" si="15"/>
        <v>0</v>
      </c>
      <c r="K55" s="3">
        <f t="shared" si="15"/>
        <v>0</v>
      </c>
      <c r="L55" s="3">
        <f t="shared" si="15"/>
        <v>372995</v>
      </c>
      <c r="M55" s="3">
        <f t="shared" si="15"/>
        <v>47435</v>
      </c>
      <c r="N55" s="3">
        <f t="shared" si="15"/>
        <v>0</v>
      </c>
      <c r="O55" s="3">
        <f t="shared" si="15"/>
        <v>352915</v>
      </c>
      <c r="P55" s="3">
        <f t="shared" si="15"/>
        <v>0</v>
      </c>
      <c r="Q55" s="3">
        <f t="shared" si="15"/>
        <v>0</v>
      </c>
      <c r="R55" s="3">
        <f t="shared" si="15"/>
        <v>15000</v>
      </c>
      <c r="S55" s="3">
        <f t="shared" si="15"/>
        <v>0</v>
      </c>
      <c r="T55" s="3">
        <f t="shared" si="15"/>
        <v>0</v>
      </c>
      <c r="U55" s="3">
        <v>800</v>
      </c>
    </row>
    <row r="56" spans="1:21">
      <c r="A56" s="10"/>
      <c r="B56" s="3"/>
      <c r="C56" s="3"/>
      <c r="D56" s="75"/>
      <c r="E56" s="3"/>
      <c r="F56" s="3"/>
      <c r="G56" s="88"/>
      <c r="H56" s="3"/>
      <c r="I56" s="10"/>
      <c r="J56" s="3"/>
      <c r="K56" s="3"/>
      <c r="L56" s="89"/>
      <c r="M56" s="3"/>
      <c r="N56" s="3"/>
      <c r="O56" s="3"/>
      <c r="P56" s="3"/>
      <c r="Q56" s="3"/>
      <c r="R56" s="3"/>
      <c r="S56" s="3"/>
      <c r="T56" s="3"/>
      <c r="U56" s="10"/>
    </row>
    <row r="62" spans="1:21" ht="33.75">
      <c r="A62" s="136" t="s">
        <v>502</v>
      </c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7" t="s">
        <v>401</v>
      </c>
      <c r="N62" s="137"/>
      <c r="O62" s="137"/>
      <c r="P62" s="137"/>
      <c r="Q62" s="137"/>
      <c r="R62" s="137"/>
      <c r="S62" s="137"/>
      <c r="T62" s="137"/>
      <c r="U62" s="137"/>
    </row>
    <row r="63" spans="1:21" ht="110.25">
      <c r="A63" s="82" t="s">
        <v>402</v>
      </c>
      <c r="B63" s="82" t="s">
        <v>403</v>
      </c>
      <c r="C63" s="82" t="s">
        <v>421</v>
      </c>
      <c r="D63" s="82" t="s">
        <v>103</v>
      </c>
      <c r="E63" s="82" t="s">
        <v>108</v>
      </c>
      <c r="F63" s="82" t="s">
        <v>21</v>
      </c>
      <c r="G63" s="83" t="s">
        <v>404</v>
      </c>
      <c r="H63" s="82" t="s">
        <v>405</v>
      </c>
      <c r="I63" s="82" t="s">
        <v>406</v>
      </c>
      <c r="J63" s="82" t="s">
        <v>407</v>
      </c>
      <c r="K63" s="82" t="s">
        <v>408</v>
      </c>
      <c r="L63" s="84" t="s">
        <v>409</v>
      </c>
      <c r="M63" s="85" t="s">
        <v>410</v>
      </c>
      <c r="N63" s="85" t="s">
        <v>411</v>
      </c>
      <c r="O63" s="5" t="s">
        <v>412</v>
      </c>
      <c r="P63" s="5" t="s">
        <v>413</v>
      </c>
      <c r="Q63" s="86" t="s">
        <v>414</v>
      </c>
      <c r="R63" s="5" t="s">
        <v>415</v>
      </c>
      <c r="S63" s="86" t="s">
        <v>416</v>
      </c>
      <c r="T63" s="86" t="s">
        <v>417</v>
      </c>
      <c r="U63" s="86" t="s">
        <v>418</v>
      </c>
    </row>
    <row r="64" spans="1:21">
      <c r="A64" s="10">
        <v>1</v>
      </c>
      <c r="B64" s="87" t="s">
        <v>49</v>
      </c>
      <c r="C64" s="87" t="s">
        <v>51</v>
      </c>
      <c r="D64" s="87">
        <v>46238</v>
      </c>
      <c r="E64" s="10">
        <v>52490</v>
      </c>
      <c r="F64" s="10">
        <v>0</v>
      </c>
      <c r="G64" s="88">
        <f t="shared" ref="G64:G75" si="16">E64+F64</f>
        <v>52490</v>
      </c>
      <c r="H64" s="10">
        <v>2550</v>
      </c>
      <c r="I64" s="10">
        <f t="shared" ref="I64:I75" si="17">G64-H64</f>
        <v>49940</v>
      </c>
      <c r="J64" s="10">
        <v>0</v>
      </c>
      <c r="K64" s="10">
        <v>0</v>
      </c>
      <c r="L64" s="89">
        <f t="shared" ref="L64:L75" si="18">I64+J64+K64</f>
        <v>49940</v>
      </c>
      <c r="M64" s="10">
        <v>0</v>
      </c>
      <c r="N64" s="10">
        <v>0</v>
      </c>
      <c r="O64" s="10">
        <v>49940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</row>
    <row r="65" spans="1:21">
      <c r="A65" s="10">
        <v>2</v>
      </c>
      <c r="B65" s="87" t="s">
        <v>49</v>
      </c>
      <c r="C65" s="87" t="s">
        <v>51</v>
      </c>
      <c r="D65" s="87">
        <v>46239</v>
      </c>
      <c r="E65" s="10">
        <v>40855</v>
      </c>
      <c r="F65" s="10">
        <v>0</v>
      </c>
      <c r="G65" s="88">
        <f t="shared" si="16"/>
        <v>40855</v>
      </c>
      <c r="H65" s="10">
        <v>3050</v>
      </c>
      <c r="I65" s="10">
        <f t="shared" si="17"/>
        <v>37805</v>
      </c>
      <c r="J65" s="10">
        <v>800</v>
      </c>
      <c r="K65" s="10">
        <v>0</v>
      </c>
      <c r="L65" s="89">
        <f t="shared" si="18"/>
        <v>38605</v>
      </c>
      <c r="M65" s="10">
        <v>0</v>
      </c>
      <c r="N65" s="10">
        <v>0</v>
      </c>
      <c r="O65" s="10">
        <v>38017</v>
      </c>
      <c r="P65" s="10">
        <v>0</v>
      </c>
      <c r="Q65" s="10">
        <v>0</v>
      </c>
      <c r="R65" s="10">
        <v>588</v>
      </c>
      <c r="S65" s="10">
        <v>0</v>
      </c>
      <c r="T65" s="10">
        <v>0</v>
      </c>
      <c r="U65" s="10">
        <f t="shared" ref="U65:U70" si="19">L65+M65+N65-O65-P65-Q65-R65-S65-T65</f>
        <v>0</v>
      </c>
    </row>
    <row r="66" spans="1:21">
      <c r="A66" s="10">
        <v>3</v>
      </c>
      <c r="B66" s="87" t="s">
        <v>49</v>
      </c>
      <c r="C66" s="87" t="s">
        <v>51</v>
      </c>
      <c r="D66" s="87">
        <v>46241</v>
      </c>
      <c r="E66" s="10">
        <v>0</v>
      </c>
      <c r="F66" s="10">
        <v>9000</v>
      </c>
      <c r="G66" s="88">
        <f t="shared" si="16"/>
        <v>9000</v>
      </c>
      <c r="H66" s="10">
        <v>0</v>
      </c>
      <c r="I66" s="10">
        <f t="shared" si="17"/>
        <v>9000</v>
      </c>
      <c r="J66" s="10">
        <v>800</v>
      </c>
      <c r="K66" s="10">
        <v>0</v>
      </c>
      <c r="L66" s="89">
        <f t="shared" si="18"/>
        <v>9800</v>
      </c>
      <c r="M66" s="10">
        <v>0</v>
      </c>
      <c r="N66" s="10">
        <v>0</v>
      </c>
      <c r="O66" s="10">
        <v>800</v>
      </c>
      <c r="P66" s="10">
        <v>0</v>
      </c>
      <c r="Q66" s="10">
        <v>0</v>
      </c>
      <c r="R66" s="10">
        <v>0</v>
      </c>
      <c r="S66" s="10">
        <v>9000</v>
      </c>
      <c r="T66" s="10">
        <v>0</v>
      </c>
      <c r="U66" s="10">
        <f t="shared" si="19"/>
        <v>0</v>
      </c>
    </row>
    <row r="67" spans="1:21">
      <c r="A67" s="10">
        <v>4</v>
      </c>
      <c r="B67" s="87" t="s">
        <v>49</v>
      </c>
      <c r="C67" s="87" t="s">
        <v>51</v>
      </c>
      <c r="D67" s="87">
        <v>46245</v>
      </c>
      <c r="E67" s="10">
        <v>64540</v>
      </c>
      <c r="F67" s="10">
        <v>0</v>
      </c>
      <c r="G67" s="88">
        <f t="shared" si="16"/>
        <v>64540</v>
      </c>
      <c r="H67" s="10">
        <v>3300</v>
      </c>
      <c r="I67" s="10">
        <f t="shared" si="17"/>
        <v>61240</v>
      </c>
      <c r="J67" s="10">
        <v>0</v>
      </c>
      <c r="K67" s="10">
        <v>0</v>
      </c>
      <c r="L67" s="89">
        <f t="shared" si="18"/>
        <v>61240</v>
      </c>
      <c r="M67" s="10">
        <v>0</v>
      </c>
      <c r="N67" s="10">
        <v>0</v>
      </c>
      <c r="O67" s="10">
        <v>61240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f t="shared" si="19"/>
        <v>0</v>
      </c>
    </row>
    <row r="68" spans="1:21">
      <c r="A68" s="10">
        <v>5</v>
      </c>
      <c r="B68" s="87" t="s">
        <v>49</v>
      </c>
      <c r="C68" s="87" t="s">
        <v>51</v>
      </c>
      <c r="D68" s="87">
        <v>46246</v>
      </c>
      <c r="E68" s="10">
        <v>44915</v>
      </c>
      <c r="F68" s="10">
        <v>0</v>
      </c>
      <c r="G68" s="88">
        <f t="shared" si="16"/>
        <v>44915</v>
      </c>
      <c r="H68" s="10">
        <v>9510</v>
      </c>
      <c r="I68" s="10">
        <f t="shared" si="17"/>
        <v>35405</v>
      </c>
      <c r="J68" s="10">
        <v>0</v>
      </c>
      <c r="K68" s="10">
        <v>0</v>
      </c>
      <c r="L68" s="89">
        <f t="shared" si="18"/>
        <v>35405</v>
      </c>
      <c r="M68" s="10">
        <v>0</v>
      </c>
      <c r="N68" s="10">
        <v>0</v>
      </c>
      <c r="O68" s="10">
        <v>26900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f t="shared" si="19"/>
        <v>8505</v>
      </c>
    </row>
    <row r="69" spans="1:21">
      <c r="A69" s="10">
        <v>6</v>
      </c>
      <c r="B69" s="87" t="s">
        <v>49</v>
      </c>
      <c r="C69" s="87" t="s">
        <v>51</v>
      </c>
      <c r="D69" s="87">
        <v>46247</v>
      </c>
      <c r="E69" s="10">
        <v>0</v>
      </c>
      <c r="F69" s="10">
        <v>0</v>
      </c>
      <c r="G69" s="88">
        <f t="shared" si="16"/>
        <v>0</v>
      </c>
      <c r="H69" s="10">
        <v>0</v>
      </c>
      <c r="I69" s="10">
        <f t="shared" si="17"/>
        <v>0</v>
      </c>
      <c r="J69" s="10">
        <v>750</v>
      </c>
      <c r="K69" s="10">
        <v>0</v>
      </c>
      <c r="L69" s="89">
        <f t="shared" si="18"/>
        <v>750</v>
      </c>
      <c r="M69" s="10">
        <v>8505</v>
      </c>
      <c r="N69" s="10">
        <v>0</v>
      </c>
      <c r="O69" s="10">
        <v>8755</v>
      </c>
      <c r="P69" s="10">
        <v>0</v>
      </c>
      <c r="Q69" s="10">
        <v>0</v>
      </c>
      <c r="R69" s="10">
        <v>500</v>
      </c>
      <c r="S69" s="10">
        <v>0</v>
      </c>
      <c r="T69" s="10">
        <v>0</v>
      </c>
      <c r="U69" s="10">
        <f t="shared" si="19"/>
        <v>0</v>
      </c>
    </row>
    <row r="70" spans="1:21">
      <c r="A70" s="10">
        <v>7</v>
      </c>
      <c r="B70" s="87" t="s">
        <v>49</v>
      </c>
      <c r="C70" s="87" t="s">
        <v>51</v>
      </c>
      <c r="D70" s="87">
        <v>46248</v>
      </c>
      <c r="E70" s="10">
        <v>0</v>
      </c>
      <c r="F70" s="10">
        <v>0</v>
      </c>
      <c r="G70" s="88">
        <f t="shared" si="16"/>
        <v>0</v>
      </c>
      <c r="H70" s="10">
        <v>0</v>
      </c>
      <c r="I70" s="10">
        <f t="shared" si="17"/>
        <v>0</v>
      </c>
      <c r="J70" s="10">
        <v>800</v>
      </c>
      <c r="K70" s="10">
        <v>0</v>
      </c>
      <c r="L70" s="89">
        <f t="shared" si="18"/>
        <v>800</v>
      </c>
      <c r="M70" s="10">
        <v>0</v>
      </c>
      <c r="N70" s="10">
        <v>0</v>
      </c>
      <c r="O70" s="10">
        <v>800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f t="shared" si="19"/>
        <v>0</v>
      </c>
    </row>
    <row r="71" spans="1:21">
      <c r="A71" s="10">
        <v>8</v>
      </c>
      <c r="B71" s="3" t="s">
        <v>49</v>
      </c>
      <c r="C71" s="3" t="s">
        <v>51</v>
      </c>
      <c r="D71" s="75">
        <v>46249</v>
      </c>
      <c r="E71" s="10">
        <v>0</v>
      </c>
      <c r="F71" s="10">
        <v>0</v>
      </c>
      <c r="G71" s="88">
        <f t="shared" si="16"/>
        <v>0</v>
      </c>
      <c r="H71" s="10">
        <v>0</v>
      </c>
      <c r="I71" s="10">
        <f t="shared" si="17"/>
        <v>0</v>
      </c>
      <c r="J71" s="10">
        <v>1000</v>
      </c>
      <c r="K71" s="10">
        <v>0</v>
      </c>
      <c r="L71" s="89">
        <f t="shared" si="18"/>
        <v>1000</v>
      </c>
      <c r="M71" s="10">
        <v>0</v>
      </c>
      <c r="N71" s="10">
        <v>0</v>
      </c>
      <c r="O71" s="10">
        <v>1000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f>L71+M71+N71-O71-P71-Q71-R71-S71-T71</f>
        <v>0</v>
      </c>
    </row>
    <row r="72" spans="1:21">
      <c r="A72" s="10">
        <v>9</v>
      </c>
      <c r="B72" s="3" t="s">
        <v>49</v>
      </c>
      <c r="C72" s="3" t="s">
        <v>51</v>
      </c>
      <c r="D72" s="75"/>
      <c r="E72" s="3"/>
      <c r="F72" s="3"/>
      <c r="G72" s="88">
        <f t="shared" si="16"/>
        <v>0</v>
      </c>
      <c r="H72" s="3"/>
      <c r="I72" s="10">
        <f t="shared" si="17"/>
        <v>0</v>
      </c>
      <c r="J72" s="3"/>
      <c r="K72" s="3"/>
      <c r="L72" s="89">
        <f t="shared" si="18"/>
        <v>0</v>
      </c>
      <c r="M72" s="3"/>
      <c r="N72" s="3"/>
      <c r="O72" s="3"/>
      <c r="P72" s="3"/>
      <c r="Q72" s="3"/>
      <c r="R72" s="3"/>
      <c r="S72" s="3"/>
      <c r="T72" s="3"/>
      <c r="U72" s="10">
        <f t="shared" ref="U72:U75" si="20">L72+M72+N72-O72-P72-Q72-R72-S72-T72</f>
        <v>0</v>
      </c>
    </row>
    <row r="73" spans="1:21">
      <c r="A73" s="10">
        <v>10</v>
      </c>
      <c r="B73" s="3" t="s">
        <v>49</v>
      </c>
      <c r="C73" s="3" t="s">
        <v>51</v>
      </c>
      <c r="D73" s="75"/>
      <c r="E73" s="3"/>
      <c r="F73" s="3"/>
      <c r="G73" s="88">
        <f t="shared" si="16"/>
        <v>0</v>
      </c>
      <c r="H73" s="3"/>
      <c r="I73" s="10">
        <f t="shared" si="17"/>
        <v>0</v>
      </c>
      <c r="J73" s="3"/>
      <c r="K73" s="3"/>
      <c r="L73" s="89">
        <f t="shared" si="18"/>
        <v>0</v>
      </c>
      <c r="M73" s="3"/>
      <c r="N73" s="3"/>
      <c r="O73" s="3"/>
      <c r="P73" s="3"/>
      <c r="Q73" s="3"/>
      <c r="R73" s="3"/>
      <c r="S73" s="3"/>
      <c r="T73" s="3"/>
      <c r="U73" s="10">
        <f t="shared" si="20"/>
        <v>0</v>
      </c>
    </row>
    <row r="74" spans="1:21">
      <c r="A74" s="10">
        <v>11</v>
      </c>
      <c r="B74" s="3" t="s">
        <v>49</v>
      </c>
      <c r="C74" s="3" t="s">
        <v>51</v>
      </c>
      <c r="D74" s="75"/>
      <c r="E74" s="3"/>
      <c r="F74" s="3"/>
      <c r="G74" s="88">
        <f t="shared" si="16"/>
        <v>0</v>
      </c>
      <c r="H74" s="3"/>
      <c r="I74" s="10">
        <f t="shared" si="17"/>
        <v>0</v>
      </c>
      <c r="J74" s="3"/>
      <c r="K74" s="3"/>
      <c r="L74" s="89">
        <f t="shared" si="18"/>
        <v>0</v>
      </c>
      <c r="M74" s="3"/>
      <c r="N74" s="3"/>
      <c r="O74" s="3"/>
      <c r="P74" s="3"/>
      <c r="Q74" s="3"/>
      <c r="R74" s="3"/>
      <c r="S74" s="3"/>
      <c r="T74" s="3"/>
      <c r="U74" s="10">
        <f t="shared" si="20"/>
        <v>0</v>
      </c>
    </row>
    <row r="75" spans="1:21">
      <c r="A75" s="10">
        <v>12</v>
      </c>
      <c r="B75" s="3" t="s">
        <v>49</v>
      </c>
      <c r="C75" s="3" t="s">
        <v>51</v>
      </c>
      <c r="D75" s="75"/>
      <c r="E75" s="3"/>
      <c r="F75" s="3"/>
      <c r="G75" s="88">
        <f t="shared" si="16"/>
        <v>0</v>
      </c>
      <c r="H75" s="3"/>
      <c r="I75" s="10">
        <f t="shared" si="17"/>
        <v>0</v>
      </c>
      <c r="J75" s="3"/>
      <c r="K75" s="3"/>
      <c r="L75" s="89">
        <f t="shared" si="18"/>
        <v>0</v>
      </c>
      <c r="M75" s="3"/>
      <c r="N75" s="3"/>
      <c r="O75" s="3"/>
      <c r="P75" s="3"/>
      <c r="Q75" s="3"/>
      <c r="R75" s="3"/>
      <c r="S75" s="3"/>
      <c r="T75" s="3"/>
      <c r="U75" s="10">
        <f t="shared" si="20"/>
        <v>0</v>
      </c>
    </row>
    <row r="76" spans="1:21">
      <c r="A76" s="10"/>
      <c r="B76" s="3"/>
      <c r="C76" s="3"/>
      <c r="D76" s="75"/>
      <c r="E76" s="3"/>
      <c r="F76" s="3"/>
      <c r="G76" s="88"/>
      <c r="H76" s="3"/>
      <c r="I76" s="10"/>
      <c r="J76" s="3"/>
      <c r="K76" s="3"/>
      <c r="L76" s="89"/>
      <c r="M76" s="3"/>
      <c r="N76" s="3"/>
      <c r="O76" s="3"/>
      <c r="P76" s="3"/>
      <c r="Q76" s="3"/>
      <c r="R76" s="3"/>
      <c r="S76" s="3"/>
      <c r="T76" s="3"/>
      <c r="U76" s="10"/>
    </row>
    <row r="77" spans="1:21">
      <c r="A77" s="10"/>
      <c r="B77" s="3"/>
      <c r="C77" s="3"/>
      <c r="D77" s="75"/>
      <c r="E77" s="3">
        <f t="shared" ref="E77:T77" si="21">SUM(E64:E75)</f>
        <v>202800</v>
      </c>
      <c r="F77" s="3">
        <f t="shared" si="21"/>
        <v>9000</v>
      </c>
      <c r="G77" s="3">
        <f t="shared" si="21"/>
        <v>211800</v>
      </c>
      <c r="H77" s="3">
        <f t="shared" si="21"/>
        <v>18410</v>
      </c>
      <c r="I77" s="3">
        <f t="shared" si="21"/>
        <v>193390</v>
      </c>
      <c r="J77" s="3">
        <f t="shared" si="21"/>
        <v>4150</v>
      </c>
      <c r="K77" s="3">
        <f t="shared" si="21"/>
        <v>0</v>
      </c>
      <c r="L77" s="3">
        <f t="shared" si="21"/>
        <v>197540</v>
      </c>
      <c r="M77" s="3">
        <f t="shared" si="21"/>
        <v>8505</v>
      </c>
      <c r="N77" s="3">
        <f t="shared" si="21"/>
        <v>0</v>
      </c>
      <c r="O77" s="3">
        <f t="shared" si="21"/>
        <v>187452</v>
      </c>
      <c r="P77" s="3">
        <f t="shared" si="21"/>
        <v>0</v>
      </c>
      <c r="Q77" s="3">
        <f t="shared" si="21"/>
        <v>0</v>
      </c>
      <c r="R77" s="3">
        <f t="shared" si="21"/>
        <v>1088</v>
      </c>
      <c r="S77" s="3">
        <f t="shared" si="21"/>
        <v>9000</v>
      </c>
      <c r="T77" s="3">
        <f t="shared" si="21"/>
        <v>0</v>
      </c>
      <c r="U77" s="3">
        <v>800</v>
      </c>
    </row>
    <row r="78" spans="1:21">
      <c r="A78" s="10"/>
      <c r="B78" s="3"/>
      <c r="C78" s="3"/>
      <c r="D78" s="75"/>
      <c r="E78" s="3"/>
      <c r="F78" s="3"/>
      <c r="G78" s="88"/>
      <c r="H78" s="3"/>
      <c r="I78" s="10"/>
      <c r="J78" s="3"/>
      <c r="K78" s="3"/>
      <c r="L78" s="89"/>
      <c r="M78" s="3"/>
      <c r="N78" s="3"/>
      <c r="O78" s="3"/>
      <c r="P78" s="3"/>
      <c r="Q78" s="3"/>
      <c r="R78" s="3"/>
      <c r="S78" s="3"/>
      <c r="T78" s="3"/>
      <c r="U78" s="10"/>
    </row>
  </sheetData>
  <mergeCells count="8">
    <mergeCell ref="A62:L62"/>
    <mergeCell ref="M62:U62"/>
    <mergeCell ref="A1:K1"/>
    <mergeCell ref="L1:T1"/>
    <mergeCell ref="A20:K20"/>
    <mergeCell ref="L20:T20"/>
    <mergeCell ref="A40:L40"/>
    <mergeCell ref="M40:U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156"/>
  <sheetViews>
    <sheetView topLeftCell="L107" zoomScale="99" zoomScaleNormal="100" workbookViewId="0">
      <selection activeCell="X6" sqref="X6:X138"/>
    </sheetView>
  </sheetViews>
  <sheetFormatPr defaultColWidth="9" defaultRowHeight="15"/>
  <cols>
    <col min="1" max="1" width="9" style="3"/>
    <col min="2" max="2" width="10" style="3" customWidth="1"/>
    <col min="3" max="3" width="11.7109375" style="3" customWidth="1"/>
    <col min="4" max="4" width="9.42578125" style="3" customWidth="1"/>
    <col min="5" max="5" width="14.5703125" style="3" customWidth="1"/>
    <col min="6" max="6" width="12.7109375" style="3" bestFit="1" customWidth="1"/>
    <col min="7" max="7" width="21" style="3" customWidth="1"/>
    <col min="8" max="8" width="20" style="3" customWidth="1"/>
    <col min="9" max="9" width="18" style="3" customWidth="1"/>
    <col min="10" max="10" width="15.7109375" style="3" customWidth="1"/>
    <col min="11" max="11" width="16.5703125" style="3" customWidth="1"/>
    <col min="12" max="12" width="15.85546875" style="3" customWidth="1"/>
    <col min="13" max="13" width="15.5703125" style="3" customWidth="1"/>
    <col min="14" max="14" width="9" style="3"/>
    <col min="15" max="15" width="9.140625" style="38"/>
    <col min="16" max="19" width="9" style="3"/>
    <col min="20" max="20" width="9.140625" style="37"/>
    <col min="21" max="21" width="9.140625" style="16"/>
    <col min="22" max="22" width="9" style="16"/>
    <col min="23" max="23" width="12" style="3" customWidth="1"/>
    <col min="24" max="24" width="15" style="3" customWidth="1"/>
    <col min="25" max="31" width="9" style="3"/>
    <col min="32" max="32" width="11" style="3" bestFit="1" customWidth="1"/>
    <col min="33" max="36" width="9" style="3"/>
    <col min="37" max="37" width="15.85546875" style="3" customWidth="1"/>
    <col min="38" max="41" width="9" style="3"/>
    <col min="42" max="42" width="16" style="3" customWidth="1"/>
    <col min="43" max="43" width="12.85546875" style="3" customWidth="1"/>
    <col min="44" max="45" width="13.42578125" style="3" customWidth="1"/>
    <col min="46" max="46" width="9" style="3"/>
    <col min="47" max="47" width="11.7109375" style="3" bestFit="1" customWidth="1"/>
    <col min="48" max="48" width="9" style="3"/>
    <col min="49" max="49" width="13.7109375" style="3" bestFit="1" customWidth="1"/>
    <col min="50" max="16384" width="9" style="3"/>
  </cols>
  <sheetData>
    <row r="1" spans="1:50" s="93" customFormat="1" ht="48.7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</row>
    <row r="2" spans="1:50" s="94" customFormat="1" ht="75">
      <c r="A2" s="17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8" t="s">
        <v>7</v>
      </c>
      <c r="H2" s="19" t="s">
        <v>8</v>
      </c>
      <c r="I2" s="19" t="s">
        <v>9</v>
      </c>
      <c r="J2" s="1" t="s">
        <v>10</v>
      </c>
      <c r="K2" s="19" t="s">
        <v>11</v>
      </c>
      <c r="L2" s="19" t="s">
        <v>12</v>
      </c>
      <c r="M2" s="19" t="s">
        <v>13</v>
      </c>
      <c r="N2" s="20" t="s">
        <v>14</v>
      </c>
      <c r="O2" s="21" t="s">
        <v>15</v>
      </c>
      <c r="P2" s="20" t="s">
        <v>16</v>
      </c>
      <c r="Q2" s="19" t="s">
        <v>17</v>
      </c>
      <c r="R2" s="20" t="s">
        <v>18</v>
      </c>
      <c r="S2" s="19" t="s">
        <v>19</v>
      </c>
      <c r="T2" s="22" t="s">
        <v>20</v>
      </c>
      <c r="U2" s="19" t="s">
        <v>21</v>
      </c>
      <c r="V2" s="19"/>
      <c r="W2" s="19" t="s">
        <v>22</v>
      </c>
      <c r="X2" s="2" t="s">
        <v>23</v>
      </c>
      <c r="Y2" s="1" t="s">
        <v>24</v>
      </c>
      <c r="Z2" s="23" t="s">
        <v>25</v>
      </c>
      <c r="AA2" s="24" t="s">
        <v>26</v>
      </c>
      <c r="AB2" s="2" t="s">
        <v>27</v>
      </c>
      <c r="AC2" s="2" t="s">
        <v>28</v>
      </c>
      <c r="AD2" s="2" t="s">
        <v>29</v>
      </c>
      <c r="AE2" s="17" t="s">
        <v>30</v>
      </c>
      <c r="AF2" s="2" t="s">
        <v>31</v>
      </c>
      <c r="AG2" s="2" t="s">
        <v>32</v>
      </c>
      <c r="AH2" s="2" t="s">
        <v>33</v>
      </c>
      <c r="AI2" s="25" t="s">
        <v>34</v>
      </c>
      <c r="AJ2" s="25" t="s">
        <v>35</v>
      </c>
      <c r="AK2" s="26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488</v>
      </c>
      <c r="AT2" s="17" t="s">
        <v>1</v>
      </c>
      <c r="AU2" s="1" t="s">
        <v>44</v>
      </c>
      <c r="AV2" s="27" t="s">
        <v>45</v>
      </c>
      <c r="AW2" s="1" t="s">
        <v>46</v>
      </c>
      <c r="AX2" s="1" t="s">
        <v>47</v>
      </c>
    </row>
    <row r="3" spans="1:50" ht="18.75" hidden="1">
      <c r="A3" s="28" t="str">
        <f>IF(X3=0,"CLOSE","ACTIVE")</f>
        <v>ACTIVE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49</v>
      </c>
      <c r="H3" s="5" t="s">
        <v>53</v>
      </c>
      <c r="I3" s="5" t="s">
        <v>54</v>
      </c>
      <c r="J3" s="5">
        <v>9416205447</v>
      </c>
      <c r="K3" s="5">
        <v>15000</v>
      </c>
      <c r="L3" s="5">
        <v>1260</v>
      </c>
      <c r="M3" s="5">
        <f>K3-L3</f>
        <v>13740</v>
      </c>
      <c r="N3" s="5">
        <v>750</v>
      </c>
      <c r="O3" s="29">
        <f>N3*P3</f>
        <v>0</v>
      </c>
      <c r="P3" s="5">
        <v>0</v>
      </c>
      <c r="Q3" s="5">
        <v>26</v>
      </c>
      <c r="R3" s="5">
        <v>16</v>
      </c>
      <c r="S3" s="5">
        <f>Q3-R3-P3</f>
        <v>10</v>
      </c>
      <c r="T3" s="30">
        <v>0</v>
      </c>
      <c r="U3" s="31"/>
      <c r="V3" s="31"/>
      <c r="W3" s="5">
        <f>R3*N3+U3</f>
        <v>12000</v>
      </c>
      <c r="X3" s="5">
        <f>N3*(P3+S3)+T3-U3</f>
        <v>7500</v>
      </c>
      <c r="Y3" s="11" t="s">
        <v>55</v>
      </c>
      <c r="Z3" s="5" t="s">
        <v>56</v>
      </c>
      <c r="AA3" s="5">
        <f>P3*14</f>
        <v>0</v>
      </c>
      <c r="AB3" s="5">
        <v>0</v>
      </c>
      <c r="AC3" s="5">
        <f>AA3*AB3</f>
        <v>0</v>
      </c>
      <c r="AD3" s="5">
        <f>AA3</f>
        <v>0</v>
      </c>
      <c r="AE3" s="5">
        <v>0</v>
      </c>
      <c r="AF3" s="5" t="str">
        <f>IF(AA3&gt;90,"YES","NO")</f>
        <v>NO</v>
      </c>
      <c r="AG3" s="5">
        <f>X3+AC3</f>
        <v>7500</v>
      </c>
      <c r="AH3" s="5" t="s">
        <v>57</v>
      </c>
      <c r="AI3" s="5"/>
      <c r="AJ3" s="5"/>
      <c r="AK3" s="5">
        <f>N3*Q3</f>
        <v>19500</v>
      </c>
      <c r="AL3" s="5">
        <f>AK3-K3</f>
        <v>4500</v>
      </c>
      <c r="AM3" s="5">
        <v>0</v>
      </c>
      <c r="AN3" s="32">
        <f>AL3/Q3</f>
        <v>173.07692307692307</v>
      </c>
      <c r="AO3" s="32">
        <f>AN3*AM3</f>
        <v>0</v>
      </c>
      <c r="AP3" s="12">
        <v>46130</v>
      </c>
      <c r="AQ3" s="12">
        <v>46130</v>
      </c>
      <c r="AR3" s="12">
        <v>46141</v>
      </c>
      <c r="AS3" s="5"/>
      <c r="AT3" s="5" t="str">
        <f>IF(X3=0,"CLOSE","ACTIVE")</f>
        <v>ACTIVE</v>
      </c>
      <c r="AU3" s="5"/>
      <c r="AV3" s="5">
        <f>O3+T3</f>
        <v>0</v>
      </c>
      <c r="AW3" s="6"/>
      <c r="AX3" s="6"/>
    </row>
    <row r="4" spans="1:50" s="95" customFormat="1" ht="18.75" hidden="1">
      <c r="A4" s="76" t="str">
        <f t="shared" ref="A4:A11" si="0">IF(X4=0,"CLOSE","ACTIVE")</f>
        <v>CLOSE</v>
      </c>
      <c r="B4" s="76" t="s">
        <v>48</v>
      </c>
      <c r="C4" s="76" t="s">
        <v>49</v>
      </c>
      <c r="D4" s="76" t="s">
        <v>50</v>
      </c>
      <c r="E4" s="76" t="s">
        <v>51</v>
      </c>
      <c r="F4" s="76" t="s">
        <v>52</v>
      </c>
      <c r="G4" s="76" t="s">
        <v>58</v>
      </c>
      <c r="H4" s="76" t="s">
        <v>59</v>
      </c>
      <c r="I4" s="76" t="s">
        <v>60</v>
      </c>
      <c r="J4" s="76">
        <v>7082390753</v>
      </c>
      <c r="K4" s="76">
        <v>15000</v>
      </c>
      <c r="L4" s="76">
        <v>1260</v>
      </c>
      <c r="M4" s="76">
        <f t="shared" ref="M4:M67" si="1">K4-L4</f>
        <v>13740</v>
      </c>
      <c r="N4" s="76">
        <v>750</v>
      </c>
      <c r="O4" s="76">
        <f t="shared" ref="O4:O12" si="2">N4*P4</f>
        <v>0</v>
      </c>
      <c r="P4" s="76"/>
      <c r="Q4" s="76">
        <v>26</v>
      </c>
      <c r="R4" s="76">
        <v>26</v>
      </c>
      <c r="S4" s="76">
        <f t="shared" ref="S4:S46" si="3">Q4-R4-P4</f>
        <v>0</v>
      </c>
      <c r="T4" s="76">
        <v>0</v>
      </c>
      <c r="U4" s="76"/>
      <c r="V4" s="76"/>
      <c r="W4" s="76">
        <f t="shared" ref="W4:W28" si="4">R4*N4+U4</f>
        <v>19500</v>
      </c>
      <c r="X4" s="76">
        <f t="shared" ref="X4:X46" si="5">N4*(P4+S4)+T4-U4</f>
        <v>0</v>
      </c>
      <c r="Y4" s="131" t="s">
        <v>55</v>
      </c>
      <c r="Z4" s="76" t="s">
        <v>61</v>
      </c>
      <c r="AA4" s="76">
        <f t="shared" ref="AA4:AA15" si="6">P4*14</f>
        <v>0</v>
      </c>
      <c r="AB4" s="76">
        <v>0</v>
      </c>
      <c r="AC4" s="76">
        <f t="shared" ref="AC4:AC15" si="7">AA4*AB4</f>
        <v>0</v>
      </c>
      <c r="AD4" s="76">
        <f t="shared" ref="AD4:AD15" si="8">AA4</f>
        <v>0</v>
      </c>
      <c r="AE4" s="76">
        <v>0</v>
      </c>
      <c r="AF4" s="76" t="str">
        <f t="shared" ref="AF4:AF15" si="9">IF(AA4&gt;90,"YES","NO")</f>
        <v>NO</v>
      </c>
      <c r="AG4" s="76">
        <f t="shared" ref="AG4:AG15" si="10">X4+AC4</f>
        <v>0</v>
      </c>
      <c r="AH4" s="76" t="s">
        <v>57</v>
      </c>
      <c r="AI4" s="76"/>
      <c r="AJ4" s="76"/>
      <c r="AK4" s="76">
        <f t="shared" ref="AK4:AK15" si="11">N4*Q4</f>
        <v>19500</v>
      </c>
      <c r="AL4" s="76">
        <f t="shared" ref="AL4:AL15" si="12">AK4-K4</f>
        <v>4500</v>
      </c>
      <c r="AM4" s="76">
        <v>0</v>
      </c>
      <c r="AN4" s="77">
        <f t="shared" ref="AN4:AN15" si="13">AL4/Q4</f>
        <v>173.07692307692307</v>
      </c>
      <c r="AO4" s="77">
        <f t="shared" ref="AO4:AO15" si="14">AN4*AM4</f>
        <v>0</v>
      </c>
      <c r="AP4" s="132">
        <v>46132</v>
      </c>
      <c r="AQ4" s="132">
        <v>46134</v>
      </c>
      <c r="AR4" s="132">
        <v>46141</v>
      </c>
      <c r="AS4" s="76"/>
      <c r="AT4" s="76" t="str">
        <f t="shared" ref="AT4:AT67" si="15">IF(X4=0,"CLOSE","ACTIVE")</f>
        <v>CLOSE</v>
      </c>
      <c r="AU4" s="132">
        <v>46241</v>
      </c>
      <c r="AV4" s="76"/>
      <c r="AW4" s="9" t="s">
        <v>518</v>
      </c>
      <c r="AX4" s="9">
        <v>9000</v>
      </c>
    </row>
    <row r="5" spans="1:50" ht="18.75" hidden="1">
      <c r="A5" s="28" t="str">
        <f t="shared" si="0"/>
        <v>ACTIVE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62</v>
      </c>
      <c r="H5" s="5" t="s">
        <v>63</v>
      </c>
      <c r="I5" s="5" t="s">
        <v>64</v>
      </c>
      <c r="J5" s="5">
        <v>9050560127</v>
      </c>
      <c r="K5" s="5">
        <v>15000</v>
      </c>
      <c r="L5" s="5">
        <v>1260</v>
      </c>
      <c r="M5" s="5">
        <f t="shared" si="1"/>
        <v>13740</v>
      </c>
      <c r="N5" s="5">
        <v>750</v>
      </c>
      <c r="O5" s="29">
        <f t="shared" si="2"/>
        <v>0</v>
      </c>
      <c r="P5" s="5"/>
      <c r="Q5" s="5">
        <v>26</v>
      </c>
      <c r="R5" s="5">
        <v>16</v>
      </c>
      <c r="S5" s="5">
        <f t="shared" si="3"/>
        <v>10</v>
      </c>
      <c r="T5" s="30">
        <v>0</v>
      </c>
      <c r="U5" s="31"/>
      <c r="V5" s="31"/>
      <c r="W5" s="5">
        <f t="shared" si="4"/>
        <v>12000</v>
      </c>
      <c r="X5" s="5">
        <f t="shared" si="5"/>
        <v>7500</v>
      </c>
      <c r="Y5" s="11" t="s">
        <v>55</v>
      </c>
      <c r="Z5" s="5" t="s">
        <v>65</v>
      </c>
      <c r="AA5" s="5">
        <f t="shared" si="6"/>
        <v>0</v>
      </c>
      <c r="AB5" s="5">
        <v>0</v>
      </c>
      <c r="AC5" s="5">
        <f t="shared" si="7"/>
        <v>0</v>
      </c>
      <c r="AD5" s="5">
        <f t="shared" si="8"/>
        <v>0</v>
      </c>
      <c r="AE5" s="5">
        <v>0</v>
      </c>
      <c r="AF5" s="5" t="str">
        <f t="shared" si="9"/>
        <v>NO</v>
      </c>
      <c r="AG5" s="5">
        <f t="shared" si="10"/>
        <v>7500</v>
      </c>
      <c r="AH5" s="5" t="s">
        <v>57</v>
      </c>
      <c r="AI5" s="5"/>
      <c r="AJ5" s="5"/>
      <c r="AK5" s="5">
        <f t="shared" si="11"/>
        <v>19500</v>
      </c>
      <c r="AL5" s="5">
        <f t="shared" si="12"/>
        <v>4500</v>
      </c>
      <c r="AM5" s="5">
        <v>0</v>
      </c>
      <c r="AN5" s="32">
        <f t="shared" si="13"/>
        <v>173.07692307692307</v>
      </c>
      <c r="AO5" s="32">
        <f t="shared" si="14"/>
        <v>0</v>
      </c>
      <c r="AP5" s="12">
        <v>46133</v>
      </c>
      <c r="AQ5" s="12">
        <v>46134</v>
      </c>
      <c r="AR5" s="12">
        <v>46141</v>
      </c>
      <c r="AS5" s="5"/>
      <c r="AT5" s="5" t="str">
        <f t="shared" si="15"/>
        <v>ACTIVE</v>
      </c>
      <c r="AU5" s="5"/>
      <c r="AV5" s="5"/>
      <c r="AW5" s="6"/>
      <c r="AX5" s="6"/>
    </row>
    <row r="6" spans="1:50" ht="18.75">
      <c r="A6" s="28" t="str">
        <f t="shared" si="0"/>
        <v>ACTIVE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66</v>
      </c>
      <c r="H6" s="5" t="s">
        <v>67</v>
      </c>
      <c r="I6" s="5" t="s">
        <v>68</v>
      </c>
      <c r="J6" s="5">
        <v>8395916139</v>
      </c>
      <c r="K6" s="5">
        <v>20000</v>
      </c>
      <c r="L6" s="5">
        <v>1580</v>
      </c>
      <c r="M6" s="5">
        <f t="shared" si="1"/>
        <v>18420</v>
      </c>
      <c r="N6" s="5">
        <v>800</v>
      </c>
      <c r="O6" s="29">
        <f t="shared" si="2"/>
        <v>0</v>
      </c>
      <c r="P6" s="5">
        <v>0</v>
      </c>
      <c r="Q6" s="5">
        <v>34</v>
      </c>
      <c r="R6" s="5">
        <v>15</v>
      </c>
      <c r="S6" s="5">
        <f t="shared" si="3"/>
        <v>19</v>
      </c>
      <c r="T6" s="30">
        <v>0</v>
      </c>
      <c r="U6" s="31"/>
      <c r="V6" s="31"/>
      <c r="W6" s="5">
        <f t="shared" si="4"/>
        <v>12000</v>
      </c>
      <c r="X6" s="5">
        <f t="shared" si="5"/>
        <v>15200</v>
      </c>
      <c r="Y6" s="11" t="s">
        <v>69</v>
      </c>
      <c r="Z6" s="5" t="s">
        <v>70</v>
      </c>
      <c r="AA6" s="5">
        <f t="shared" si="6"/>
        <v>0</v>
      </c>
      <c r="AB6" s="5">
        <v>0</v>
      </c>
      <c r="AC6" s="5">
        <f t="shared" si="7"/>
        <v>0</v>
      </c>
      <c r="AD6" s="5">
        <f t="shared" si="8"/>
        <v>0</v>
      </c>
      <c r="AE6" s="5">
        <v>0</v>
      </c>
      <c r="AF6" s="5" t="str">
        <f t="shared" si="9"/>
        <v>NO</v>
      </c>
      <c r="AG6" s="5">
        <f t="shared" si="10"/>
        <v>15200</v>
      </c>
      <c r="AH6" s="5" t="s">
        <v>57</v>
      </c>
      <c r="AI6" s="5"/>
      <c r="AJ6" s="5"/>
      <c r="AK6" s="5">
        <f t="shared" si="11"/>
        <v>27200</v>
      </c>
      <c r="AL6" s="5">
        <f t="shared" si="12"/>
        <v>7200</v>
      </c>
      <c r="AM6" s="5">
        <v>0</v>
      </c>
      <c r="AN6" s="32">
        <f t="shared" si="13"/>
        <v>211.76470588235293</v>
      </c>
      <c r="AO6" s="32">
        <f t="shared" si="14"/>
        <v>0</v>
      </c>
      <c r="AP6" s="12">
        <v>46134</v>
      </c>
      <c r="AQ6" s="12">
        <v>46134</v>
      </c>
      <c r="AR6" s="12">
        <v>46147</v>
      </c>
      <c r="AS6" s="5"/>
      <c r="AT6" s="5" t="str">
        <f t="shared" si="15"/>
        <v>ACTIVE</v>
      </c>
      <c r="AU6" s="5"/>
      <c r="AV6" s="5"/>
      <c r="AW6" s="6"/>
      <c r="AX6" s="6"/>
    </row>
    <row r="7" spans="1:50" ht="18.75">
      <c r="A7" s="28" t="str">
        <f t="shared" si="0"/>
        <v>ACTIVE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66</v>
      </c>
      <c r="H7" s="5" t="s">
        <v>71</v>
      </c>
      <c r="I7" s="5" t="s">
        <v>72</v>
      </c>
      <c r="J7" s="5">
        <v>7289049720</v>
      </c>
      <c r="K7" s="5">
        <v>15000</v>
      </c>
      <c r="L7" s="5">
        <v>1260</v>
      </c>
      <c r="M7" s="5">
        <f t="shared" si="1"/>
        <v>13740</v>
      </c>
      <c r="N7" s="5">
        <v>750</v>
      </c>
      <c r="O7" s="29">
        <f t="shared" si="2"/>
        <v>0</v>
      </c>
      <c r="P7" s="5">
        <v>0</v>
      </c>
      <c r="Q7" s="5">
        <v>26</v>
      </c>
      <c r="R7" s="5">
        <v>15</v>
      </c>
      <c r="S7" s="5">
        <f t="shared" si="3"/>
        <v>11</v>
      </c>
      <c r="T7" s="30">
        <v>0</v>
      </c>
      <c r="U7" s="31"/>
      <c r="V7" s="31"/>
      <c r="W7" s="5">
        <f t="shared" si="4"/>
        <v>11250</v>
      </c>
      <c r="X7" s="5">
        <f t="shared" si="5"/>
        <v>8250</v>
      </c>
      <c r="Y7" s="11" t="s">
        <v>69</v>
      </c>
      <c r="Z7" s="5" t="s">
        <v>73</v>
      </c>
      <c r="AA7" s="5">
        <f t="shared" si="6"/>
        <v>0</v>
      </c>
      <c r="AB7" s="5">
        <v>0</v>
      </c>
      <c r="AC7" s="5">
        <f t="shared" si="7"/>
        <v>0</v>
      </c>
      <c r="AD7" s="5">
        <f t="shared" si="8"/>
        <v>0</v>
      </c>
      <c r="AE7" s="5">
        <v>0</v>
      </c>
      <c r="AF7" s="5" t="str">
        <f t="shared" si="9"/>
        <v>NO</v>
      </c>
      <c r="AG7" s="5">
        <f t="shared" si="10"/>
        <v>8250</v>
      </c>
      <c r="AH7" s="5" t="s">
        <v>57</v>
      </c>
      <c r="AI7" s="5"/>
      <c r="AJ7" s="5"/>
      <c r="AK7" s="5">
        <f t="shared" si="11"/>
        <v>19500</v>
      </c>
      <c r="AL7" s="5">
        <f t="shared" si="12"/>
        <v>4500</v>
      </c>
      <c r="AM7" s="5">
        <v>0</v>
      </c>
      <c r="AN7" s="32">
        <f t="shared" si="13"/>
        <v>173.07692307692307</v>
      </c>
      <c r="AO7" s="32">
        <f t="shared" si="14"/>
        <v>0</v>
      </c>
      <c r="AP7" s="12">
        <v>46134</v>
      </c>
      <c r="AQ7" s="12">
        <v>46135</v>
      </c>
      <c r="AR7" s="12">
        <v>46147</v>
      </c>
      <c r="AS7" s="5"/>
      <c r="AT7" s="5" t="str">
        <f t="shared" si="15"/>
        <v>ACTIVE</v>
      </c>
      <c r="AU7" s="5"/>
      <c r="AV7" s="5"/>
      <c r="AW7" s="6"/>
      <c r="AX7" s="6"/>
    </row>
    <row r="8" spans="1:50" ht="18.75" hidden="1">
      <c r="A8" s="28" t="str">
        <f t="shared" si="0"/>
        <v>ACTIVE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62</v>
      </c>
      <c r="H8" s="6" t="s">
        <v>74</v>
      </c>
      <c r="I8" s="6" t="s">
        <v>75</v>
      </c>
      <c r="J8" s="6">
        <v>8607782625</v>
      </c>
      <c r="K8" s="6">
        <v>15000</v>
      </c>
      <c r="L8" s="6">
        <v>1260</v>
      </c>
      <c r="M8" s="5">
        <f t="shared" si="1"/>
        <v>13740</v>
      </c>
      <c r="N8" s="5">
        <v>750</v>
      </c>
      <c r="O8" s="29">
        <f t="shared" si="2"/>
        <v>750</v>
      </c>
      <c r="P8" s="5">
        <v>1</v>
      </c>
      <c r="Q8" s="5">
        <v>26</v>
      </c>
      <c r="R8" s="5">
        <v>15</v>
      </c>
      <c r="S8" s="5">
        <f t="shared" si="3"/>
        <v>10</v>
      </c>
      <c r="T8" s="30">
        <v>0</v>
      </c>
      <c r="U8" s="31"/>
      <c r="V8" s="31"/>
      <c r="W8" s="5">
        <f t="shared" si="4"/>
        <v>11250</v>
      </c>
      <c r="X8" s="5">
        <f t="shared" si="5"/>
        <v>8250</v>
      </c>
      <c r="Y8" s="13" t="s">
        <v>55</v>
      </c>
      <c r="Z8" s="5" t="s">
        <v>76</v>
      </c>
      <c r="AA8" s="5">
        <f t="shared" si="6"/>
        <v>14</v>
      </c>
      <c r="AB8" s="5">
        <v>0</v>
      </c>
      <c r="AC8" s="5">
        <f t="shared" si="7"/>
        <v>0</v>
      </c>
      <c r="AD8" s="5">
        <f t="shared" si="8"/>
        <v>14</v>
      </c>
      <c r="AE8" s="5">
        <v>0</v>
      </c>
      <c r="AF8" s="5" t="str">
        <f t="shared" si="9"/>
        <v>NO</v>
      </c>
      <c r="AG8" s="5">
        <f t="shared" si="10"/>
        <v>8250</v>
      </c>
      <c r="AH8" s="5" t="s">
        <v>57</v>
      </c>
      <c r="AI8" s="5"/>
      <c r="AJ8" s="5"/>
      <c r="AK8" s="5">
        <f t="shared" si="11"/>
        <v>19500</v>
      </c>
      <c r="AL8" s="5">
        <f t="shared" si="12"/>
        <v>4500</v>
      </c>
      <c r="AM8" s="5">
        <v>0</v>
      </c>
      <c r="AN8" s="32">
        <f t="shared" si="13"/>
        <v>173.07692307692307</v>
      </c>
      <c r="AO8" s="32">
        <f t="shared" si="14"/>
        <v>0</v>
      </c>
      <c r="AP8" s="12">
        <v>46133</v>
      </c>
      <c r="AQ8" s="12">
        <v>46135</v>
      </c>
      <c r="AR8" s="12">
        <v>46141</v>
      </c>
      <c r="AS8" s="5"/>
      <c r="AT8" s="5" t="str">
        <f t="shared" si="15"/>
        <v>ACTIVE</v>
      </c>
      <c r="AU8" s="6"/>
      <c r="AV8" s="6"/>
      <c r="AW8" s="6"/>
      <c r="AX8" s="6"/>
    </row>
    <row r="9" spans="1:50" ht="18.75">
      <c r="A9" s="28" t="str">
        <f t="shared" si="0"/>
        <v>ACTIVE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66</v>
      </c>
      <c r="H9" s="6" t="s">
        <v>77</v>
      </c>
      <c r="I9" s="6" t="s">
        <v>78</v>
      </c>
      <c r="J9" s="6">
        <v>7355817478</v>
      </c>
      <c r="K9" s="6">
        <v>15000</v>
      </c>
      <c r="L9" s="6">
        <v>1260</v>
      </c>
      <c r="M9" s="5">
        <f t="shared" si="1"/>
        <v>13740</v>
      </c>
      <c r="N9" s="5">
        <v>750</v>
      </c>
      <c r="O9" s="29">
        <f t="shared" si="2"/>
        <v>0</v>
      </c>
      <c r="P9" s="5">
        <v>0</v>
      </c>
      <c r="Q9" s="5">
        <v>26</v>
      </c>
      <c r="R9" s="5">
        <v>15</v>
      </c>
      <c r="S9" s="5">
        <f t="shared" si="3"/>
        <v>11</v>
      </c>
      <c r="T9" s="30">
        <v>0</v>
      </c>
      <c r="U9" s="31"/>
      <c r="V9" s="31"/>
      <c r="W9" s="5">
        <f t="shared" si="4"/>
        <v>11250</v>
      </c>
      <c r="X9" s="5">
        <f t="shared" si="5"/>
        <v>8250</v>
      </c>
      <c r="Y9" s="13" t="s">
        <v>69</v>
      </c>
      <c r="Z9" s="5" t="s">
        <v>79</v>
      </c>
      <c r="AA9" s="5">
        <f t="shared" si="6"/>
        <v>0</v>
      </c>
      <c r="AB9" s="5">
        <v>0</v>
      </c>
      <c r="AC9" s="5">
        <f t="shared" si="7"/>
        <v>0</v>
      </c>
      <c r="AD9" s="5">
        <f t="shared" si="8"/>
        <v>0</v>
      </c>
      <c r="AE9" s="5">
        <v>0</v>
      </c>
      <c r="AF9" s="5" t="str">
        <f t="shared" si="9"/>
        <v>NO</v>
      </c>
      <c r="AG9" s="5">
        <f t="shared" si="10"/>
        <v>8250</v>
      </c>
      <c r="AH9" s="5" t="s">
        <v>57</v>
      </c>
      <c r="AI9" s="5"/>
      <c r="AJ9" s="5"/>
      <c r="AK9" s="5">
        <f t="shared" si="11"/>
        <v>19500</v>
      </c>
      <c r="AL9" s="5">
        <f t="shared" si="12"/>
        <v>4500</v>
      </c>
      <c r="AM9" s="5">
        <v>0</v>
      </c>
      <c r="AN9" s="32">
        <f t="shared" si="13"/>
        <v>173.07692307692307</v>
      </c>
      <c r="AO9" s="32">
        <f t="shared" si="14"/>
        <v>0</v>
      </c>
      <c r="AP9" s="12">
        <v>46134</v>
      </c>
      <c r="AQ9" s="14">
        <v>46136</v>
      </c>
      <c r="AR9" s="12">
        <v>46147</v>
      </c>
      <c r="AS9" s="5"/>
      <c r="AT9" s="5" t="str">
        <f t="shared" si="15"/>
        <v>ACTIVE</v>
      </c>
      <c r="AU9" s="6"/>
      <c r="AV9" s="6"/>
      <c r="AW9" s="6"/>
      <c r="AX9" s="6"/>
    </row>
    <row r="10" spans="1:50" s="95" customFormat="1" ht="18.75" hidden="1">
      <c r="A10" s="76" t="str">
        <f t="shared" si="0"/>
        <v>CLOSE</v>
      </c>
      <c r="B10" s="76" t="s">
        <v>48</v>
      </c>
      <c r="C10" s="76" t="s">
        <v>49</v>
      </c>
      <c r="D10" s="76" t="s">
        <v>50</v>
      </c>
      <c r="E10" s="76" t="s">
        <v>51</v>
      </c>
      <c r="F10" s="76" t="s">
        <v>52</v>
      </c>
      <c r="G10" s="9" t="s">
        <v>66</v>
      </c>
      <c r="H10" s="9" t="s">
        <v>80</v>
      </c>
      <c r="I10" s="9" t="s">
        <v>81</v>
      </c>
      <c r="J10" s="9">
        <v>7027566795</v>
      </c>
      <c r="K10" s="9">
        <v>20000</v>
      </c>
      <c r="L10" s="76">
        <v>1580</v>
      </c>
      <c r="M10" s="76">
        <f t="shared" si="1"/>
        <v>18420</v>
      </c>
      <c r="N10" s="76">
        <v>800</v>
      </c>
      <c r="O10" s="76">
        <f t="shared" si="2"/>
        <v>0</v>
      </c>
      <c r="P10" s="76">
        <v>0</v>
      </c>
      <c r="Q10" s="76">
        <v>34</v>
      </c>
      <c r="R10" s="76">
        <v>34</v>
      </c>
      <c r="S10" s="76">
        <f t="shared" si="3"/>
        <v>0</v>
      </c>
      <c r="T10" s="76">
        <v>0</v>
      </c>
      <c r="U10" s="76"/>
      <c r="V10" s="76"/>
      <c r="W10" s="76">
        <f t="shared" si="4"/>
        <v>27200</v>
      </c>
      <c r="X10" s="76">
        <f t="shared" si="5"/>
        <v>0</v>
      </c>
      <c r="Y10" s="49" t="s">
        <v>69</v>
      </c>
      <c r="Z10" s="76" t="s">
        <v>82</v>
      </c>
      <c r="AA10" s="76">
        <f t="shared" si="6"/>
        <v>0</v>
      </c>
      <c r="AB10" s="76">
        <v>0</v>
      </c>
      <c r="AC10" s="76">
        <f t="shared" si="7"/>
        <v>0</v>
      </c>
      <c r="AD10" s="76">
        <f t="shared" si="8"/>
        <v>0</v>
      </c>
      <c r="AE10" s="76">
        <v>0</v>
      </c>
      <c r="AF10" s="76" t="str">
        <f t="shared" si="9"/>
        <v>NO</v>
      </c>
      <c r="AG10" s="76">
        <f t="shared" si="10"/>
        <v>0</v>
      </c>
      <c r="AH10" s="76" t="s">
        <v>57</v>
      </c>
      <c r="AI10" s="76"/>
      <c r="AJ10" s="76"/>
      <c r="AK10" s="76">
        <f t="shared" si="11"/>
        <v>27200</v>
      </c>
      <c r="AL10" s="76">
        <f t="shared" si="12"/>
        <v>7200</v>
      </c>
      <c r="AM10" s="76">
        <v>0</v>
      </c>
      <c r="AN10" s="77">
        <f t="shared" si="13"/>
        <v>211.76470588235293</v>
      </c>
      <c r="AO10" s="77">
        <f t="shared" si="14"/>
        <v>0</v>
      </c>
      <c r="AP10" s="132">
        <v>46135</v>
      </c>
      <c r="AQ10" s="78">
        <v>46136</v>
      </c>
      <c r="AR10" s="132">
        <v>46147</v>
      </c>
      <c r="AS10" s="76"/>
      <c r="AT10" s="76" t="str">
        <f t="shared" si="15"/>
        <v>CLOSE</v>
      </c>
      <c r="AU10" s="78">
        <v>46248</v>
      </c>
      <c r="AV10" s="9"/>
      <c r="AW10" s="9" t="s">
        <v>518</v>
      </c>
      <c r="AX10" s="9">
        <v>16000</v>
      </c>
    </row>
    <row r="11" spans="1:50" ht="18.75">
      <c r="A11" s="28" t="str">
        <f t="shared" si="0"/>
        <v>ACTIVE</v>
      </c>
      <c r="B11" s="5" t="s">
        <v>48</v>
      </c>
      <c r="C11" s="5" t="s">
        <v>49</v>
      </c>
      <c r="D11" s="5" t="s">
        <v>50</v>
      </c>
      <c r="E11" s="5" t="s">
        <v>51</v>
      </c>
      <c r="F11" s="5" t="s">
        <v>52</v>
      </c>
      <c r="G11" s="6" t="s">
        <v>66</v>
      </c>
      <c r="H11" s="5" t="s">
        <v>83</v>
      </c>
      <c r="I11" s="5" t="s">
        <v>84</v>
      </c>
      <c r="J11" s="5">
        <v>9992825464</v>
      </c>
      <c r="K11" s="6">
        <v>20000</v>
      </c>
      <c r="L11" s="5">
        <v>1580</v>
      </c>
      <c r="M11" s="5">
        <f t="shared" si="1"/>
        <v>18420</v>
      </c>
      <c r="N11" s="5">
        <v>800</v>
      </c>
      <c r="O11" s="29">
        <f t="shared" si="2"/>
        <v>0</v>
      </c>
      <c r="P11" s="5">
        <v>0</v>
      </c>
      <c r="Q11" s="5">
        <v>34</v>
      </c>
      <c r="R11" s="5">
        <v>15</v>
      </c>
      <c r="S11" s="5">
        <f t="shared" si="3"/>
        <v>19</v>
      </c>
      <c r="T11" s="30">
        <v>0</v>
      </c>
      <c r="U11" s="31"/>
      <c r="V11" s="31"/>
      <c r="W11" s="5">
        <f t="shared" si="4"/>
        <v>12000</v>
      </c>
      <c r="X11" s="5">
        <f t="shared" si="5"/>
        <v>15200</v>
      </c>
      <c r="Y11" s="13" t="s">
        <v>69</v>
      </c>
      <c r="Z11" s="5" t="s">
        <v>85</v>
      </c>
      <c r="AA11" s="5">
        <f t="shared" si="6"/>
        <v>0</v>
      </c>
      <c r="AB11" s="5">
        <v>0</v>
      </c>
      <c r="AC11" s="5">
        <f t="shared" si="7"/>
        <v>0</v>
      </c>
      <c r="AD11" s="5">
        <f t="shared" si="8"/>
        <v>0</v>
      </c>
      <c r="AE11" s="5">
        <v>0</v>
      </c>
      <c r="AF11" s="5" t="str">
        <f t="shared" si="9"/>
        <v>NO</v>
      </c>
      <c r="AG11" s="5">
        <f t="shared" si="10"/>
        <v>15200</v>
      </c>
      <c r="AH11" s="5" t="s">
        <v>57</v>
      </c>
      <c r="AI11" s="5"/>
      <c r="AJ11" s="5"/>
      <c r="AK11" s="5">
        <f t="shared" si="11"/>
        <v>27200</v>
      </c>
      <c r="AL11" s="5">
        <f t="shared" si="12"/>
        <v>7200</v>
      </c>
      <c r="AM11" s="5">
        <v>0</v>
      </c>
      <c r="AN11" s="32">
        <f t="shared" si="13"/>
        <v>211.76470588235293</v>
      </c>
      <c r="AO11" s="32">
        <f t="shared" si="14"/>
        <v>0</v>
      </c>
      <c r="AP11" s="14">
        <v>46134</v>
      </c>
      <c r="AQ11" s="14">
        <v>46136</v>
      </c>
      <c r="AR11" s="12">
        <v>46147</v>
      </c>
      <c r="AS11" s="5"/>
      <c r="AT11" s="5" t="str">
        <f t="shared" si="15"/>
        <v>ACTIVE</v>
      </c>
      <c r="AU11" s="6"/>
      <c r="AV11" s="6"/>
      <c r="AW11" s="6"/>
      <c r="AX11" s="6"/>
    </row>
    <row r="12" spans="1:50" s="95" customFormat="1" ht="15.75" hidden="1">
      <c r="A12" s="76" t="str">
        <f t="shared" ref="A12:A14" si="16">IF(X12=0,"CLOSE","ACTIVE")</f>
        <v>CLOSE</v>
      </c>
      <c r="B12" s="76" t="s">
        <v>48</v>
      </c>
      <c r="C12" s="76" t="s">
        <v>49</v>
      </c>
      <c r="D12" s="76" t="s">
        <v>50</v>
      </c>
      <c r="E12" s="76" t="s">
        <v>51</v>
      </c>
      <c r="F12" s="76" t="s">
        <v>52</v>
      </c>
      <c r="G12" s="51" t="s">
        <v>66</v>
      </c>
      <c r="H12" s="51" t="s">
        <v>120</v>
      </c>
      <c r="I12" s="51" t="s">
        <v>124</v>
      </c>
      <c r="J12" s="51">
        <v>8295596976</v>
      </c>
      <c r="K12" s="95">
        <v>15000</v>
      </c>
      <c r="L12" s="95">
        <v>1260</v>
      </c>
      <c r="M12" s="51">
        <f t="shared" si="1"/>
        <v>13740</v>
      </c>
      <c r="N12" s="51">
        <v>750</v>
      </c>
      <c r="O12" s="76">
        <f t="shared" si="2"/>
        <v>0</v>
      </c>
      <c r="P12" s="76">
        <v>0</v>
      </c>
      <c r="Q12" s="76">
        <v>26</v>
      </c>
      <c r="R12" s="76">
        <v>26</v>
      </c>
      <c r="S12" s="76">
        <f t="shared" si="3"/>
        <v>0</v>
      </c>
      <c r="T12" s="76">
        <v>0</v>
      </c>
      <c r="U12" s="76"/>
      <c r="V12" s="76"/>
      <c r="W12" s="76">
        <f t="shared" si="4"/>
        <v>19500</v>
      </c>
      <c r="X12" s="76">
        <f t="shared" si="5"/>
        <v>0</v>
      </c>
      <c r="Y12" s="95" t="s">
        <v>69</v>
      </c>
      <c r="Z12" s="76" t="s">
        <v>114</v>
      </c>
      <c r="AA12" s="76">
        <f t="shared" si="6"/>
        <v>0</v>
      </c>
      <c r="AB12" s="76">
        <v>0</v>
      </c>
      <c r="AC12" s="76">
        <f t="shared" si="7"/>
        <v>0</v>
      </c>
      <c r="AD12" s="76">
        <f t="shared" si="8"/>
        <v>0</v>
      </c>
      <c r="AE12" s="76">
        <v>0</v>
      </c>
      <c r="AF12" s="76" t="str">
        <f t="shared" si="9"/>
        <v>NO</v>
      </c>
      <c r="AG12" s="76">
        <f t="shared" si="10"/>
        <v>0</v>
      </c>
      <c r="AH12" s="76" t="s">
        <v>57</v>
      </c>
      <c r="AI12" s="76"/>
      <c r="AJ12" s="76"/>
      <c r="AK12" s="76">
        <f t="shared" si="11"/>
        <v>19500</v>
      </c>
      <c r="AL12" s="76">
        <f t="shared" si="12"/>
        <v>4500</v>
      </c>
      <c r="AM12" s="76">
        <v>0</v>
      </c>
      <c r="AN12" s="77">
        <f t="shared" si="13"/>
        <v>173.07692307692307</v>
      </c>
      <c r="AO12" s="77">
        <f t="shared" si="14"/>
        <v>0</v>
      </c>
      <c r="AP12" s="145">
        <v>46135</v>
      </c>
      <c r="AQ12" s="145">
        <v>46141</v>
      </c>
      <c r="AR12" s="146">
        <v>46147</v>
      </c>
      <c r="AS12" s="51"/>
      <c r="AT12" s="76" t="str">
        <f t="shared" si="15"/>
        <v>CLOSE</v>
      </c>
      <c r="AU12" s="78">
        <v>46248</v>
      </c>
      <c r="AV12" s="9"/>
      <c r="AW12" s="9" t="s">
        <v>518</v>
      </c>
      <c r="AX12" s="9">
        <v>9000</v>
      </c>
    </row>
    <row r="13" spans="1:50" s="95" customFormat="1" ht="15.75" hidden="1">
      <c r="A13" s="76" t="str">
        <f t="shared" si="16"/>
        <v>CLOSE</v>
      </c>
      <c r="B13" s="76" t="s">
        <v>48</v>
      </c>
      <c r="C13" s="76" t="s">
        <v>49</v>
      </c>
      <c r="D13" s="76" t="s">
        <v>50</v>
      </c>
      <c r="E13" s="76" t="s">
        <v>51</v>
      </c>
      <c r="F13" s="76" t="s">
        <v>52</v>
      </c>
      <c r="G13" s="51" t="s">
        <v>66</v>
      </c>
      <c r="H13" s="51" t="s">
        <v>121</v>
      </c>
      <c r="I13" s="51" t="s">
        <v>125</v>
      </c>
      <c r="J13" s="51">
        <v>8816907186</v>
      </c>
      <c r="K13" s="95">
        <v>15000</v>
      </c>
      <c r="L13" s="95">
        <v>1260</v>
      </c>
      <c r="M13" s="51">
        <f t="shared" si="1"/>
        <v>13740</v>
      </c>
      <c r="N13" s="51">
        <v>750</v>
      </c>
      <c r="O13" s="76">
        <f t="shared" ref="O13:O15" si="17">N13*P13</f>
        <v>0</v>
      </c>
      <c r="P13" s="76">
        <v>0</v>
      </c>
      <c r="Q13" s="76">
        <v>26</v>
      </c>
      <c r="R13" s="76">
        <v>26</v>
      </c>
      <c r="S13" s="76">
        <f t="shared" si="3"/>
        <v>0</v>
      </c>
      <c r="T13" s="76">
        <v>0</v>
      </c>
      <c r="U13" s="76"/>
      <c r="V13" s="76"/>
      <c r="W13" s="76">
        <f t="shared" si="4"/>
        <v>19500</v>
      </c>
      <c r="X13" s="76">
        <f t="shared" si="5"/>
        <v>0</v>
      </c>
      <c r="Y13" s="95" t="s">
        <v>69</v>
      </c>
      <c r="Z13" s="76" t="s">
        <v>115</v>
      </c>
      <c r="AA13" s="76">
        <f t="shared" si="6"/>
        <v>0</v>
      </c>
      <c r="AB13" s="76">
        <v>0</v>
      </c>
      <c r="AC13" s="76">
        <f t="shared" si="7"/>
        <v>0</v>
      </c>
      <c r="AD13" s="76">
        <f t="shared" si="8"/>
        <v>0</v>
      </c>
      <c r="AE13" s="76">
        <v>0</v>
      </c>
      <c r="AF13" s="76" t="str">
        <f t="shared" si="9"/>
        <v>NO</v>
      </c>
      <c r="AG13" s="76">
        <f t="shared" si="10"/>
        <v>0</v>
      </c>
      <c r="AH13" s="76" t="s">
        <v>57</v>
      </c>
      <c r="AI13" s="76"/>
      <c r="AJ13" s="76"/>
      <c r="AK13" s="76">
        <f t="shared" si="11"/>
        <v>19500</v>
      </c>
      <c r="AL13" s="76">
        <f t="shared" si="12"/>
        <v>4500</v>
      </c>
      <c r="AM13" s="76">
        <v>0</v>
      </c>
      <c r="AN13" s="77">
        <f t="shared" si="13"/>
        <v>173.07692307692307</v>
      </c>
      <c r="AO13" s="77">
        <f t="shared" si="14"/>
        <v>0</v>
      </c>
      <c r="AP13" s="145">
        <v>46136</v>
      </c>
      <c r="AQ13" s="145">
        <v>46141</v>
      </c>
      <c r="AR13" s="146">
        <v>46147</v>
      </c>
      <c r="AS13" s="51"/>
      <c r="AT13" s="76" t="str">
        <f t="shared" si="15"/>
        <v>CLOSE</v>
      </c>
      <c r="AU13" s="78">
        <v>46248</v>
      </c>
      <c r="AV13" s="9"/>
      <c r="AW13" s="9" t="s">
        <v>518</v>
      </c>
      <c r="AX13" s="9">
        <v>8250</v>
      </c>
    </row>
    <row r="14" spans="1:50" ht="15.75" hidden="1">
      <c r="A14" s="28" t="str">
        <f t="shared" si="16"/>
        <v>ACTIVE</v>
      </c>
      <c r="B14" s="5" t="s">
        <v>48</v>
      </c>
      <c r="C14" s="5" t="s">
        <v>49</v>
      </c>
      <c r="D14" s="5" t="s">
        <v>50</v>
      </c>
      <c r="E14" s="5" t="s">
        <v>51</v>
      </c>
      <c r="F14" s="5" t="s">
        <v>52</v>
      </c>
      <c r="G14" s="10" t="s">
        <v>118</v>
      </c>
      <c r="H14" s="10" t="s">
        <v>122</v>
      </c>
      <c r="I14" s="10" t="s">
        <v>126</v>
      </c>
      <c r="J14" s="10">
        <v>9971164371</v>
      </c>
      <c r="K14" s="3">
        <v>15000</v>
      </c>
      <c r="L14" s="3">
        <v>1260</v>
      </c>
      <c r="M14" s="10">
        <f t="shared" si="1"/>
        <v>13740</v>
      </c>
      <c r="N14" s="10">
        <v>750</v>
      </c>
      <c r="O14" s="29">
        <f t="shared" si="17"/>
        <v>0</v>
      </c>
      <c r="P14" s="5">
        <v>0</v>
      </c>
      <c r="Q14" s="5">
        <v>26</v>
      </c>
      <c r="R14" s="6">
        <v>15</v>
      </c>
      <c r="S14" s="5">
        <f t="shared" si="3"/>
        <v>11</v>
      </c>
      <c r="T14" s="30">
        <v>0</v>
      </c>
      <c r="U14" s="31"/>
      <c r="V14" s="31"/>
      <c r="W14" s="5">
        <f t="shared" si="4"/>
        <v>11250</v>
      </c>
      <c r="X14" s="5">
        <f t="shared" si="5"/>
        <v>8250</v>
      </c>
      <c r="Y14" s="16" t="s">
        <v>55</v>
      </c>
      <c r="Z14" s="5" t="s">
        <v>116</v>
      </c>
      <c r="AA14" s="5">
        <f t="shared" si="6"/>
        <v>0</v>
      </c>
      <c r="AB14" s="5">
        <v>0</v>
      </c>
      <c r="AC14" s="5">
        <f t="shared" si="7"/>
        <v>0</v>
      </c>
      <c r="AD14" s="5">
        <f t="shared" si="8"/>
        <v>0</v>
      </c>
      <c r="AE14" s="5">
        <v>0</v>
      </c>
      <c r="AF14" s="5" t="str">
        <f t="shared" si="9"/>
        <v>NO</v>
      </c>
      <c r="AG14" s="5">
        <f t="shared" si="10"/>
        <v>8250</v>
      </c>
      <c r="AH14" s="5" t="s">
        <v>57</v>
      </c>
      <c r="AI14" s="5"/>
      <c r="AJ14" s="5"/>
      <c r="AK14" s="5">
        <f t="shared" si="11"/>
        <v>19500</v>
      </c>
      <c r="AL14" s="5">
        <f t="shared" si="12"/>
        <v>4500</v>
      </c>
      <c r="AM14" s="5">
        <v>0</v>
      </c>
      <c r="AN14" s="32">
        <f t="shared" si="13"/>
        <v>173.07692307692307</v>
      </c>
      <c r="AO14" s="32">
        <f t="shared" si="14"/>
        <v>0</v>
      </c>
      <c r="AP14" s="4">
        <v>46139</v>
      </c>
      <c r="AQ14" s="4">
        <v>46141</v>
      </c>
      <c r="AR14" s="4">
        <v>46148</v>
      </c>
      <c r="AT14" s="5" t="str">
        <f t="shared" si="15"/>
        <v>ACTIVE</v>
      </c>
      <c r="AU14" s="6"/>
      <c r="AV14" s="6"/>
      <c r="AW14" s="6"/>
      <c r="AX14" s="6"/>
    </row>
    <row r="15" spans="1:50" ht="15.75" hidden="1">
      <c r="A15" s="28" t="str">
        <f t="shared" ref="A15:A23" si="18">IF(X15=0,"CLOSE","ACTIVE")</f>
        <v>ACTIVE</v>
      </c>
      <c r="B15" s="5" t="s">
        <v>48</v>
      </c>
      <c r="C15" s="5" t="s">
        <v>49</v>
      </c>
      <c r="D15" s="5" t="s">
        <v>50</v>
      </c>
      <c r="E15" s="5" t="s">
        <v>51</v>
      </c>
      <c r="F15" s="5" t="s">
        <v>52</v>
      </c>
      <c r="G15" s="10" t="s">
        <v>119</v>
      </c>
      <c r="H15" s="10" t="s">
        <v>123</v>
      </c>
      <c r="I15" s="10" t="s">
        <v>127</v>
      </c>
      <c r="J15" s="10">
        <v>8816966347</v>
      </c>
      <c r="K15" s="3">
        <v>15000</v>
      </c>
      <c r="L15" s="3">
        <v>1260</v>
      </c>
      <c r="M15" s="10">
        <f t="shared" si="1"/>
        <v>13740</v>
      </c>
      <c r="N15" s="10">
        <v>750</v>
      </c>
      <c r="O15" s="29">
        <f t="shared" si="17"/>
        <v>0</v>
      </c>
      <c r="P15" s="5">
        <v>0</v>
      </c>
      <c r="Q15" s="5">
        <v>26</v>
      </c>
      <c r="R15" s="6">
        <v>15</v>
      </c>
      <c r="S15" s="5">
        <f t="shared" si="3"/>
        <v>11</v>
      </c>
      <c r="T15" s="30">
        <v>0</v>
      </c>
      <c r="U15" s="31"/>
      <c r="V15" s="31"/>
      <c r="W15" s="5">
        <f t="shared" si="4"/>
        <v>11250</v>
      </c>
      <c r="X15" s="5">
        <f t="shared" si="5"/>
        <v>8250</v>
      </c>
      <c r="Y15" s="16" t="s">
        <v>55</v>
      </c>
      <c r="Z15" s="5" t="s">
        <v>117</v>
      </c>
      <c r="AA15" s="5">
        <f t="shared" si="6"/>
        <v>0</v>
      </c>
      <c r="AB15" s="5">
        <v>0</v>
      </c>
      <c r="AC15" s="5">
        <f t="shared" si="7"/>
        <v>0</v>
      </c>
      <c r="AD15" s="5">
        <f t="shared" si="8"/>
        <v>0</v>
      </c>
      <c r="AE15" s="5">
        <v>0</v>
      </c>
      <c r="AF15" s="5" t="str">
        <f t="shared" si="9"/>
        <v>NO</v>
      </c>
      <c r="AG15" s="5">
        <f t="shared" si="10"/>
        <v>8250</v>
      </c>
      <c r="AH15" s="5" t="s">
        <v>57</v>
      </c>
      <c r="AI15" s="5"/>
      <c r="AJ15" s="5"/>
      <c r="AK15" s="5">
        <f t="shared" si="11"/>
        <v>19500</v>
      </c>
      <c r="AL15" s="5">
        <f t="shared" si="12"/>
        <v>4500</v>
      </c>
      <c r="AM15" s="5">
        <v>0</v>
      </c>
      <c r="AN15" s="32">
        <f t="shared" si="13"/>
        <v>173.07692307692307</v>
      </c>
      <c r="AO15" s="32">
        <f t="shared" si="14"/>
        <v>0</v>
      </c>
      <c r="AP15" s="4">
        <v>46140</v>
      </c>
      <c r="AQ15" s="4">
        <v>46141</v>
      </c>
      <c r="AR15" s="4">
        <v>46148</v>
      </c>
      <c r="AT15" s="5" t="str">
        <f t="shared" si="15"/>
        <v>ACTIVE</v>
      </c>
      <c r="AU15" s="6"/>
      <c r="AV15" s="6"/>
      <c r="AW15" s="6"/>
      <c r="AX15" s="6"/>
    </row>
    <row r="16" spans="1:50" s="95" customFormat="1" ht="18.75" hidden="1">
      <c r="A16" s="76" t="str">
        <f t="shared" si="18"/>
        <v>CLOSE</v>
      </c>
      <c r="B16" s="76" t="s">
        <v>48</v>
      </c>
      <c r="C16" s="76" t="s">
        <v>49</v>
      </c>
      <c r="D16" s="76" t="s">
        <v>50</v>
      </c>
      <c r="E16" s="76" t="s">
        <v>51</v>
      </c>
      <c r="F16" s="76" t="s">
        <v>173</v>
      </c>
      <c r="G16" s="76" t="s">
        <v>66</v>
      </c>
      <c r="H16" s="76" t="s">
        <v>83</v>
      </c>
      <c r="I16" s="76" t="s">
        <v>138</v>
      </c>
      <c r="J16" s="76">
        <v>9813610261</v>
      </c>
      <c r="K16" s="9">
        <v>20000</v>
      </c>
      <c r="L16" s="76">
        <v>1580</v>
      </c>
      <c r="M16" s="76">
        <f t="shared" si="1"/>
        <v>18420</v>
      </c>
      <c r="N16" s="76">
        <v>800</v>
      </c>
      <c r="O16" s="76">
        <f t="shared" ref="O16:O23" si="19">N16*P16</f>
        <v>0</v>
      </c>
      <c r="P16" s="76">
        <v>0</v>
      </c>
      <c r="Q16" s="9">
        <v>34</v>
      </c>
      <c r="R16" s="9">
        <v>7</v>
      </c>
      <c r="S16" s="76">
        <v>0</v>
      </c>
      <c r="T16" s="76">
        <v>0</v>
      </c>
      <c r="U16" s="76"/>
      <c r="V16" s="76"/>
      <c r="W16" s="76">
        <f t="shared" si="4"/>
        <v>5600</v>
      </c>
      <c r="X16" s="76">
        <f t="shared" si="5"/>
        <v>0</v>
      </c>
      <c r="Y16" s="49" t="s">
        <v>69</v>
      </c>
      <c r="Z16" s="76" t="s">
        <v>145</v>
      </c>
      <c r="AA16" s="76">
        <f t="shared" ref="AA16:AA23" si="20">P16*14</f>
        <v>0</v>
      </c>
      <c r="AB16" s="76">
        <v>0</v>
      </c>
      <c r="AC16" s="76">
        <f t="shared" ref="AC16:AC23" si="21">AA16*AB16</f>
        <v>0</v>
      </c>
      <c r="AD16" s="76">
        <f t="shared" ref="AD16:AD23" si="22">AA16</f>
        <v>0</v>
      </c>
      <c r="AE16" s="76">
        <v>0</v>
      </c>
      <c r="AF16" s="76" t="str">
        <f t="shared" ref="AF16:AF23" si="23">IF(AA16&gt;90,"YES","NO")</f>
        <v>NO</v>
      </c>
      <c r="AG16" s="76">
        <f t="shared" ref="AG16:AG23" si="24">X16+AC16</f>
        <v>0</v>
      </c>
      <c r="AH16" s="76" t="s">
        <v>57</v>
      </c>
      <c r="AI16" s="76"/>
      <c r="AJ16" s="76"/>
      <c r="AK16" s="76">
        <f t="shared" ref="AK16:AK23" si="25">N16*Q16</f>
        <v>27200</v>
      </c>
      <c r="AL16" s="76">
        <f t="shared" ref="AL16:AL23" si="26">AK16-K16</f>
        <v>7200</v>
      </c>
      <c r="AM16" s="76">
        <v>0</v>
      </c>
      <c r="AN16" s="77">
        <f t="shared" ref="AN16:AN23" si="27">AL16/Q16</f>
        <v>211.76470588235293</v>
      </c>
      <c r="AO16" s="77">
        <f t="shared" ref="AO16:AO23" si="28">AN16*AM16</f>
        <v>0</v>
      </c>
      <c r="AP16" s="78">
        <v>46141</v>
      </c>
      <c r="AQ16" s="78">
        <v>46143</v>
      </c>
      <c r="AR16" s="78">
        <v>46154</v>
      </c>
      <c r="AS16" s="9"/>
      <c r="AT16" s="76" t="str">
        <f t="shared" si="15"/>
        <v>CLOSE</v>
      </c>
      <c r="AU16" s="9"/>
      <c r="AV16" s="9"/>
      <c r="AW16" s="9" t="s">
        <v>448</v>
      </c>
      <c r="AX16" s="9">
        <v>21600</v>
      </c>
    </row>
    <row r="17" spans="1:50" ht="18.75" hidden="1">
      <c r="A17" s="28" t="str">
        <f t="shared" si="18"/>
        <v>ACTIVE</v>
      </c>
      <c r="B17" s="5" t="s">
        <v>48</v>
      </c>
      <c r="C17" s="5" t="s">
        <v>49</v>
      </c>
      <c r="D17" s="5" t="s">
        <v>50</v>
      </c>
      <c r="E17" s="5" t="s">
        <v>51</v>
      </c>
      <c r="F17" s="5" t="s">
        <v>173</v>
      </c>
      <c r="G17" s="5" t="s">
        <v>128</v>
      </c>
      <c r="H17" s="5" t="s">
        <v>131</v>
      </c>
      <c r="I17" s="5" t="s">
        <v>139</v>
      </c>
      <c r="J17" s="5">
        <v>8295428639</v>
      </c>
      <c r="K17" s="6">
        <v>20000</v>
      </c>
      <c r="L17" s="5">
        <v>1580</v>
      </c>
      <c r="M17" s="5">
        <f t="shared" si="1"/>
        <v>18420</v>
      </c>
      <c r="N17" s="5">
        <v>800</v>
      </c>
      <c r="O17" s="29">
        <f t="shared" si="19"/>
        <v>800</v>
      </c>
      <c r="P17" s="5">
        <v>1</v>
      </c>
      <c r="Q17" s="6">
        <v>34</v>
      </c>
      <c r="R17" s="6">
        <v>13</v>
      </c>
      <c r="S17" s="5">
        <f t="shared" si="3"/>
        <v>20</v>
      </c>
      <c r="T17" s="30">
        <v>0</v>
      </c>
      <c r="U17" s="31"/>
      <c r="V17" s="31"/>
      <c r="W17" s="5">
        <f t="shared" si="4"/>
        <v>10400</v>
      </c>
      <c r="X17" s="5">
        <f t="shared" si="5"/>
        <v>16800</v>
      </c>
      <c r="Y17" s="15" t="s">
        <v>55</v>
      </c>
      <c r="Z17" s="5" t="s">
        <v>146</v>
      </c>
      <c r="AA17" s="5">
        <f t="shared" si="20"/>
        <v>14</v>
      </c>
      <c r="AB17" s="5">
        <v>0</v>
      </c>
      <c r="AC17" s="5">
        <f t="shared" si="21"/>
        <v>0</v>
      </c>
      <c r="AD17" s="5">
        <f t="shared" si="22"/>
        <v>14</v>
      </c>
      <c r="AE17" s="5">
        <v>0</v>
      </c>
      <c r="AF17" s="5" t="str">
        <f t="shared" si="23"/>
        <v>NO</v>
      </c>
      <c r="AG17" s="5">
        <f t="shared" si="24"/>
        <v>16800</v>
      </c>
      <c r="AH17" s="5" t="s">
        <v>57</v>
      </c>
      <c r="AI17" s="5"/>
      <c r="AJ17" s="5"/>
      <c r="AK17" s="5">
        <f t="shared" si="25"/>
        <v>27200</v>
      </c>
      <c r="AL17" s="5">
        <f t="shared" si="26"/>
        <v>7200</v>
      </c>
      <c r="AM17" s="5">
        <v>0</v>
      </c>
      <c r="AN17" s="32">
        <f t="shared" si="27"/>
        <v>211.76470588235293</v>
      </c>
      <c r="AO17" s="32">
        <f t="shared" si="28"/>
        <v>0</v>
      </c>
      <c r="AP17" s="14">
        <v>46135</v>
      </c>
      <c r="AQ17" s="14">
        <v>46143</v>
      </c>
      <c r="AR17" s="14">
        <v>46155</v>
      </c>
      <c r="AS17" s="6"/>
      <c r="AT17" s="5" t="str">
        <f t="shared" si="15"/>
        <v>ACTIVE</v>
      </c>
      <c r="AU17" s="6"/>
      <c r="AV17" s="6"/>
      <c r="AW17" s="6"/>
      <c r="AX17" s="6"/>
    </row>
    <row r="18" spans="1:50" ht="18.75">
      <c r="A18" s="28" t="str">
        <f t="shared" si="18"/>
        <v>ACTIVE</v>
      </c>
      <c r="B18" s="5" t="s">
        <v>48</v>
      </c>
      <c r="C18" s="5" t="s">
        <v>49</v>
      </c>
      <c r="D18" s="5" t="s">
        <v>50</v>
      </c>
      <c r="E18" s="5" t="s">
        <v>51</v>
      </c>
      <c r="F18" s="5" t="s">
        <v>173</v>
      </c>
      <c r="G18" s="5" t="s">
        <v>129</v>
      </c>
      <c r="H18" s="5" t="s">
        <v>132</v>
      </c>
      <c r="I18" s="5" t="s">
        <v>140</v>
      </c>
      <c r="J18" s="5">
        <v>8397037924</v>
      </c>
      <c r="K18" s="6">
        <v>20000</v>
      </c>
      <c r="L18" s="5">
        <v>1580</v>
      </c>
      <c r="M18" s="5">
        <f t="shared" si="1"/>
        <v>18420</v>
      </c>
      <c r="N18" s="5">
        <v>800</v>
      </c>
      <c r="O18" s="29">
        <f t="shared" si="19"/>
        <v>0</v>
      </c>
      <c r="P18" s="5">
        <v>0</v>
      </c>
      <c r="Q18" s="6">
        <v>34</v>
      </c>
      <c r="R18" s="6">
        <v>14</v>
      </c>
      <c r="S18" s="5">
        <f t="shared" si="3"/>
        <v>20</v>
      </c>
      <c r="T18" s="30">
        <v>0</v>
      </c>
      <c r="U18" s="31"/>
      <c r="V18" s="31"/>
      <c r="W18" s="5">
        <f t="shared" si="4"/>
        <v>11200</v>
      </c>
      <c r="X18" s="5">
        <f t="shared" si="5"/>
        <v>16000</v>
      </c>
      <c r="Y18" s="15" t="s">
        <v>69</v>
      </c>
      <c r="Z18" s="5" t="s">
        <v>147</v>
      </c>
      <c r="AA18" s="5">
        <f t="shared" si="20"/>
        <v>0</v>
      </c>
      <c r="AB18" s="5">
        <v>0</v>
      </c>
      <c r="AC18" s="5">
        <f t="shared" si="21"/>
        <v>0</v>
      </c>
      <c r="AD18" s="5">
        <f t="shared" si="22"/>
        <v>0</v>
      </c>
      <c r="AE18" s="5">
        <v>0</v>
      </c>
      <c r="AF18" s="5" t="str">
        <f t="shared" si="23"/>
        <v>NO</v>
      </c>
      <c r="AG18" s="5">
        <f t="shared" si="24"/>
        <v>16000</v>
      </c>
      <c r="AH18" s="5" t="s">
        <v>57</v>
      </c>
      <c r="AI18" s="5"/>
      <c r="AJ18" s="5"/>
      <c r="AK18" s="5">
        <f t="shared" si="25"/>
        <v>27200</v>
      </c>
      <c r="AL18" s="5">
        <f t="shared" si="26"/>
        <v>7200</v>
      </c>
      <c r="AM18" s="5">
        <v>0</v>
      </c>
      <c r="AN18" s="32">
        <f t="shared" si="27"/>
        <v>211.76470588235293</v>
      </c>
      <c r="AO18" s="32">
        <f t="shared" si="28"/>
        <v>0</v>
      </c>
      <c r="AP18" s="14">
        <v>46141</v>
      </c>
      <c r="AQ18" s="14">
        <v>46143</v>
      </c>
      <c r="AR18" s="14">
        <v>46154</v>
      </c>
      <c r="AS18" s="6"/>
      <c r="AT18" s="5" t="str">
        <f t="shared" si="15"/>
        <v>ACTIVE</v>
      </c>
      <c r="AU18" s="6"/>
      <c r="AV18" s="6"/>
      <c r="AW18" s="6"/>
      <c r="AX18" s="6"/>
    </row>
    <row r="19" spans="1:50" ht="18.75" hidden="1">
      <c r="A19" s="28" t="str">
        <f t="shared" si="18"/>
        <v>ACTIVE</v>
      </c>
      <c r="B19" s="5" t="s">
        <v>48</v>
      </c>
      <c r="C19" s="5" t="s">
        <v>49</v>
      </c>
      <c r="D19" s="5" t="s">
        <v>50</v>
      </c>
      <c r="E19" s="5" t="s">
        <v>51</v>
      </c>
      <c r="F19" s="5" t="s">
        <v>173</v>
      </c>
      <c r="G19" s="5" t="s">
        <v>130</v>
      </c>
      <c r="H19" s="5" t="s">
        <v>133</v>
      </c>
      <c r="I19" s="5" t="s">
        <v>68</v>
      </c>
      <c r="J19" s="5">
        <v>9050180519</v>
      </c>
      <c r="K19" s="6">
        <v>15000</v>
      </c>
      <c r="L19" s="5">
        <v>1260</v>
      </c>
      <c r="M19" s="5">
        <f t="shared" si="1"/>
        <v>13740</v>
      </c>
      <c r="N19" s="6">
        <v>750</v>
      </c>
      <c r="O19" s="29">
        <f t="shared" si="19"/>
        <v>3000</v>
      </c>
      <c r="P19" s="5">
        <v>4</v>
      </c>
      <c r="Q19" s="6">
        <v>26</v>
      </c>
      <c r="R19" s="6">
        <v>10</v>
      </c>
      <c r="S19" s="5">
        <f t="shared" si="3"/>
        <v>12</v>
      </c>
      <c r="T19" s="30">
        <v>0</v>
      </c>
      <c r="U19" s="31"/>
      <c r="V19" s="31"/>
      <c r="W19" s="5">
        <f t="shared" si="4"/>
        <v>7500</v>
      </c>
      <c r="X19" s="5">
        <f t="shared" si="5"/>
        <v>12000</v>
      </c>
      <c r="Y19" s="15" t="s">
        <v>55</v>
      </c>
      <c r="Z19" s="5" t="s">
        <v>148</v>
      </c>
      <c r="AA19" s="5">
        <f t="shared" si="20"/>
        <v>56</v>
      </c>
      <c r="AB19" s="5">
        <v>0</v>
      </c>
      <c r="AC19" s="5">
        <f t="shared" si="21"/>
        <v>0</v>
      </c>
      <c r="AD19" s="5">
        <f t="shared" si="22"/>
        <v>56</v>
      </c>
      <c r="AE19" s="5">
        <v>0</v>
      </c>
      <c r="AF19" s="5" t="str">
        <f t="shared" si="23"/>
        <v>NO</v>
      </c>
      <c r="AG19" s="5">
        <f t="shared" si="24"/>
        <v>12000</v>
      </c>
      <c r="AH19" s="5" t="s">
        <v>57</v>
      </c>
      <c r="AI19" s="5"/>
      <c r="AJ19" s="5"/>
      <c r="AK19" s="5">
        <f t="shared" si="25"/>
        <v>19500</v>
      </c>
      <c r="AL19" s="5">
        <f t="shared" si="26"/>
        <v>4500</v>
      </c>
      <c r="AM19" s="5">
        <v>0</v>
      </c>
      <c r="AN19" s="32">
        <f t="shared" si="27"/>
        <v>173.07692307692307</v>
      </c>
      <c r="AO19" s="32">
        <f t="shared" si="28"/>
        <v>0</v>
      </c>
      <c r="AP19" s="14">
        <v>46141</v>
      </c>
      <c r="AQ19" s="14">
        <v>46143</v>
      </c>
      <c r="AR19" s="14">
        <v>46155</v>
      </c>
      <c r="AS19" s="6"/>
      <c r="AT19" s="5" t="str">
        <f t="shared" si="15"/>
        <v>ACTIVE</v>
      </c>
      <c r="AU19" s="6"/>
      <c r="AV19" s="6"/>
      <c r="AW19" s="6"/>
      <c r="AX19" s="6"/>
    </row>
    <row r="20" spans="1:50" ht="18.75" hidden="1">
      <c r="A20" s="28" t="str">
        <f t="shared" si="18"/>
        <v>ACTIVE</v>
      </c>
      <c r="B20" s="5" t="s">
        <v>48</v>
      </c>
      <c r="C20" s="5" t="s">
        <v>49</v>
      </c>
      <c r="D20" s="5" t="s">
        <v>50</v>
      </c>
      <c r="E20" s="5" t="s">
        <v>51</v>
      </c>
      <c r="F20" s="5" t="s">
        <v>173</v>
      </c>
      <c r="G20" s="5" t="s">
        <v>119</v>
      </c>
      <c r="H20" s="5" t="s">
        <v>134</v>
      </c>
      <c r="I20" s="5" t="s">
        <v>141</v>
      </c>
      <c r="J20" s="5">
        <v>9671597235</v>
      </c>
      <c r="K20" s="6">
        <v>20000</v>
      </c>
      <c r="L20" s="5">
        <v>1580</v>
      </c>
      <c r="M20" s="5">
        <f t="shared" si="1"/>
        <v>18420</v>
      </c>
      <c r="N20" s="5">
        <v>800</v>
      </c>
      <c r="O20" s="29">
        <f t="shared" si="19"/>
        <v>0</v>
      </c>
      <c r="P20" s="5">
        <v>0</v>
      </c>
      <c r="Q20" s="6">
        <v>34</v>
      </c>
      <c r="R20" s="6">
        <v>14</v>
      </c>
      <c r="S20" s="5">
        <f t="shared" si="3"/>
        <v>20</v>
      </c>
      <c r="T20" s="30">
        <v>0</v>
      </c>
      <c r="U20" s="31"/>
      <c r="V20" s="31"/>
      <c r="W20" s="5">
        <f t="shared" si="4"/>
        <v>11200</v>
      </c>
      <c r="X20" s="5">
        <f t="shared" si="5"/>
        <v>16000</v>
      </c>
      <c r="Y20" s="15" t="s">
        <v>55</v>
      </c>
      <c r="Z20" s="5" t="s">
        <v>149</v>
      </c>
      <c r="AA20" s="5">
        <f t="shared" si="20"/>
        <v>0</v>
      </c>
      <c r="AB20" s="5">
        <v>0</v>
      </c>
      <c r="AC20" s="5">
        <f t="shared" si="21"/>
        <v>0</v>
      </c>
      <c r="AD20" s="5">
        <f t="shared" si="22"/>
        <v>0</v>
      </c>
      <c r="AE20" s="5">
        <v>0</v>
      </c>
      <c r="AF20" s="5" t="str">
        <f t="shared" si="23"/>
        <v>NO</v>
      </c>
      <c r="AG20" s="5">
        <f t="shared" si="24"/>
        <v>16000</v>
      </c>
      <c r="AH20" s="5" t="s">
        <v>57</v>
      </c>
      <c r="AI20" s="5"/>
      <c r="AJ20" s="5"/>
      <c r="AK20" s="5">
        <f t="shared" si="25"/>
        <v>27200</v>
      </c>
      <c r="AL20" s="5">
        <f t="shared" si="26"/>
        <v>7200</v>
      </c>
      <c r="AM20" s="5">
        <v>0</v>
      </c>
      <c r="AN20" s="32">
        <f t="shared" si="27"/>
        <v>211.76470588235293</v>
      </c>
      <c r="AO20" s="32">
        <f t="shared" si="28"/>
        <v>0</v>
      </c>
      <c r="AP20" s="14">
        <v>46142</v>
      </c>
      <c r="AQ20" s="14">
        <v>46143</v>
      </c>
      <c r="AR20" s="14">
        <v>46155</v>
      </c>
      <c r="AS20" s="6"/>
      <c r="AT20" s="5" t="str">
        <f t="shared" si="15"/>
        <v>ACTIVE</v>
      </c>
      <c r="AU20" s="6"/>
      <c r="AV20" s="6"/>
      <c r="AW20" s="6"/>
      <c r="AX20" s="6"/>
    </row>
    <row r="21" spans="1:50" ht="18.75" hidden="1">
      <c r="A21" s="28" t="str">
        <f t="shared" si="18"/>
        <v>ACTIVE</v>
      </c>
      <c r="B21" s="5" t="s">
        <v>48</v>
      </c>
      <c r="C21" s="5" t="s">
        <v>49</v>
      </c>
      <c r="D21" s="5" t="s">
        <v>50</v>
      </c>
      <c r="E21" s="5" t="s">
        <v>51</v>
      </c>
      <c r="F21" s="5" t="s">
        <v>173</v>
      </c>
      <c r="G21" s="5" t="s">
        <v>119</v>
      </c>
      <c r="H21" s="5" t="s">
        <v>135</v>
      </c>
      <c r="I21" s="5" t="s">
        <v>142</v>
      </c>
      <c r="J21" s="5">
        <v>9729501850</v>
      </c>
      <c r="K21" s="6">
        <v>20000</v>
      </c>
      <c r="L21" s="5">
        <v>1580</v>
      </c>
      <c r="M21" s="5">
        <f t="shared" si="1"/>
        <v>18420</v>
      </c>
      <c r="N21" s="5">
        <v>800</v>
      </c>
      <c r="O21" s="29">
        <f t="shared" si="19"/>
        <v>0</v>
      </c>
      <c r="P21" s="5">
        <v>0</v>
      </c>
      <c r="Q21" s="6">
        <v>34</v>
      </c>
      <c r="R21" s="6">
        <v>14</v>
      </c>
      <c r="S21" s="5">
        <f t="shared" si="3"/>
        <v>20</v>
      </c>
      <c r="T21" s="30">
        <v>0</v>
      </c>
      <c r="U21" s="31"/>
      <c r="V21" s="31"/>
      <c r="W21" s="5">
        <f t="shared" si="4"/>
        <v>11200</v>
      </c>
      <c r="X21" s="5">
        <f t="shared" si="5"/>
        <v>16000</v>
      </c>
      <c r="Y21" s="15" t="s">
        <v>55</v>
      </c>
      <c r="Z21" s="5" t="s">
        <v>150</v>
      </c>
      <c r="AA21" s="5">
        <f t="shared" si="20"/>
        <v>0</v>
      </c>
      <c r="AB21" s="5">
        <v>0</v>
      </c>
      <c r="AC21" s="5">
        <f t="shared" si="21"/>
        <v>0</v>
      </c>
      <c r="AD21" s="5">
        <f t="shared" si="22"/>
        <v>0</v>
      </c>
      <c r="AE21" s="5">
        <v>0</v>
      </c>
      <c r="AF21" s="5" t="str">
        <f t="shared" si="23"/>
        <v>NO</v>
      </c>
      <c r="AG21" s="5">
        <f t="shared" si="24"/>
        <v>16000</v>
      </c>
      <c r="AH21" s="5" t="s">
        <v>57</v>
      </c>
      <c r="AI21" s="5"/>
      <c r="AJ21" s="5"/>
      <c r="AK21" s="5">
        <f t="shared" si="25"/>
        <v>27200</v>
      </c>
      <c r="AL21" s="5">
        <f t="shared" si="26"/>
        <v>7200</v>
      </c>
      <c r="AM21" s="5">
        <v>0</v>
      </c>
      <c r="AN21" s="32">
        <f t="shared" si="27"/>
        <v>211.76470588235293</v>
      </c>
      <c r="AO21" s="32">
        <f t="shared" si="28"/>
        <v>0</v>
      </c>
      <c r="AP21" s="14">
        <v>46142</v>
      </c>
      <c r="AQ21" s="14">
        <v>46143</v>
      </c>
      <c r="AR21" s="14">
        <v>46155</v>
      </c>
      <c r="AS21" s="6"/>
      <c r="AT21" s="5" t="str">
        <f t="shared" si="15"/>
        <v>ACTIVE</v>
      </c>
      <c r="AU21" s="6"/>
      <c r="AV21" s="6"/>
      <c r="AW21" s="6"/>
      <c r="AX21" s="6"/>
    </row>
    <row r="22" spans="1:50" ht="18.75">
      <c r="A22" s="28" t="str">
        <f t="shared" si="18"/>
        <v>ACTIVE</v>
      </c>
      <c r="B22" s="5" t="s">
        <v>48</v>
      </c>
      <c r="C22" s="5" t="s">
        <v>49</v>
      </c>
      <c r="D22" s="5" t="s">
        <v>50</v>
      </c>
      <c r="E22" s="5" t="s">
        <v>51</v>
      </c>
      <c r="F22" s="5" t="s">
        <v>173</v>
      </c>
      <c r="G22" s="5" t="s">
        <v>66</v>
      </c>
      <c r="H22" s="5" t="s">
        <v>136</v>
      </c>
      <c r="I22" s="5" t="s">
        <v>143</v>
      </c>
      <c r="J22" s="5">
        <v>9992969785</v>
      </c>
      <c r="K22" s="6">
        <v>20000</v>
      </c>
      <c r="L22" s="5">
        <v>1580</v>
      </c>
      <c r="M22" s="5">
        <f t="shared" ref="M22" si="29">K22-L22</f>
        <v>18420</v>
      </c>
      <c r="N22" s="5">
        <v>800</v>
      </c>
      <c r="O22" s="29">
        <f t="shared" ref="O22" si="30">N22*P22</f>
        <v>0</v>
      </c>
      <c r="P22" s="5">
        <v>0</v>
      </c>
      <c r="Q22" s="6">
        <v>34</v>
      </c>
      <c r="R22" s="6">
        <v>14</v>
      </c>
      <c r="S22" s="5">
        <f t="shared" si="3"/>
        <v>20</v>
      </c>
      <c r="T22" s="30">
        <v>0</v>
      </c>
      <c r="U22" s="31"/>
      <c r="V22" s="31"/>
      <c r="W22" s="5">
        <f t="shared" si="4"/>
        <v>11200</v>
      </c>
      <c r="X22" s="5">
        <f t="shared" si="5"/>
        <v>16000</v>
      </c>
      <c r="Y22" s="15" t="s">
        <v>69</v>
      </c>
      <c r="Z22" s="5" t="s">
        <v>151</v>
      </c>
      <c r="AA22" s="5">
        <f t="shared" si="20"/>
        <v>0</v>
      </c>
      <c r="AB22" s="5">
        <v>0</v>
      </c>
      <c r="AC22" s="5">
        <f t="shared" si="21"/>
        <v>0</v>
      </c>
      <c r="AD22" s="5">
        <f t="shared" si="22"/>
        <v>0</v>
      </c>
      <c r="AE22" s="5">
        <v>0</v>
      </c>
      <c r="AF22" s="5" t="str">
        <f t="shared" si="23"/>
        <v>NO</v>
      </c>
      <c r="AG22" s="5">
        <f t="shared" si="24"/>
        <v>16000</v>
      </c>
      <c r="AH22" s="5" t="s">
        <v>57</v>
      </c>
      <c r="AI22" s="5"/>
      <c r="AJ22" s="5"/>
      <c r="AK22" s="5">
        <f t="shared" si="25"/>
        <v>27200</v>
      </c>
      <c r="AL22" s="5">
        <f t="shared" si="26"/>
        <v>7200</v>
      </c>
      <c r="AM22" s="5">
        <v>0</v>
      </c>
      <c r="AN22" s="32">
        <f t="shared" si="27"/>
        <v>211.76470588235293</v>
      </c>
      <c r="AO22" s="32">
        <f t="shared" si="28"/>
        <v>0</v>
      </c>
      <c r="AP22" s="14">
        <v>46142</v>
      </c>
      <c r="AQ22" s="14">
        <v>46143</v>
      </c>
      <c r="AR22" s="14">
        <v>46154</v>
      </c>
      <c r="AS22" s="6"/>
      <c r="AT22" s="5" t="str">
        <f t="shared" si="15"/>
        <v>ACTIVE</v>
      </c>
      <c r="AU22" s="6"/>
      <c r="AV22" s="6"/>
      <c r="AW22" s="6"/>
      <c r="AX22" s="6"/>
    </row>
    <row r="23" spans="1:50" ht="18.75" hidden="1">
      <c r="A23" s="28" t="str">
        <f t="shared" si="18"/>
        <v>ACTIVE</v>
      </c>
      <c r="B23" s="5" t="s">
        <v>48</v>
      </c>
      <c r="C23" s="5" t="s">
        <v>49</v>
      </c>
      <c r="D23" s="5" t="s">
        <v>50</v>
      </c>
      <c r="E23" s="5" t="s">
        <v>51</v>
      </c>
      <c r="F23" s="5" t="s">
        <v>173</v>
      </c>
      <c r="G23" s="5" t="s">
        <v>119</v>
      </c>
      <c r="H23" s="5" t="s">
        <v>137</v>
      </c>
      <c r="I23" s="5" t="s">
        <v>144</v>
      </c>
      <c r="J23" s="5">
        <v>9991638771</v>
      </c>
      <c r="K23" s="6">
        <v>20000</v>
      </c>
      <c r="L23" s="5">
        <v>1580</v>
      </c>
      <c r="M23" s="5">
        <f t="shared" si="1"/>
        <v>18420</v>
      </c>
      <c r="N23" s="5">
        <v>800</v>
      </c>
      <c r="O23" s="29">
        <f t="shared" si="19"/>
        <v>0</v>
      </c>
      <c r="P23" s="5">
        <v>0</v>
      </c>
      <c r="Q23" s="6">
        <v>34</v>
      </c>
      <c r="R23" s="6">
        <v>14</v>
      </c>
      <c r="S23" s="5">
        <f t="shared" si="3"/>
        <v>20</v>
      </c>
      <c r="T23" s="30">
        <v>0</v>
      </c>
      <c r="U23" s="31"/>
      <c r="V23" s="31"/>
      <c r="W23" s="5">
        <f t="shared" si="4"/>
        <v>11200</v>
      </c>
      <c r="X23" s="5">
        <f t="shared" si="5"/>
        <v>16000</v>
      </c>
      <c r="Y23" s="15" t="s">
        <v>55</v>
      </c>
      <c r="Z23" s="5" t="s">
        <v>152</v>
      </c>
      <c r="AA23" s="5">
        <f t="shared" si="20"/>
        <v>0</v>
      </c>
      <c r="AB23" s="5">
        <v>0</v>
      </c>
      <c r="AC23" s="5">
        <f t="shared" si="21"/>
        <v>0</v>
      </c>
      <c r="AD23" s="5">
        <f t="shared" si="22"/>
        <v>0</v>
      </c>
      <c r="AE23" s="5">
        <v>0</v>
      </c>
      <c r="AF23" s="5" t="str">
        <f t="shared" si="23"/>
        <v>NO</v>
      </c>
      <c r="AG23" s="5">
        <f t="shared" si="24"/>
        <v>16000</v>
      </c>
      <c r="AH23" s="5" t="s">
        <v>57</v>
      </c>
      <c r="AI23" s="5"/>
      <c r="AJ23" s="5"/>
      <c r="AK23" s="5">
        <f t="shared" si="25"/>
        <v>27200</v>
      </c>
      <c r="AL23" s="5">
        <f t="shared" si="26"/>
        <v>7200</v>
      </c>
      <c r="AM23" s="5">
        <v>0</v>
      </c>
      <c r="AN23" s="32">
        <f t="shared" si="27"/>
        <v>211.76470588235293</v>
      </c>
      <c r="AO23" s="32">
        <f t="shared" si="28"/>
        <v>0</v>
      </c>
      <c r="AP23" s="14">
        <v>46142</v>
      </c>
      <c r="AQ23" s="14">
        <v>46143</v>
      </c>
      <c r="AR23" s="14">
        <v>46155</v>
      </c>
      <c r="AS23" s="6"/>
      <c r="AT23" s="5" t="str">
        <f t="shared" si="15"/>
        <v>ACTIVE</v>
      </c>
      <c r="AU23" s="6"/>
      <c r="AV23" s="6"/>
      <c r="AW23" s="6"/>
      <c r="AX23" s="6"/>
    </row>
    <row r="24" spans="1:50" ht="18.75" hidden="1">
      <c r="A24" s="28" t="str">
        <f t="shared" ref="A24:A28" si="31">IF(X24=0,"CLOSE","ACTIVE")</f>
        <v>ACTIVE</v>
      </c>
      <c r="B24" s="5" t="s">
        <v>48</v>
      </c>
      <c r="C24" s="5" t="s">
        <v>49</v>
      </c>
      <c r="D24" s="5" t="s">
        <v>50</v>
      </c>
      <c r="E24" s="5" t="s">
        <v>51</v>
      </c>
      <c r="F24" s="5" t="s">
        <v>173</v>
      </c>
      <c r="G24" s="10" t="s">
        <v>119</v>
      </c>
      <c r="H24" s="10" t="s">
        <v>71</v>
      </c>
      <c r="I24" s="10" t="s">
        <v>167</v>
      </c>
      <c r="J24" s="10">
        <v>9992401965</v>
      </c>
      <c r="K24" s="6">
        <v>20000</v>
      </c>
      <c r="L24" s="10">
        <v>1580</v>
      </c>
      <c r="M24" s="10">
        <f t="shared" si="1"/>
        <v>18420</v>
      </c>
      <c r="N24" s="5">
        <v>800</v>
      </c>
      <c r="O24" s="29">
        <f t="shared" ref="O24:O28" si="32">N24*P24</f>
        <v>0</v>
      </c>
      <c r="P24" s="5">
        <v>0</v>
      </c>
      <c r="Q24" s="10">
        <v>34</v>
      </c>
      <c r="R24" s="6">
        <v>14</v>
      </c>
      <c r="S24" s="5">
        <f t="shared" si="3"/>
        <v>20</v>
      </c>
      <c r="T24" s="30">
        <v>0</v>
      </c>
      <c r="U24" s="31"/>
      <c r="V24" s="31"/>
      <c r="W24" s="5">
        <f t="shared" si="4"/>
        <v>11200</v>
      </c>
      <c r="X24" s="5">
        <f t="shared" si="5"/>
        <v>16000</v>
      </c>
      <c r="Y24" s="15" t="s">
        <v>55</v>
      </c>
      <c r="Z24" s="5" t="s">
        <v>158</v>
      </c>
      <c r="AA24" s="5">
        <f t="shared" ref="AA24:AA27" si="33">P24*14</f>
        <v>0</v>
      </c>
      <c r="AB24" s="5">
        <v>0</v>
      </c>
      <c r="AC24" s="5">
        <f t="shared" ref="AC24:AC27" si="34">AA24*AB24</f>
        <v>0</v>
      </c>
      <c r="AD24" s="5">
        <f t="shared" ref="AD24:AD27" si="35">AA24</f>
        <v>0</v>
      </c>
      <c r="AE24" s="5">
        <v>0</v>
      </c>
      <c r="AF24" s="5" t="str">
        <f t="shared" ref="AF24:AF27" si="36">IF(AA24&gt;90,"YES","NO")</f>
        <v>NO</v>
      </c>
      <c r="AG24" s="5">
        <f t="shared" ref="AG24:AG27" si="37">X24+AC24</f>
        <v>16000</v>
      </c>
      <c r="AH24" s="5" t="s">
        <v>57</v>
      </c>
      <c r="AI24" s="5"/>
      <c r="AJ24" s="5"/>
      <c r="AK24" s="5">
        <f t="shared" ref="AK24:AK27" si="38">N24*Q24</f>
        <v>27200</v>
      </c>
      <c r="AL24" s="5">
        <f t="shared" ref="AL24:AL27" si="39">AK24-K24</f>
        <v>7200</v>
      </c>
      <c r="AM24" s="5">
        <v>0</v>
      </c>
      <c r="AN24" s="32">
        <f t="shared" ref="AN24:AN27" si="40">AL24/Q24</f>
        <v>211.76470588235293</v>
      </c>
      <c r="AO24" s="32">
        <f t="shared" ref="AO24:AO27" si="41">AN24*AM24</f>
        <v>0</v>
      </c>
      <c r="AP24" s="14">
        <v>46142</v>
      </c>
      <c r="AQ24" s="4">
        <v>46146</v>
      </c>
      <c r="AR24" s="14">
        <v>46155</v>
      </c>
      <c r="AS24" s="6"/>
      <c r="AT24" s="5" t="str">
        <f t="shared" si="15"/>
        <v>ACTIVE</v>
      </c>
      <c r="AU24" s="6"/>
      <c r="AV24" s="6"/>
      <c r="AW24" s="6"/>
      <c r="AX24" s="6"/>
    </row>
    <row r="25" spans="1:50" s="95" customFormat="1" ht="18.75" hidden="1">
      <c r="A25" s="76" t="str">
        <f t="shared" si="31"/>
        <v>CLOSE</v>
      </c>
      <c r="B25" s="76" t="s">
        <v>48</v>
      </c>
      <c r="C25" s="76" t="s">
        <v>49</v>
      </c>
      <c r="D25" s="76" t="s">
        <v>50</v>
      </c>
      <c r="E25" s="76" t="s">
        <v>51</v>
      </c>
      <c r="F25" s="76" t="s">
        <v>173</v>
      </c>
      <c r="G25" s="51" t="s">
        <v>171</v>
      </c>
      <c r="H25" s="51" t="s">
        <v>163</v>
      </c>
      <c r="I25" s="51" t="s">
        <v>168</v>
      </c>
      <c r="J25" s="51">
        <v>7404474940</v>
      </c>
      <c r="K25" s="9">
        <v>15000</v>
      </c>
      <c r="L25" s="51">
        <v>1260</v>
      </c>
      <c r="M25" s="51">
        <f t="shared" si="1"/>
        <v>13740</v>
      </c>
      <c r="N25" s="9">
        <v>750</v>
      </c>
      <c r="O25" s="76">
        <f t="shared" si="32"/>
        <v>0</v>
      </c>
      <c r="P25" s="76">
        <v>0</v>
      </c>
      <c r="Q25" s="51">
        <v>26</v>
      </c>
      <c r="R25" s="9">
        <v>26</v>
      </c>
      <c r="S25" s="76">
        <f t="shared" si="3"/>
        <v>0</v>
      </c>
      <c r="T25" s="76">
        <v>0</v>
      </c>
      <c r="U25" s="76"/>
      <c r="V25" s="76"/>
      <c r="W25" s="76">
        <f t="shared" si="4"/>
        <v>19500</v>
      </c>
      <c r="X25" s="76">
        <f t="shared" si="5"/>
        <v>0</v>
      </c>
      <c r="Y25" s="49" t="s">
        <v>55</v>
      </c>
      <c r="Z25" s="76" t="s">
        <v>159</v>
      </c>
      <c r="AA25" s="76">
        <f t="shared" si="33"/>
        <v>0</v>
      </c>
      <c r="AB25" s="76">
        <v>0</v>
      </c>
      <c r="AC25" s="76">
        <f t="shared" si="34"/>
        <v>0</v>
      </c>
      <c r="AD25" s="76">
        <f t="shared" si="35"/>
        <v>0</v>
      </c>
      <c r="AE25" s="76">
        <v>0</v>
      </c>
      <c r="AF25" s="76" t="str">
        <f t="shared" si="36"/>
        <v>NO</v>
      </c>
      <c r="AG25" s="76">
        <f t="shared" si="37"/>
        <v>0</v>
      </c>
      <c r="AH25" s="76" t="s">
        <v>57</v>
      </c>
      <c r="AI25" s="76"/>
      <c r="AJ25" s="76"/>
      <c r="AK25" s="76">
        <f t="shared" si="38"/>
        <v>19500</v>
      </c>
      <c r="AL25" s="76">
        <f t="shared" si="39"/>
        <v>4500</v>
      </c>
      <c r="AM25" s="76">
        <v>0</v>
      </c>
      <c r="AN25" s="77">
        <f t="shared" si="40"/>
        <v>173.07692307692307</v>
      </c>
      <c r="AO25" s="77">
        <f t="shared" si="41"/>
        <v>0</v>
      </c>
      <c r="AP25" s="145">
        <v>46144</v>
      </c>
      <c r="AQ25" s="145">
        <v>46147</v>
      </c>
      <c r="AR25" s="78">
        <v>46155</v>
      </c>
      <c r="AS25" s="9"/>
      <c r="AT25" s="76" t="str">
        <f t="shared" si="15"/>
        <v>CLOSE</v>
      </c>
      <c r="AU25" s="78">
        <v>46248</v>
      </c>
      <c r="AV25" s="9"/>
      <c r="AW25" s="9" t="s">
        <v>518</v>
      </c>
      <c r="AX25" s="9">
        <v>9750</v>
      </c>
    </row>
    <row r="26" spans="1:50" ht="18.75" hidden="1">
      <c r="A26" s="28" t="str">
        <f t="shared" si="31"/>
        <v>ACTIVE</v>
      </c>
      <c r="B26" s="5" t="s">
        <v>48</v>
      </c>
      <c r="C26" s="5" t="s">
        <v>49</v>
      </c>
      <c r="D26" s="5" t="s">
        <v>50</v>
      </c>
      <c r="E26" s="5" t="s">
        <v>51</v>
      </c>
      <c r="F26" s="5" t="s">
        <v>173</v>
      </c>
      <c r="G26" s="10" t="s">
        <v>172</v>
      </c>
      <c r="H26" s="10" t="s">
        <v>164</v>
      </c>
      <c r="I26" s="10" t="s">
        <v>169</v>
      </c>
      <c r="J26" s="10">
        <v>9540614028</v>
      </c>
      <c r="K26" s="6">
        <v>20000</v>
      </c>
      <c r="L26" s="10">
        <v>1580</v>
      </c>
      <c r="M26" s="10">
        <f t="shared" si="1"/>
        <v>18420</v>
      </c>
      <c r="N26" s="5">
        <v>800</v>
      </c>
      <c r="O26" s="29">
        <f t="shared" si="32"/>
        <v>800</v>
      </c>
      <c r="P26" s="5">
        <v>1</v>
      </c>
      <c r="Q26" s="10">
        <v>34</v>
      </c>
      <c r="R26" s="6">
        <v>13</v>
      </c>
      <c r="S26" s="5">
        <f t="shared" si="3"/>
        <v>20</v>
      </c>
      <c r="T26" s="30">
        <v>0</v>
      </c>
      <c r="U26" s="31"/>
      <c r="V26" s="31"/>
      <c r="W26" s="5">
        <f t="shared" si="4"/>
        <v>10400</v>
      </c>
      <c r="X26" s="5">
        <f t="shared" si="5"/>
        <v>16800</v>
      </c>
      <c r="Y26" s="15" t="s">
        <v>55</v>
      </c>
      <c r="Z26" s="5" t="s">
        <v>160</v>
      </c>
      <c r="AA26" s="5">
        <f t="shared" si="33"/>
        <v>14</v>
      </c>
      <c r="AB26" s="5">
        <v>0</v>
      </c>
      <c r="AC26" s="5">
        <f t="shared" si="34"/>
        <v>0</v>
      </c>
      <c r="AD26" s="5">
        <f t="shared" si="35"/>
        <v>14</v>
      </c>
      <c r="AE26" s="5">
        <v>0</v>
      </c>
      <c r="AF26" s="5" t="str">
        <f t="shared" si="36"/>
        <v>NO</v>
      </c>
      <c r="AG26" s="5">
        <f t="shared" si="37"/>
        <v>16800</v>
      </c>
      <c r="AH26" s="5" t="s">
        <v>57</v>
      </c>
      <c r="AI26" s="5"/>
      <c r="AJ26" s="5"/>
      <c r="AK26" s="5">
        <f t="shared" si="38"/>
        <v>27200</v>
      </c>
      <c r="AL26" s="5">
        <f t="shared" si="39"/>
        <v>7200</v>
      </c>
      <c r="AM26" s="5">
        <v>0</v>
      </c>
      <c r="AN26" s="32">
        <f t="shared" si="40"/>
        <v>211.76470588235293</v>
      </c>
      <c r="AO26" s="32">
        <f t="shared" si="41"/>
        <v>0</v>
      </c>
      <c r="AP26" s="4">
        <v>46144</v>
      </c>
      <c r="AQ26" s="4">
        <v>46147</v>
      </c>
      <c r="AR26" s="14">
        <v>46155</v>
      </c>
      <c r="AS26" s="6"/>
      <c r="AT26" s="5" t="str">
        <f t="shared" si="15"/>
        <v>ACTIVE</v>
      </c>
      <c r="AU26" s="6"/>
      <c r="AV26" s="6"/>
      <c r="AW26" s="6"/>
      <c r="AX26" s="6"/>
    </row>
    <row r="27" spans="1:50" ht="18.75" hidden="1">
      <c r="A27" s="28" t="str">
        <f t="shared" si="31"/>
        <v>ACTIVE</v>
      </c>
      <c r="B27" s="5" t="s">
        <v>48</v>
      </c>
      <c r="C27" s="5" t="s">
        <v>49</v>
      </c>
      <c r="D27" s="5" t="s">
        <v>50</v>
      </c>
      <c r="E27" s="5" t="s">
        <v>51</v>
      </c>
      <c r="F27" s="5" t="s">
        <v>173</v>
      </c>
      <c r="G27" s="10" t="s">
        <v>119</v>
      </c>
      <c r="H27" s="10" t="s">
        <v>165</v>
      </c>
      <c r="I27" s="10" t="s">
        <v>140</v>
      </c>
      <c r="J27" s="10">
        <v>8395910861</v>
      </c>
      <c r="K27" s="3">
        <v>15000</v>
      </c>
      <c r="L27" s="10">
        <v>1260</v>
      </c>
      <c r="M27" s="10">
        <f t="shared" si="1"/>
        <v>13740</v>
      </c>
      <c r="N27" s="6">
        <v>750</v>
      </c>
      <c r="O27" s="29">
        <f t="shared" si="32"/>
        <v>0</v>
      </c>
      <c r="P27" s="5">
        <v>0</v>
      </c>
      <c r="Q27" s="10">
        <v>26</v>
      </c>
      <c r="R27" s="6">
        <v>14</v>
      </c>
      <c r="S27" s="5">
        <f t="shared" si="3"/>
        <v>12</v>
      </c>
      <c r="T27" s="30">
        <v>0</v>
      </c>
      <c r="U27" s="31"/>
      <c r="V27" s="31"/>
      <c r="W27" s="5">
        <f t="shared" si="4"/>
        <v>10500</v>
      </c>
      <c r="X27" s="5">
        <f t="shared" si="5"/>
        <v>9000</v>
      </c>
      <c r="Y27" s="15" t="s">
        <v>55</v>
      </c>
      <c r="Z27" s="5" t="s">
        <v>161</v>
      </c>
      <c r="AA27" s="5">
        <f t="shared" si="33"/>
        <v>0</v>
      </c>
      <c r="AB27" s="5">
        <v>0</v>
      </c>
      <c r="AC27" s="5">
        <f t="shared" si="34"/>
        <v>0</v>
      </c>
      <c r="AD27" s="5">
        <f t="shared" si="35"/>
        <v>0</v>
      </c>
      <c r="AE27" s="5">
        <v>0</v>
      </c>
      <c r="AF27" s="5" t="str">
        <f t="shared" si="36"/>
        <v>NO</v>
      </c>
      <c r="AG27" s="5">
        <f t="shared" si="37"/>
        <v>9000</v>
      </c>
      <c r="AH27" s="5" t="s">
        <v>57</v>
      </c>
      <c r="AI27" s="5"/>
      <c r="AJ27" s="5"/>
      <c r="AK27" s="5">
        <f t="shared" si="38"/>
        <v>19500</v>
      </c>
      <c r="AL27" s="5">
        <f t="shared" si="39"/>
        <v>4500</v>
      </c>
      <c r="AM27" s="5">
        <v>0</v>
      </c>
      <c r="AN27" s="32">
        <f t="shared" si="40"/>
        <v>173.07692307692307</v>
      </c>
      <c r="AO27" s="32">
        <f t="shared" si="41"/>
        <v>0</v>
      </c>
      <c r="AP27" s="4">
        <v>46144</v>
      </c>
      <c r="AQ27" s="4">
        <v>46148</v>
      </c>
      <c r="AR27" s="14">
        <v>46155</v>
      </c>
      <c r="AS27" s="6"/>
      <c r="AT27" s="5" t="str">
        <f t="shared" si="15"/>
        <v>ACTIVE</v>
      </c>
      <c r="AU27" s="6"/>
      <c r="AV27" s="6"/>
      <c r="AW27" s="6"/>
      <c r="AX27" s="6"/>
    </row>
    <row r="28" spans="1:50" ht="18.75" hidden="1">
      <c r="A28" s="28" t="str">
        <f t="shared" si="31"/>
        <v>ACTIVE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173</v>
      </c>
      <c r="G28" s="10" t="s">
        <v>119</v>
      </c>
      <c r="H28" s="10" t="s">
        <v>166</v>
      </c>
      <c r="I28" s="10" t="s">
        <v>170</v>
      </c>
      <c r="J28" s="10">
        <v>9671227093</v>
      </c>
      <c r="K28" s="3">
        <v>20000</v>
      </c>
      <c r="L28" s="10">
        <v>1580</v>
      </c>
      <c r="M28" s="10">
        <f t="shared" si="1"/>
        <v>18420</v>
      </c>
      <c r="N28" s="5">
        <v>800</v>
      </c>
      <c r="O28" s="29">
        <f t="shared" si="32"/>
        <v>0</v>
      </c>
      <c r="P28" s="5">
        <v>0</v>
      </c>
      <c r="Q28" s="10">
        <v>34</v>
      </c>
      <c r="R28" s="6">
        <v>14</v>
      </c>
      <c r="S28" s="5">
        <f t="shared" si="3"/>
        <v>20</v>
      </c>
      <c r="T28" s="30">
        <v>0</v>
      </c>
      <c r="U28" s="31"/>
      <c r="V28" s="31"/>
      <c r="W28" s="5">
        <f t="shared" si="4"/>
        <v>11200</v>
      </c>
      <c r="X28" s="5">
        <f t="shared" si="5"/>
        <v>16000</v>
      </c>
      <c r="Y28" s="15" t="s">
        <v>55</v>
      </c>
      <c r="Z28" s="5" t="s">
        <v>162</v>
      </c>
      <c r="AA28" s="5">
        <f t="shared" ref="AA28:AA31" si="42">P28*14</f>
        <v>0</v>
      </c>
      <c r="AB28" s="5">
        <v>0</v>
      </c>
      <c r="AC28" s="5">
        <f t="shared" ref="AC28:AC31" si="43">AA28*AB28</f>
        <v>0</v>
      </c>
      <c r="AD28" s="5">
        <f t="shared" ref="AD28:AD31" si="44">AA28</f>
        <v>0</v>
      </c>
      <c r="AE28" s="5">
        <v>0</v>
      </c>
      <c r="AF28" s="5" t="str">
        <f t="shared" ref="AF28:AF31" si="45">IF(AA28&gt;90,"YES","NO")</f>
        <v>NO</v>
      </c>
      <c r="AG28" s="5">
        <f t="shared" ref="AG28:AG31" si="46">X28+AC28</f>
        <v>16000</v>
      </c>
      <c r="AH28" s="5" t="s">
        <v>57</v>
      </c>
      <c r="AI28" s="5"/>
      <c r="AJ28" s="5"/>
      <c r="AK28" s="5">
        <f t="shared" ref="AK28:AK31" si="47">N28*Q28</f>
        <v>27200</v>
      </c>
      <c r="AL28" s="5">
        <f t="shared" ref="AL28:AL31" si="48">AK28-K28</f>
        <v>7200</v>
      </c>
      <c r="AM28" s="5">
        <v>0</v>
      </c>
      <c r="AN28" s="32">
        <f t="shared" ref="AN28:AN31" si="49">AL28/Q28</f>
        <v>211.76470588235293</v>
      </c>
      <c r="AO28" s="32">
        <f t="shared" ref="AO28:AO31" si="50">AN28*AM28</f>
        <v>0</v>
      </c>
      <c r="AP28" s="4">
        <v>46144</v>
      </c>
      <c r="AQ28" s="4">
        <v>46148</v>
      </c>
      <c r="AR28" s="14">
        <v>46155</v>
      </c>
      <c r="AS28" s="6"/>
      <c r="AT28" s="5" t="str">
        <f t="shared" si="15"/>
        <v>ACTIVE</v>
      </c>
      <c r="AU28" s="6"/>
      <c r="AV28" s="6"/>
      <c r="AW28" s="6"/>
      <c r="AX28" s="6"/>
    </row>
    <row r="29" spans="1:50" ht="18.75" hidden="1">
      <c r="A29" s="28" t="str">
        <f t="shared" ref="A29:A31" si="51">IF(X29=0,"CLOSE","ACTIVE")</f>
        <v>ACTIVE</v>
      </c>
      <c r="B29" s="5" t="s">
        <v>48</v>
      </c>
      <c r="C29" s="5" t="s">
        <v>49</v>
      </c>
      <c r="D29" s="5" t="s">
        <v>50</v>
      </c>
      <c r="E29" s="5" t="s">
        <v>51</v>
      </c>
      <c r="F29" s="5" t="s">
        <v>173</v>
      </c>
      <c r="G29" s="5" t="s">
        <v>177</v>
      </c>
      <c r="H29" s="10" t="s">
        <v>179</v>
      </c>
      <c r="I29" s="10" t="s">
        <v>181</v>
      </c>
      <c r="J29" s="10">
        <v>9991575314</v>
      </c>
      <c r="K29" s="3">
        <v>20000</v>
      </c>
      <c r="L29" s="10">
        <v>1580</v>
      </c>
      <c r="M29" s="10">
        <f t="shared" si="1"/>
        <v>18420</v>
      </c>
      <c r="N29" s="3">
        <v>800</v>
      </c>
      <c r="O29" s="29">
        <f t="shared" ref="O29:O31" si="52">N29*P29</f>
        <v>0</v>
      </c>
      <c r="P29" s="5">
        <v>0</v>
      </c>
      <c r="Q29" s="6">
        <v>34</v>
      </c>
      <c r="R29" s="6">
        <v>13</v>
      </c>
      <c r="S29" s="5">
        <f t="shared" si="3"/>
        <v>21</v>
      </c>
      <c r="T29" s="30">
        <v>0</v>
      </c>
      <c r="U29" s="31"/>
      <c r="V29" s="31"/>
      <c r="W29" s="5">
        <f t="shared" ref="W29:W46" si="53">R29*N29+U29</f>
        <v>10400</v>
      </c>
      <c r="X29" s="5">
        <f t="shared" si="5"/>
        <v>16800</v>
      </c>
      <c r="Y29" s="15" t="s">
        <v>55</v>
      </c>
      <c r="Z29" s="5" t="s">
        <v>174</v>
      </c>
      <c r="AA29" s="5">
        <f t="shared" si="42"/>
        <v>0</v>
      </c>
      <c r="AB29" s="5">
        <v>0</v>
      </c>
      <c r="AC29" s="5">
        <f t="shared" si="43"/>
        <v>0</v>
      </c>
      <c r="AD29" s="5">
        <f t="shared" si="44"/>
        <v>0</v>
      </c>
      <c r="AE29" s="5">
        <v>0</v>
      </c>
      <c r="AF29" s="5" t="str">
        <f t="shared" si="45"/>
        <v>NO</v>
      </c>
      <c r="AG29" s="5">
        <f t="shared" si="46"/>
        <v>16800</v>
      </c>
      <c r="AH29" s="5" t="s">
        <v>57</v>
      </c>
      <c r="AI29" s="5"/>
      <c r="AJ29" s="5"/>
      <c r="AK29" s="5">
        <f t="shared" si="47"/>
        <v>27200</v>
      </c>
      <c r="AL29" s="5">
        <f t="shared" si="48"/>
        <v>7200</v>
      </c>
      <c r="AM29" s="5">
        <v>0</v>
      </c>
      <c r="AN29" s="32">
        <f t="shared" si="49"/>
        <v>211.76470588235293</v>
      </c>
      <c r="AO29" s="32">
        <f t="shared" si="50"/>
        <v>0</v>
      </c>
      <c r="AP29" s="4">
        <v>46147</v>
      </c>
      <c r="AQ29" s="4">
        <v>46153</v>
      </c>
      <c r="AR29" s="4">
        <v>46162</v>
      </c>
      <c r="AT29" s="5" t="str">
        <f t="shared" si="15"/>
        <v>ACTIVE</v>
      </c>
      <c r="AU29" s="6"/>
      <c r="AV29" s="6"/>
      <c r="AW29" s="6"/>
      <c r="AX29" s="6"/>
    </row>
    <row r="30" spans="1:50" ht="18.75" hidden="1">
      <c r="A30" s="28" t="str">
        <f t="shared" si="51"/>
        <v>ACTIVE</v>
      </c>
      <c r="B30" s="5" t="s">
        <v>48</v>
      </c>
      <c r="C30" s="5" t="s">
        <v>49</v>
      </c>
      <c r="D30" s="5" t="s">
        <v>50</v>
      </c>
      <c r="E30" s="5" t="s">
        <v>51</v>
      </c>
      <c r="F30" s="5" t="s">
        <v>173</v>
      </c>
      <c r="G30" s="10" t="s">
        <v>171</v>
      </c>
      <c r="H30" s="10" t="s">
        <v>180</v>
      </c>
      <c r="I30" s="10" t="s">
        <v>182</v>
      </c>
      <c r="J30" s="10">
        <v>8814086202</v>
      </c>
      <c r="K30" s="3">
        <v>15000</v>
      </c>
      <c r="L30" s="10">
        <v>1260</v>
      </c>
      <c r="M30" s="10">
        <f t="shared" si="1"/>
        <v>13740</v>
      </c>
      <c r="N30" s="3">
        <v>750</v>
      </c>
      <c r="O30" s="29">
        <f t="shared" si="52"/>
        <v>2250</v>
      </c>
      <c r="P30" s="5">
        <v>3</v>
      </c>
      <c r="Q30" s="6">
        <v>26</v>
      </c>
      <c r="R30" s="6">
        <v>11</v>
      </c>
      <c r="S30" s="5">
        <f t="shared" si="3"/>
        <v>12</v>
      </c>
      <c r="T30" s="30">
        <v>0</v>
      </c>
      <c r="U30" s="31"/>
      <c r="V30" s="31"/>
      <c r="W30" s="5">
        <f t="shared" si="53"/>
        <v>8250</v>
      </c>
      <c r="X30" s="5">
        <f t="shared" si="5"/>
        <v>11250</v>
      </c>
      <c r="Y30" s="15" t="s">
        <v>55</v>
      </c>
      <c r="Z30" s="5" t="s">
        <v>175</v>
      </c>
      <c r="AA30" s="5">
        <f t="shared" si="42"/>
        <v>42</v>
      </c>
      <c r="AB30" s="5">
        <v>0</v>
      </c>
      <c r="AC30" s="5">
        <f t="shared" si="43"/>
        <v>0</v>
      </c>
      <c r="AD30" s="5">
        <f t="shared" si="44"/>
        <v>42</v>
      </c>
      <c r="AE30" s="5">
        <v>0</v>
      </c>
      <c r="AF30" s="5" t="str">
        <f t="shared" si="45"/>
        <v>NO</v>
      </c>
      <c r="AG30" s="5">
        <f t="shared" si="46"/>
        <v>11250</v>
      </c>
      <c r="AH30" s="5" t="s">
        <v>57</v>
      </c>
      <c r="AI30" s="5"/>
      <c r="AJ30" s="5"/>
      <c r="AK30" s="5">
        <f t="shared" si="47"/>
        <v>19500</v>
      </c>
      <c r="AL30" s="5">
        <f t="shared" si="48"/>
        <v>4500</v>
      </c>
      <c r="AM30" s="5">
        <v>0</v>
      </c>
      <c r="AN30" s="32">
        <f t="shared" si="49"/>
        <v>173.07692307692307</v>
      </c>
      <c r="AO30" s="32">
        <f t="shared" si="50"/>
        <v>0</v>
      </c>
      <c r="AP30" s="4">
        <v>46147</v>
      </c>
      <c r="AQ30" s="4">
        <v>46153</v>
      </c>
      <c r="AR30" s="4">
        <v>46155</v>
      </c>
      <c r="AT30" s="5" t="str">
        <f t="shared" si="15"/>
        <v>ACTIVE</v>
      </c>
      <c r="AU30" s="6"/>
      <c r="AV30" s="6"/>
      <c r="AW30" s="6"/>
      <c r="AX30" s="6"/>
    </row>
    <row r="31" spans="1:50" ht="18.75" hidden="1">
      <c r="A31" s="28" t="str">
        <f t="shared" si="51"/>
        <v>ACTIVE</v>
      </c>
      <c r="B31" s="5" t="s">
        <v>48</v>
      </c>
      <c r="C31" s="5" t="s">
        <v>49</v>
      </c>
      <c r="D31" s="5" t="s">
        <v>50</v>
      </c>
      <c r="E31" s="5" t="s">
        <v>51</v>
      </c>
      <c r="F31" s="5" t="s">
        <v>173</v>
      </c>
      <c r="G31" s="10" t="s">
        <v>178</v>
      </c>
      <c r="H31" s="10" t="s">
        <v>165</v>
      </c>
      <c r="I31" s="10" t="s">
        <v>183</v>
      </c>
      <c r="J31" s="10">
        <v>9991361344</v>
      </c>
      <c r="K31" s="3">
        <v>15000</v>
      </c>
      <c r="L31" s="10">
        <v>1260</v>
      </c>
      <c r="M31" s="10">
        <f t="shared" si="1"/>
        <v>13740</v>
      </c>
      <c r="N31" s="3">
        <v>750</v>
      </c>
      <c r="O31" s="29">
        <f t="shared" si="52"/>
        <v>0</v>
      </c>
      <c r="P31" s="5">
        <v>0</v>
      </c>
      <c r="Q31" s="6">
        <v>26</v>
      </c>
      <c r="R31" s="6">
        <v>13</v>
      </c>
      <c r="S31" s="5">
        <f t="shared" si="3"/>
        <v>13</v>
      </c>
      <c r="T31" s="30">
        <v>0</v>
      </c>
      <c r="U31" s="31"/>
      <c r="V31" s="31"/>
      <c r="W31" s="5">
        <f t="shared" si="53"/>
        <v>9750</v>
      </c>
      <c r="X31" s="5">
        <f t="shared" si="5"/>
        <v>9750</v>
      </c>
      <c r="Y31" s="15" t="s">
        <v>55</v>
      </c>
      <c r="Z31" s="5" t="s">
        <v>176</v>
      </c>
      <c r="AA31" s="5">
        <f t="shared" si="42"/>
        <v>0</v>
      </c>
      <c r="AB31" s="5">
        <v>0</v>
      </c>
      <c r="AC31" s="5">
        <f t="shared" si="43"/>
        <v>0</v>
      </c>
      <c r="AD31" s="5">
        <f t="shared" si="44"/>
        <v>0</v>
      </c>
      <c r="AE31" s="5">
        <v>0</v>
      </c>
      <c r="AF31" s="5" t="str">
        <f t="shared" si="45"/>
        <v>NO</v>
      </c>
      <c r="AG31" s="5">
        <f t="shared" si="46"/>
        <v>9750</v>
      </c>
      <c r="AH31" s="5" t="s">
        <v>57</v>
      </c>
      <c r="AI31" s="5"/>
      <c r="AJ31" s="5"/>
      <c r="AK31" s="5">
        <f t="shared" si="47"/>
        <v>19500</v>
      </c>
      <c r="AL31" s="5">
        <f t="shared" si="48"/>
        <v>4500</v>
      </c>
      <c r="AM31" s="5">
        <v>0</v>
      </c>
      <c r="AN31" s="32">
        <f t="shared" si="49"/>
        <v>173.07692307692307</v>
      </c>
      <c r="AO31" s="32">
        <f t="shared" si="50"/>
        <v>0</v>
      </c>
      <c r="AP31" s="4">
        <v>46147</v>
      </c>
      <c r="AQ31" s="4">
        <v>46153</v>
      </c>
      <c r="AR31" s="4">
        <v>46162</v>
      </c>
      <c r="AT31" s="5" t="str">
        <f t="shared" si="15"/>
        <v>ACTIVE</v>
      </c>
      <c r="AU31" s="6"/>
      <c r="AV31" s="6"/>
      <c r="AW31" s="6"/>
      <c r="AX31" s="6"/>
    </row>
    <row r="32" spans="1:50" ht="18.75">
      <c r="A32" s="28" t="str">
        <f t="shared" ref="A32:A36" si="54">IF(X32=0,"CLOSE","ACTIVE")</f>
        <v>ACTIVE</v>
      </c>
      <c r="B32" s="5" t="s">
        <v>48</v>
      </c>
      <c r="C32" s="5" t="s">
        <v>49</v>
      </c>
      <c r="D32" s="5" t="s">
        <v>50</v>
      </c>
      <c r="E32" s="5" t="s">
        <v>51</v>
      </c>
      <c r="F32" s="5" t="s">
        <v>173</v>
      </c>
      <c r="G32" s="10" t="s">
        <v>195</v>
      </c>
      <c r="H32" s="10" t="s">
        <v>184</v>
      </c>
      <c r="I32" s="10" t="s">
        <v>185</v>
      </c>
      <c r="J32" s="10">
        <v>9728976039</v>
      </c>
      <c r="K32" s="3">
        <v>15000</v>
      </c>
      <c r="L32" s="10">
        <v>1260</v>
      </c>
      <c r="M32" s="10">
        <f t="shared" si="1"/>
        <v>13740</v>
      </c>
      <c r="N32" s="3">
        <v>750</v>
      </c>
      <c r="O32" s="29">
        <f t="shared" ref="O32:O37" si="55">N32*P32</f>
        <v>0</v>
      </c>
      <c r="P32" s="5">
        <v>0</v>
      </c>
      <c r="Q32" s="6">
        <v>26</v>
      </c>
      <c r="R32" s="6">
        <v>12</v>
      </c>
      <c r="S32" s="5">
        <f t="shared" si="3"/>
        <v>14</v>
      </c>
      <c r="T32" s="30">
        <v>0</v>
      </c>
      <c r="U32" s="31"/>
      <c r="V32" s="31"/>
      <c r="W32" s="5">
        <f t="shared" si="53"/>
        <v>9000</v>
      </c>
      <c r="X32" s="5">
        <f t="shared" si="5"/>
        <v>10500</v>
      </c>
      <c r="Y32" s="15" t="s">
        <v>69</v>
      </c>
      <c r="Z32" s="5" t="s">
        <v>190</v>
      </c>
      <c r="AA32" s="5">
        <f t="shared" ref="AA32:AA36" si="56">P32*14</f>
        <v>0</v>
      </c>
      <c r="AB32" s="5">
        <v>0</v>
      </c>
      <c r="AC32" s="5">
        <f t="shared" ref="AC32:AC36" si="57">AA32*AB32</f>
        <v>0</v>
      </c>
      <c r="AD32" s="5">
        <f t="shared" ref="AD32:AD36" si="58">AA32</f>
        <v>0</v>
      </c>
      <c r="AE32" s="5">
        <v>0</v>
      </c>
      <c r="AF32" s="5" t="str">
        <f t="shared" ref="AF32:AF36" si="59">IF(AA32&gt;90,"YES","NO")</f>
        <v>NO</v>
      </c>
      <c r="AG32" s="5">
        <f t="shared" ref="AG32:AG36" si="60">X32+AC32</f>
        <v>10500</v>
      </c>
      <c r="AH32" s="5" t="s">
        <v>57</v>
      </c>
      <c r="AI32" s="5"/>
      <c r="AJ32" s="5"/>
      <c r="AK32" s="5">
        <f t="shared" ref="AK32:AK36" si="61">N32*Q32</f>
        <v>19500</v>
      </c>
      <c r="AL32" s="5">
        <f t="shared" ref="AL32:AL36" si="62">AK32-K32</f>
        <v>4500</v>
      </c>
      <c r="AM32" s="5">
        <v>0</v>
      </c>
      <c r="AN32" s="32">
        <f t="shared" ref="AN32:AN36" si="63">AL32/Q32</f>
        <v>173.07692307692307</v>
      </c>
      <c r="AO32" s="32">
        <f t="shared" ref="AO32:AO36" si="64">AN32*AM32</f>
        <v>0</v>
      </c>
      <c r="AP32" s="4">
        <v>46153</v>
      </c>
      <c r="AQ32" s="4">
        <v>46155</v>
      </c>
      <c r="AR32" s="4">
        <v>46168</v>
      </c>
      <c r="AT32" s="5" t="str">
        <f t="shared" si="15"/>
        <v>ACTIVE</v>
      </c>
      <c r="AU32" s="6"/>
      <c r="AV32" s="6"/>
      <c r="AW32" s="6"/>
      <c r="AX32" s="6"/>
    </row>
    <row r="33" spans="1:50" ht="18.75">
      <c r="A33" s="28" t="str">
        <f t="shared" si="54"/>
        <v>ACTIVE</v>
      </c>
      <c r="B33" s="5" t="s">
        <v>48</v>
      </c>
      <c r="C33" s="5" t="s">
        <v>49</v>
      </c>
      <c r="D33" s="5" t="s">
        <v>50</v>
      </c>
      <c r="E33" s="5" t="s">
        <v>51</v>
      </c>
      <c r="F33" s="5" t="s">
        <v>173</v>
      </c>
      <c r="G33" s="10" t="s">
        <v>196</v>
      </c>
      <c r="H33" s="10" t="s">
        <v>186</v>
      </c>
      <c r="I33" s="10" t="s">
        <v>187</v>
      </c>
      <c r="J33" s="10">
        <v>9991073613</v>
      </c>
      <c r="K33" s="3">
        <v>15000</v>
      </c>
      <c r="L33" s="10">
        <v>1260</v>
      </c>
      <c r="M33" s="10">
        <f t="shared" si="1"/>
        <v>13740</v>
      </c>
      <c r="N33" s="3">
        <v>750</v>
      </c>
      <c r="O33" s="29">
        <f t="shared" si="55"/>
        <v>0</v>
      </c>
      <c r="P33" s="5">
        <v>0</v>
      </c>
      <c r="Q33" s="6">
        <v>26</v>
      </c>
      <c r="R33" s="6">
        <v>12</v>
      </c>
      <c r="S33" s="5">
        <f t="shared" si="3"/>
        <v>14</v>
      </c>
      <c r="T33" s="30">
        <v>0</v>
      </c>
      <c r="U33" s="31"/>
      <c r="V33" s="31"/>
      <c r="W33" s="5">
        <f t="shared" si="53"/>
        <v>9000</v>
      </c>
      <c r="X33" s="5">
        <f t="shared" si="5"/>
        <v>10500</v>
      </c>
      <c r="Y33" s="15" t="s">
        <v>69</v>
      </c>
      <c r="Z33" s="5" t="s">
        <v>191</v>
      </c>
      <c r="AA33" s="5">
        <f t="shared" si="56"/>
        <v>0</v>
      </c>
      <c r="AB33" s="5">
        <v>0</v>
      </c>
      <c r="AC33" s="5">
        <f t="shared" si="57"/>
        <v>0</v>
      </c>
      <c r="AD33" s="5">
        <f t="shared" si="58"/>
        <v>0</v>
      </c>
      <c r="AE33" s="5">
        <v>0</v>
      </c>
      <c r="AF33" s="5" t="str">
        <f t="shared" si="59"/>
        <v>NO</v>
      </c>
      <c r="AG33" s="5">
        <f t="shared" si="60"/>
        <v>10500</v>
      </c>
      <c r="AH33" s="5" t="s">
        <v>57</v>
      </c>
      <c r="AI33" s="5"/>
      <c r="AJ33" s="5"/>
      <c r="AK33" s="5">
        <f t="shared" si="61"/>
        <v>19500</v>
      </c>
      <c r="AL33" s="5">
        <f t="shared" si="62"/>
        <v>4500</v>
      </c>
      <c r="AM33" s="5">
        <v>0</v>
      </c>
      <c r="AN33" s="32">
        <f t="shared" si="63"/>
        <v>173.07692307692307</v>
      </c>
      <c r="AO33" s="32">
        <f t="shared" si="64"/>
        <v>0</v>
      </c>
      <c r="AP33" s="4">
        <v>46153</v>
      </c>
      <c r="AQ33" s="4">
        <v>46155</v>
      </c>
      <c r="AR33" s="4">
        <v>46168</v>
      </c>
      <c r="AT33" s="5" t="str">
        <f t="shared" si="15"/>
        <v>ACTIVE</v>
      </c>
      <c r="AU33" s="6"/>
      <c r="AV33" s="6"/>
      <c r="AW33" s="6"/>
      <c r="AX33" s="6"/>
    </row>
    <row r="34" spans="1:50" ht="18.75">
      <c r="A34" s="28" t="str">
        <f t="shared" si="54"/>
        <v>ACTIVE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173</v>
      </c>
      <c r="G34" s="10" t="s">
        <v>195</v>
      </c>
      <c r="H34" s="10" t="s">
        <v>188</v>
      </c>
      <c r="I34" s="10" t="s">
        <v>198</v>
      </c>
      <c r="J34" s="10">
        <v>8047377476</v>
      </c>
      <c r="K34" s="3">
        <v>20000</v>
      </c>
      <c r="L34" s="10">
        <v>1580</v>
      </c>
      <c r="M34" s="10">
        <f t="shared" si="1"/>
        <v>18420</v>
      </c>
      <c r="N34" s="5">
        <v>800</v>
      </c>
      <c r="O34" s="29">
        <f t="shared" si="55"/>
        <v>0</v>
      </c>
      <c r="P34" s="5">
        <v>0</v>
      </c>
      <c r="Q34" s="6">
        <v>34</v>
      </c>
      <c r="R34" s="6">
        <v>12</v>
      </c>
      <c r="S34" s="5">
        <f t="shared" si="3"/>
        <v>22</v>
      </c>
      <c r="T34" s="30">
        <v>0</v>
      </c>
      <c r="U34" s="31"/>
      <c r="V34" s="31"/>
      <c r="W34" s="5">
        <f t="shared" si="53"/>
        <v>9600</v>
      </c>
      <c r="X34" s="5">
        <f t="shared" si="5"/>
        <v>17600</v>
      </c>
      <c r="Y34" s="15" t="s">
        <v>69</v>
      </c>
      <c r="Z34" s="5" t="s">
        <v>192</v>
      </c>
      <c r="AA34" s="5">
        <f t="shared" si="56"/>
        <v>0</v>
      </c>
      <c r="AB34" s="5">
        <v>0</v>
      </c>
      <c r="AC34" s="5">
        <f t="shared" si="57"/>
        <v>0</v>
      </c>
      <c r="AD34" s="5">
        <f t="shared" si="58"/>
        <v>0</v>
      </c>
      <c r="AE34" s="5">
        <v>0</v>
      </c>
      <c r="AF34" s="5" t="str">
        <f t="shared" si="59"/>
        <v>NO</v>
      </c>
      <c r="AG34" s="5">
        <f t="shared" si="60"/>
        <v>17600</v>
      </c>
      <c r="AH34" s="5" t="s">
        <v>57</v>
      </c>
      <c r="AI34" s="5"/>
      <c r="AJ34" s="5"/>
      <c r="AK34" s="5">
        <f t="shared" si="61"/>
        <v>27200</v>
      </c>
      <c r="AL34" s="5">
        <f t="shared" si="62"/>
        <v>7200</v>
      </c>
      <c r="AM34" s="5">
        <v>0</v>
      </c>
      <c r="AN34" s="32">
        <f t="shared" si="63"/>
        <v>211.76470588235293</v>
      </c>
      <c r="AO34" s="32">
        <f t="shared" si="64"/>
        <v>0</v>
      </c>
      <c r="AP34" s="4">
        <v>46147</v>
      </c>
      <c r="AQ34" s="4">
        <v>46155</v>
      </c>
      <c r="AR34" s="4">
        <v>46168</v>
      </c>
      <c r="AT34" s="5" t="str">
        <f t="shared" si="15"/>
        <v>ACTIVE</v>
      </c>
      <c r="AU34" s="6"/>
      <c r="AV34" s="6"/>
      <c r="AW34" s="6"/>
      <c r="AX34" s="6"/>
    </row>
    <row r="35" spans="1:50" ht="18.75">
      <c r="A35" s="28" t="str">
        <f t="shared" si="54"/>
        <v>ACTIVE</v>
      </c>
      <c r="B35" s="5" t="s">
        <v>48</v>
      </c>
      <c r="C35" s="5" t="s">
        <v>49</v>
      </c>
      <c r="D35" s="5" t="s">
        <v>50</v>
      </c>
      <c r="E35" s="5" t="s">
        <v>51</v>
      </c>
      <c r="F35" s="5" t="s">
        <v>173</v>
      </c>
      <c r="G35" s="10" t="s">
        <v>195</v>
      </c>
      <c r="H35" s="10" t="s">
        <v>83</v>
      </c>
      <c r="I35" s="10" t="s">
        <v>189</v>
      </c>
      <c r="J35" s="10">
        <v>8396804752</v>
      </c>
      <c r="K35" s="3">
        <v>15000</v>
      </c>
      <c r="L35" s="10">
        <v>1260</v>
      </c>
      <c r="M35" s="10">
        <f t="shared" si="1"/>
        <v>13740</v>
      </c>
      <c r="N35" s="3">
        <v>750</v>
      </c>
      <c r="O35" s="29">
        <f t="shared" si="55"/>
        <v>0</v>
      </c>
      <c r="P35" s="5">
        <v>0</v>
      </c>
      <c r="Q35" s="6">
        <v>26</v>
      </c>
      <c r="R35" s="6">
        <v>12</v>
      </c>
      <c r="S35" s="5">
        <f t="shared" si="3"/>
        <v>14</v>
      </c>
      <c r="T35" s="30">
        <v>0</v>
      </c>
      <c r="U35" s="31"/>
      <c r="V35" s="31"/>
      <c r="W35" s="5">
        <f t="shared" si="53"/>
        <v>9000</v>
      </c>
      <c r="X35" s="5">
        <f t="shared" si="5"/>
        <v>10500</v>
      </c>
      <c r="Y35" s="15" t="s">
        <v>69</v>
      </c>
      <c r="Z35" s="5" t="s">
        <v>193</v>
      </c>
      <c r="AA35" s="5">
        <f t="shared" si="56"/>
        <v>0</v>
      </c>
      <c r="AB35" s="5">
        <v>0</v>
      </c>
      <c r="AC35" s="5">
        <f t="shared" si="57"/>
        <v>0</v>
      </c>
      <c r="AD35" s="5">
        <f t="shared" si="58"/>
        <v>0</v>
      </c>
      <c r="AE35" s="5">
        <v>0</v>
      </c>
      <c r="AF35" s="5" t="str">
        <f t="shared" si="59"/>
        <v>NO</v>
      </c>
      <c r="AG35" s="5">
        <f t="shared" si="60"/>
        <v>10500</v>
      </c>
      <c r="AH35" s="5" t="s">
        <v>57</v>
      </c>
      <c r="AI35" s="5"/>
      <c r="AJ35" s="5"/>
      <c r="AK35" s="5">
        <f t="shared" si="61"/>
        <v>19500</v>
      </c>
      <c r="AL35" s="5">
        <f t="shared" si="62"/>
        <v>4500</v>
      </c>
      <c r="AM35" s="5">
        <v>0</v>
      </c>
      <c r="AN35" s="32">
        <f t="shared" si="63"/>
        <v>173.07692307692307</v>
      </c>
      <c r="AO35" s="32">
        <f t="shared" si="64"/>
        <v>0</v>
      </c>
      <c r="AP35" s="4">
        <v>46153</v>
      </c>
      <c r="AQ35" s="4">
        <v>46155</v>
      </c>
      <c r="AR35" s="4">
        <v>46168</v>
      </c>
      <c r="AT35" s="5" t="str">
        <f t="shared" si="15"/>
        <v>ACTIVE</v>
      </c>
      <c r="AU35" s="6"/>
      <c r="AV35" s="6"/>
      <c r="AW35" s="6"/>
      <c r="AX35" s="6"/>
    </row>
    <row r="36" spans="1:50" ht="18.75" hidden="1">
      <c r="A36" s="5" t="str">
        <f t="shared" si="54"/>
        <v>ACTIVE</v>
      </c>
      <c r="B36" s="5" t="s">
        <v>48</v>
      </c>
      <c r="C36" s="5" t="s">
        <v>49</v>
      </c>
      <c r="D36" s="5" t="s">
        <v>50</v>
      </c>
      <c r="E36" s="5" t="s">
        <v>51</v>
      </c>
      <c r="F36" s="5" t="s">
        <v>173</v>
      </c>
      <c r="G36" s="10" t="s">
        <v>197</v>
      </c>
      <c r="H36" s="10" t="s">
        <v>71</v>
      </c>
      <c r="I36" s="10" t="s">
        <v>125</v>
      </c>
      <c r="J36" s="10">
        <v>9053156064</v>
      </c>
      <c r="K36" s="3">
        <v>15000</v>
      </c>
      <c r="L36" s="10">
        <v>1260</v>
      </c>
      <c r="M36" s="10">
        <f t="shared" si="1"/>
        <v>13740</v>
      </c>
      <c r="N36" s="3">
        <v>750</v>
      </c>
      <c r="O36" s="29">
        <f t="shared" si="55"/>
        <v>0</v>
      </c>
      <c r="P36" s="5">
        <v>0</v>
      </c>
      <c r="Q36" s="6">
        <v>26</v>
      </c>
      <c r="R36" s="6">
        <v>12</v>
      </c>
      <c r="S36" s="5">
        <f t="shared" si="3"/>
        <v>14</v>
      </c>
      <c r="T36" s="30">
        <v>0</v>
      </c>
      <c r="U36" s="5"/>
      <c r="V36" s="5"/>
      <c r="W36" s="5">
        <f t="shared" si="53"/>
        <v>9000</v>
      </c>
      <c r="X36" s="5">
        <f t="shared" si="5"/>
        <v>10500</v>
      </c>
      <c r="Y36" s="13" t="s">
        <v>55</v>
      </c>
      <c r="Z36" s="5" t="s">
        <v>194</v>
      </c>
      <c r="AA36" s="5">
        <f t="shared" si="56"/>
        <v>0</v>
      </c>
      <c r="AB36" s="5">
        <v>0</v>
      </c>
      <c r="AC36" s="5">
        <f t="shared" si="57"/>
        <v>0</v>
      </c>
      <c r="AD36" s="5">
        <f t="shared" si="58"/>
        <v>0</v>
      </c>
      <c r="AE36" s="5">
        <v>0</v>
      </c>
      <c r="AF36" s="5" t="str">
        <f t="shared" si="59"/>
        <v>NO</v>
      </c>
      <c r="AG36" s="5">
        <f t="shared" si="60"/>
        <v>10500</v>
      </c>
      <c r="AH36" s="5" t="s">
        <v>57</v>
      </c>
      <c r="AI36" s="5"/>
      <c r="AJ36" s="5"/>
      <c r="AK36" s="5">
        <f t="shared" si="61"/>
        <v>19500</v>
      </c>
      <c r="AL36" s="5">
        <f t="shared" si="62"/>
        <v>4500</v>
      </c>
      <c r="AM36" s="5">
        <v>0</v>
      </c>
      <c r="AN36" s="32">
        <f t="shared" si="63"/>
        <v>173.07692307692307</v>
      </c>
      <c r="AO36" s="32">
        <f t="shared" si="64"/>
        <v>0</v>
      </c>
      <c r="AP36" s="4">
        <v>46153</v>
      </c>
      <c r="AQ36" s="4">
        <v>46155</v>
      </c>
      <c r="AR36" s="4">
        <v>46169</v>
      </c>
      <c r="AT36" s="5" t="str">
        <f t="shared" si="15"/>
        <v>ACTIVE</v>
      </c>
      <c r="AU36" s="6"/>
      <c r="AV36" s="6"/>
      <c r="AW36" s="6"/>
      <c r="AX36" s="6"/>
    </row>
    <row r="37" spans="1:50" ht="18.75" hidden="1">
      <c r="A37" s="28" t="str">
        <f t="shared" ref="A37:A40" si="65">IF(X37=0,"CLOSE","ACTIVE")</f>
        <v>ACTIVE</v>
      </c>
      <c r="B37" s="5" t="s">
        <v>48</v>
      </c>
      <c r="C37" s="5" t="s">
        <v>49</v>
      </c>
      <c r="D37" s="5" t="s">
        <v>50</v>
      </c>
      <c r="E37" s="5" t="s">
        <v>51</v>
      </c>
      <c r="F37" s="5" t="s">
        <v>173</v>
      </c>
      <c r="G37" s="10" t="s">
        <v>197</v>
      </c>
      <c r="H37" s="51" t="s">
        <v>53</v>
      </c>
      <c r="I37" s="10" t="s">
        <v>204</v>
      </c>
      <c r="J37" s="10">
        <v>9813304531</v>
      </c>
      <c r="K37" s="3">
        <v>15000</v>
      </c>
      <c r="L37" s="10">
        <v>1260</v>
      </c>
      <c r="M37" s="10">
        <f t="shared" si="1"/>
        <v>13740</v>
      </c>
      <c r="N37" s="3">
        <v>750</v>
      </c>
      <c r="O37" s="29">
        <f t="shared" si="55"/>
        <v>0</v>
      </c>
      <c r="P37" s="5">
        <v>0</v>
      </c>
      <c r="Q37" s="10">
        <v>26</v>
      </c>
      <c r="R37" s="6">
        <v>12</v>
      </c>
      <c r="S37" s="5">
        <f t="shared" si="3"/>
        <v>14</v>
      </c>
      <c r="T37" s="30">
        <v>0</v>
      </c>
      <c r="U37" s="31"/>
      <c r="V37" s="31"/>
      <c r="W37" s="5">
        <f t="shared" si="53"/>
        <v>9000</v>
      </c>
      <c r="X37" s="5">
        <f t="shared" si="5"/>
        <v>10500</v>
      </c>
      <c r="Y37" s="15" t="s">
        <v>55</v>
      </c>
      <c r="Z37" s="5" t="s">
        <v>199</v>
      </c>
      <c r="AA37" s="5">
        <f t="shared" ref="AA37:AA40" si="66">P37*14</f>
        <v>0</v>
      </c>
      <c r="AB37" s="5">
        <v>0</v>
      </c>
      <c r="AC37" s="5">
        <f t="shared" ref="AC37:AC40" si="67">AA37*AB37</f>
        <v>0</v>
      </c>
      <c r="AD37" s="5">
        <f t="shared" ref="AD37:AD40" si="68">AA37</f>
        <v>0</v>
      </c>
      <c r="AE37" s="5">
        <v>0</v>
      </c>
      <c r="AF37" s="5" t="str">
        <f t="shared" ref="AF37:AF40" si="69">IF(AA37&gt;90,"YES","NO")</f>
        <v>NO</v>
      </c>
      <c r="AG37" s="5">
        <f t="shared" ref="AG37:AG40" si="70">X37+AC37</f>
        <v>10500</v>
      </c>
      <c r="AH37" s="5" t="s">
        <v>57</v>
      </c>
      <c r="AI37" s="5"/>
      <c r="AJ37" s="5"/>
      <c r="AK37" s="5">
        <f t="shared" ref="AK37:AK40" si="71">N37*Q37</f>
        <v>19500</v>
      </c>
      <c r="AL37" s="5">
        <f t="shared" ref="AL37:AL40" si="72">AK37-K37</f>
        <v>4500</v>
      </c>
      <c r="AM37" s="5">
        <v>0</v>
      </c>
      <c r="AN37" s="32">
        <f t="shared" ref="AN37:AN40" si="73">AL37/Q37</f>
        <v>173.07692307692307</v>
      </c>
      <c r="AO37" s="32">
        <f t="shared" ref="AO37:AO40" si="74">AN37*AM37</f>
        <v>0</v>
      </c>
      <c r="AP37" s="4">
        <v>46155</v>
      </c>
      <c r="AQ37" s="4">
        <v>46157</v>
      </c>
      <c r="AR37" s="4">
        <v>46169</v>
      </c>
      <c r="AT37" s="5" t="str">
        <f t="shared" si="15"/>
        <v>ACTIVE</v>
      </c>
      <c r="AU37" s="6"/>
      <c r="AV37" s="6"/>
      <c r="AW37" s="6"/>
      <c r="AX37" s="6"/>
    </row>
    <row r="38" spans="1:50" ht="18.75" hidden="1">
      <c r="A38" s="28" t="str">
        <f t="shared" si="65"/>
        <v>ACTIVE</v>
      </c>
      <c r="B38" s="5" t="s">
        <v>48</v>
      </c>
      <c r="C38" s="5" t="s">
        <v>49</v>
      </c>
      <c r="D38" s="5" t="s">
        <v>50</v>
      </c>
      <c r="E38" s="5" t="s">
        <v>51</v>
      </c>
      <c r="F38" s="5" t="s">
        <v>173</v>
      </c>
      <c r="G38" s="10" t="s">
        <v>197</v>
      </c>
      <c r="H38" s="51" t="s">
        <v>121</v>
      </c>
      <c r="I38" s="10" t="s">
        <v>140</v>
      </c>
      <c r="J38" s="10">
        <v>8930321437</v>
      </c>
      <c r="K38" s="3">
        <v>20000</v>
      </c>
      <c r="L38" s="10">
        <v>1580</v>
      </c>
      <c r="M38" s="10">
        <f t="shared" si="1"/>
        <v>18420</v>
      </c>
      <c r="N38" s="3">
        <v>800</v>
      </c>
      <c r="O38" s="29">
        <f t="shared" ref="O38:O40" si="75">N38*P38</f>
        <v>0</v>
      </c>
      <c r="P38" s="5">
        <v>0</v>
      </c>
      <c r="Q38" s="10">
        <v>34</v>
      </c>
      <c r="R38" s="6">
        <v>12</v>
      </c>
      <c r="S38" s="5">
        <f t="shared" si="3"/>
        <v>22</v>
      </c>
      <c r="T38" s="30">
        <v>0</v>
      </c>
      <c r="U38" s="31"/>
      <c r="V38" s="31"/>
      <c r="W38" s="5">
        <f t="shared" si="53"/>
        <v>9600</v>
      </c>
      <c r="X38" s="5">
        <f t="shared" si="5"/>
        <v>17600</v>
      </c>
      <c r="Y38" s="15" t="s">
        <v>55</v>
      </c>
      <c r="Z38" s="5" t="s">
        <v>200</v>
      </c>
      <c r="AA38" s="5">
        <f t="shared" si="66"/>
        <v>0</v>
      </c>
      <c r="AB38" s="5">
        <v>0</v>
      </c>
      <c r="AC38" s="5">
        <f t="shared" si="67"/>
        <v>0</v>
      </c>
      <c r="AD38" s="5">
        <f t="shared" si="68"/>
        <v>0</v>
      </c>
      <c r="AE38" s="5">
        <v>0</v>
      </c>
      <c r="AF38" s="5" t="str">
        <f t="shared" si="69"/>
        <v>NO</v>
      </c>
      <c r="AG38" s="5">
        <f t="shared" si="70"/>
        <v>17600</v>
      </c>
      <c r="AH38" s="5" t="s">
        <v>57</v>
      </c>
      <c r="AI38" s="5"/>
      <c r="AJ38" s="5"/>
      <c r="AK38" s="5">
        <f t="shared" si="71"/>
        <v>27200</v>
      </c>
      <c r="AL38" s="5">
        <f t="shared" si="72"/>
        <v>7200</v>
      </c>
      <c r="AM38" s="5">
        <v>0</v>
      </c>
      <c r="AN38" s="32">
        <f t="shared" si="73"/>
        <v>211.76470588235293</v>
      </c>
      <c r="AO38" s="32">
        <f t="shared" si="74"/>
        <v>0</v>
      </c>
      <c r="AP38" s="4">
        <v>46155</v>
      </c>
      <c r="AQ38" s="4">
        <v>46157</v>
      </c>
      <c r="AR38" s="4">
        <v>46169</v>
      </c>
      <c r="AT38" s="5" t="str">
        <f t="shared" si="15"/>
        <v>ACTIVE</v>
      </c>
      <c r="AU38" s="6"/>
      <c r="AV38" s="6"/>
      <c r="AW38" s="6"/>
      <c r="AX38" s="6"/>
    </row>
    <row r="39" spans="1:50" ht="18.75" hidden="1">
      <c r="A39" s="28" t="str">
        <f t="shared" si="65"/>
        <v>ACTIVE</v>
      </c>
      <c r="B39" s="5" t="s">
        <v>48</v>
      </c>
      <c r="C39" s="5" t="s">
        <v>49</v>
      </c>
      <c r="D39" s="5" t="s">
        <v>50</v>
      </c>
      <c r="E39" s="5" t="s">
        <v>51</v>
      </c>
      <c r="F39" s="5" t="s">
        <v>173</v>
      </c>
      <c r="G39" s="10" t="s">
        <v>206</v>
      </c>
      <c r="H39" s="10" t="s">
        <v>165</v>
      </c>
      <c r="I39" s="10" t="s">
        <v>205</v>
      </c>
      <c r="J39" s="10">
        <v>8295267191</v>
      </c>
      <c r="K39" s="3">
        <v>20000</v>
      </c>
      <c r="L39" s="10">
        <v>1580</v>
      </c>
      <c r="M39" s="10">
        <f t="shared" si="1"/>
        <v>18420</v>
      </c>
      <c r="N39" s="3">
        <v>800</v>
      </c>
      <c r="O39" s="29">
        <f t="shared" si="75"/>
        <v>0</v>
      </c>
      <c r="P39" s="5">
        <v>0</v>
      </c>
      <c r="Q39" s="10">
        <v>34</v>
      </c>
      <c r="R39" s="6">
        <v>12</v>
      </c>
      <c r="S39" s="5">
        <f t="shared" si="3"/>
        <v>22</v>
      </c>
      <c r="T39" s="30">
        <v>0</v>
      </c>
      <c r="U39" s="31"/>
      <c r="V39" s="31"/>
      <c r="W39" s="5">
        <f t="shared" si="53"/>
        <v>9600</v>
      </c>
      <c r="X39" s="5">
        <f t="shared" si="5"/>
        <v>17600</v>
      </c>
      <c r="Y39" s="15" t="s">
        <v>55</v>
      </c>
      <c r="Z39" s="5" t="s">
        <v>201</v>
      </c>
      <c r="AA39" s="5">
        <f t="shared" si="66"/>
        <v>0</v>
      </c>
      <c r="AB39" s="5">
        <v>0</v>
      </c>
      <c r="AC39" s="5">
        <f t="shared" si="67"/>
        <v>0</v>
      </c>
      <c r="AD39" s="5">
        <f t="shared" si="68"/>
        <v>0</v>
      </c>
      <c r="AE39" s="5">
        <v>0</v>
      </c>
      <c r="AF39" s="5" t="str">
        <f t="shared" si="69"/>
        <v>NO</v>
      </c>
      <c r="AG39" s="5">
        <f t="shared" si="70"/>
        <v>17600</v>
      </c>
      <c r="AH39" s="5" t="s">
        <v>57</v>
      </c>
      <c r="AI39" s="5"/>
      <c r="AJ39" s="5"/>
      <c r="AK39" s="5">
        <f t="shared" si="71"/>
        <v>27200</v>
      </c>
      <c r="AL39" s="5">
        <f t="shared" si="72"/>
        <v>7200</v>
      </c>
      <c r="AM39" s="5">
        <v>0</v>
      </c>
      <c r="AN39" s="32">
        <f t="shared" si="73"/>
        <v>211.76470588235293</v>
      </c>
      <c r="AO39" s="32">
        <f t="shared" si="74"/>
        <v>0</v>
      </c>
      <c r="AP39" s="4">
        <v>46155</v>
      </c>
      <c r="AQ39" s="4">
        <v>46157</v>
      </c>
      <c r="AR39" s="4">
        <v>46169</v>
      </c>
      <c r="AT39" s="5" t="str">
        <f t="shared" si="15"/>
        <v>ACTIVE</v>
      </c>
      <c r="AU39" s="6"/>
      <c r="AV39" s="6"/>
      <c r="AW39" s="6"/>
      <c r="AX39" s="6"/>
    </row>
    <row r="40" spans="1:50" ht="18.75" hidden="1">
      <c r="A40" s="28" t="str">
        <f t="shared" si="65"/>
        <v>ACTIVE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173</v>
      </c>
      <c r="G40" s="10" t="s">
        <v>118</v>
      </c>
      <c r="H40" s="10" t="s">
        <v>203</v>
      </c>
      <c r="I40" s="10" t="s">
        <v>185</v>
      </c>
      <c r="J40" s="10">
        <v>7988050867</v>
      </c>
      <c r="K40" s="3">
        <v>15000</v>
      </c>
      <c r="L40" s="10">
        <v>1260</v>
      </c>
      <c r="M40" s="10">
        <f t="shared" si="1"/>
        <v>13740</v>
      </c>
      <c r="N40" s="3">
        <v>750</v>
      </c>
      <c r="O40" s="29">
        <f t="shared" si="75"/>
        <v>0</v>
      </c>
      <c r="P40" s="5">
        <v>0</v>
      </c>
      <c r="Q40" s="10">
        <v>26</v>
      </c>
      <c r="R40" s="6">
        <v>12</v>
      </c>
      <c r="S40" s="5">
        <f t="shared" si="3"/>
        <v>14</v>
      </c>
      <c r="T40" s="30">
        <v>0</v>
      </c>
      <c r="U40" s="31"/>
      <c r="V40" s="31"/>
      <c r="W40" s="5">
        <f t="shared" si="53"/>
        <v>9000</v>
      </c>
      <c r="X40" s="5">
        <f t="shared" si="5"/>
        <v>10500</v>
      </c>
      <c r="Y40" s="15" t="s">
        <v>55</v>
      </c>
      <c r="Z40" s="5" t="s">
        <v>202</v>
      </c>
      <c r="AA40" s="5">
        <f t="shared" si="66"/>
        <v>0</v>
      </c>
      <c r="AB40" s="5">
        <v>0</v>
      </c>
      <c r="AC40" s="5">
        <f t="shared" si="67"/>
        <v>0</v>
      </c>
      <c r="AD40" s="5">
        <f t="shared" si="68"/>
        <v>0</v>
      </c>
      <c r="AE40" s="5">
        <v>0</v>
      </c>
      <c r="AF40" s="5" t="str">
        <f t="shared" si="69"/>
        <v>NO</v>
      </c>
      <c r="AG40" s="5">
        <f t="shared" si="70"/>
        <v>10500</v>
      </c>
      <c r="AH40" s="5" t="s">
        <v>57</v>
      </c>
      <c r="AI40" s="5"/>
      <c r="AJ40" s="5"/>
      <c r="AK40" s="5">
        <f t="shared" si="71"/>
        <v>19500</v>
      </c>
      <c r="AL40" s="5">
        <f t="shared" si="72"/>
        <v>4500</v>
      </c>
      <c r="AM40" s="5">
        <v>0</v>
      </c>
      <c r="AN40" s="32">
        <f t="shared" si="73"/>
        <v>173.07692307692307</v>
      </c>
      <c r="AO40" s="32">
        <f t="shared" si="74"/>
        <v>0</v>
      </c>
      <c r="AP40" s="4">
        <v>46155</v>
      </c>
      <c r="AQ40" s="4">
        <v>46157</v>
      </c>
      <c r="AR40" s="4">
        <v>46169</v>
      </c>
      <c r="AT40" s="5" t="str">
        <f t="shared" si="15"/>
        <v>ACTIVE</v>
      </c>
      <c r="AU40" s="6"/>
      <c r="AV40" s="6"/>
      <c r="AW40" s="6"/>
      <c r="AX40" s="6"/>
    </row>
    <row r="41" spans="1:50" ht="15.75">
      <c r="A41" s="28" t="str">
        <f t="shared" ref="A41:A45" si="76">IF(X41=0,"CLOSE","ACTIVE")</f>
        <v>ACTIVE</v>
      </c>
      <c r="B41" s="5" t="s">
        <v>48</v>
      </c>
      <c r="C41" s="5" t="s">
        <v>49</v>
      </c>
      <c r="D41" s="5" t="s">
        <v>50</v>
      </c>
      <c r="E41" s="5" t="s">
        <v>51</v>
      </c>
      <c r="F41" s="5" t="s">
        <v>173</v>
      </c>
      <c r="G41" s="10" t="s">
        <v>225</v>
      </c>
      <c r="H41" s="10" t="s">
        <v>213</v>
      </c>
      <c r="I41" s="10" t="s">
        <v>214</v>
      </c>
      <c r="J41" s="10">
        <v>9034419162</v>
      </c>
      <c r="K41" s="3">
        <v>15000</v>
      </c>
      <c r="L41" s="10">
        <v>1260</v>
      </c>
      <c r="M41" s="10">
        <f t="shared" si="1"/>
        <v>13740</v>
      </c>
      <c r="N41" s="3">
        <v>750</v>
      </c>
      <c r="O41" s="29">
        <f t="shared" ref="O41:O50" si="77">N41*P41</f>
        <v>1500</v>
      </c>
      <c r="P41" s="5">
        <v>2</v>
      </c>
      <c r="Q41" s="10">
        <v>26</v>
      </c>
      <c r="R41" s="6">
        <v>10</v>
      </c>
      <c r="S41" s="5">
        <f t="shared" si="3"/>
        <v>14</v>
      </c>
      <c r="T41" s="30">
        <v>0</v>
      </c>
      <c r="U41" s="31"/>
      <c r="V41" s="31"/>
      <c r="W41" s="5">
        <f t="shared" si="53"/>
        <v>7500</v>
      </c>
      <c r="X41" s="5">
        <f t="shared" si="5"/>
        <v>12000</v>
      </c>
      <c r="Y41" s="16" t="s">
        <v>69</v>
      </c>
      <c r="Z41" s="5" t="s">
        <v>207</v>
      </c>
      <c r="AA41" s="5">
        <f t="shared" ref="AA41:AA46" si="78">P41*14</f>
        <v>28</v>
      </c>
      <c r="AB41" s="5">
        <v>0</v>
      </c>
      <c r="AC41" s="5">
        <f t="shared" ref="AC41:AC46" si="79">AA41*AB41</f>
        <v>0</v>
      </c>
      <c r="AD41" s="5">
        <f t="shared" ref="AD41:AD46" si="80">AA41</f>
        <v>28</v>
      </c>
      <c r="AE41" s="5">
        <v>0</v>
      </c>
      <c r="AF41" s="5" t="str">
        <f t="shared" ref="AF41:AF46" si="81">IF(AA41&gt;90,"YES","NO")</f>
        <v>NO</v>
      </c>
      <c r="AG41" s="5">
        <f t="shared" ref="AG41:AG46" si="82">X41+AC41</f>
        <v>12000</v>
      </c>
      <c r="AH41" s="5" t="s">
        <v>57</v>
      </c>
      <c r="AI41" s="5"/>
      <c r="AJ41" s="5"/>
      <c r="AK41" s="5">
        <f t="shared" ref="AK41:AK46" si="83">N41*Q41</f>
        <v>19500</v>
      </c>
      <c r="AL41" s="5">
        <f t="shared" ref="AL41:AL46" si="84">AK41-K41</f>
        <v>4500</v>
      </c>
      <c r="AM41" s="5">
        <v>0</v>
      </c>
      <c r="AN41" s="32">
        <f t="shared" ref="AN41:AN46" si="85">AL41/Q41</f>
        <v>173.07692307692307</v>
      </c>
      <c r="AO41" s="32">
        <f t="shared" ref="AO41:AO46" si="86">AN41*AM41</f>
        <v>0</v>
      </c>
      <c r="AP41" s="4">
        <v>46154</v>
      </c>
      <c r="AQ41" s="4">
        <v>46160</v>
      </c>
      <c r="AR41" s="4">
        <v>46168</v>
      </c>
      <c r="AT41" s="5" t="str">
        <f t="shared" si="15"/>
        <v>ACTIVE</v>
      </c>
      <c r="AU41" s="6"/>
      <c r="AV41" s="6"/>
      <c r="AW41" s="6"/>
      <c r="AX41" s="6"/>
    </row>
    <row r="42" spans="1:50" ht="15.75" hidden="1">
      <c r="A42" s="28" t="str">
        <f t="shared" si="76"/>
        <v>ACTIVE</v>
      </c>
      <c r="B42" s="5" t="s">
        <v>48</v>
      </c>
      <c r="C42" s="5" t="s">
        <v>49</v>
      </c>
      <c r="D42" s="5" t="s">
        <v>50</v>
      </c>
      <c r="E42" s="5" t="s">
        <v>51</v>
      </c>
      <c r="F42" s="5" t="s">
        <v>173</v>
      </c>
      <c r="G42" s="10" t="s">
        <v>49</v>
      </c>
      <c r="H42" s="10" t="s">
        <v>215</v>
      </c>
      <c r="I42" s="10" t="s">
        <v>216</v>
      </c>
      <c r="J42" s="10">
        <v>9812012403</v>
      </c>
      <c r="K42" s="3">
        <v>20000</v>
      </c>
      <c r="L42" s="10">
        <v>1580</v>
      </c>
      <c r="M42" s="10">
        <f t="shared" si="1"/>
        <v>18420</v>
      </c>
      <c r="N42" s="3">
        <v>800</v>
      </c>
      <c r="O42" s="29">
        <f t="shared" si="77"/>
        <v>800</v>
      </c>
      <c r="P42" s="5">
        <v>1</v>
      </c>
      <c r="Q42" s="10">
        <v>34</v>
      </c>
      <c r="R42" s="6">
        <v>11</v>
      </c>
      <c r="S42" s="5">
        <f t="shared" si="3"/>
        <v>22</v>
      </c>
      <c r="T42" s="30">
        <v>0</v>
      </c>
      <c r="U42" s="31"/>
      <c r="V42" s="31"/>
      <c r="W42" s="5">
        <f t="shared" si="53"/>
        <v>8800</v>
      </c>
      <c r="X42" s="5">
        <f t="shared" si="5"/>
        <v>18400</v>
      </c>
      <c r="Y42" s="16" t="s">
        <v>55</v>
      </c>
      <c r="Z42" s="5" t="s">
        <v>208</v>
      </c>
      <c r="AA42" s="5">
        <f t="shared" si="78"/>
        <v>14</v>
      </c>
      <c r="AB42" s="5">
        <v>0</v>
      </c>
      <c r="AC42" s="5">
        <f t="shared" si="79"/>
        <v>0</v>
      </c>
      <c r="AD42" s="5">
        <f t="shared" si="80"/>
        <v>14</v>
      </c>
      <c r="AE42" s="5">
        <v>0</v>
      </c>
      <c r="AF42" s="5" t="str">
        <f t="shared" si="81"/>
        <v>NO</v>
      </c>
      <c r="AG42" s="5">
        <f t="shared" si="82"/>
        <v>18400</v>
      </c>
      <c r="AH42" s="5" t="s">
        <v>57</v>
      </c>
      <c r="AI42" s="5"/>
      <c r="AJ42" s="5"/>
      <c r="AK42" s="5">
        <f t="shared" si="83"/>
        <v>27200</v>
      </c>
      <c r="AL42" s="5">
        <f t="shared" si="84"/>
        <v>7200</v>
      </c>
      <c r="AM42" s="5">
        <v>0</v>
      </c>
      <c r="AN42" s="32">
        <f t="shared" si="85"/>
        <v>211.76470588235293</v>
      </c>
      <c r="AO42" s="32">
        <f t="shared" si="86"/>
        <v>0</v>
      </c>
      <c r="AP42" s="4">
        <v>46156</v>
      </c>
      <c r="AQ42" s="4">
        <v>46160</v>
      </c>
      <c r="AR42" s="4">
        <v>46169</v>
      </c>
      <c r="AT42" s="5" t="str">
        <f t="shared" si="15"/>
        <v>ACTIVE</v>
      </c>
      <c r="AU42" s="6"/>
      <c r="AV42" s="6"/>
      <c r="AW42" s="6"/>
      <c r="AX42" s="6"/>
    </row>
    <row r="43" spans="1:50" ht="15.75">
      <c r="A43" s="28" t="str">
        <f t="shared" si="76"/>
        <v>ACTIVE</v>
      </c>
      <c r="B43" s="5" t="s">
        <v>48</v>
      </c>
      <c r="C43" s="5" t="s">
        <v>49</v>
      </c>
      <c r="D43" s="5" t="s">
        <v>50</v>
      </c>
      <c r="E43" s="5" t="s">
        <v>51</v>
      </c>
      <c r="F43" s="5" t="s">
        <v>173</v>
      </c>
      <c r="G43" s="10" t="s">
        <v>226</v>
      </c>
      <c r="H43" s="10" t="s">
        <v>217</v>
      </c>
      <c r="I43" s="10" t="s">
        <v>218</v>
      </c>
      <c r="J43" s="10">
        <v>9671740481</v>
      </c>
      <c r="K43" s="3">
        <v>15000</v>
      </c>
      <c r="L43" s="10">
        <v>1260</v>
      </c>
      <c r="M43" s="10">
        <f t="shared" si="1"/>
        <v>13740</v>
      </c>
      <c r="N43" s="3">
        <v>750</v>
      </c>
      <c r="O43" s="29">
        <f t="shared" si="77"/>
        <v>0</v>
      </c>
      <c r="P43" s="5">
        <v>0</v>
      </c>
      <c r="Q43" s="10">
        <v>26</v>
      </c>
      <c r="R43" s="6">
        <v>12</v>
      </c>
      <c r="S43" s="5">
        <f t="shared" si="3"/>
        <v>14</v>
      </c>
      <c r="T43" s="30">
        <v>0</v>
      </c>
      <c r="U43" s="31"/>
      <c r="V43" s="31"/>
      <c r="W43" s="5">
        <f t="shared" si="53"/>
        <v>9000</v>
      </c>
      <c r="X43" s="5">
        <f t="shared" si="5"/>
        <v>10500</v>
      </c>
      <c r="Y43" s="16" t="s">
        <v>69</v>
      </c>
      <c r="Z43" s="5" t="s">
        <v>209</v>
      </c>
      <c r="AA43" s="5">
        <f t="shared" si="78"/>
        <v>0</v>
      </c>
      <c r="AB43" s="5">
        <v>0</v>
      </c>
      <c r="AC43" s="5">
        <f t="shared" si="79"/>
        <v>0</v>
      </c>
      <c r="AD43" s="5">
        <f t="shared" si="80"/>
        <v>0</v>
      </c>
      <c r="AE43" s="5">
        <v>0</v>
      </c>
      <c r="AF43" s="5" t="str">
        <f t="shared" si="81"/>
        <v>NO</v>
      </c>
      <c r="AG43" s="5">
        <f t="shared" si="82"/>
        <v>10500</v>
      </c>
      <c r="AH43" s="5" t="s">
        <v>57</v>
      </c>
      <c r="AI43" s="5"/>
      <c r="AJ43" s="5"/>
      <c r="AK43" s="5">
        <f t="shared" si="83"/>
        <v>19500</v>
      </c>
      <c r="AL43" s="5">
        <f t="shared" si="84"/>
        <v>4500</v>
      </c>
      <c r="AM43" s="5">
        <v>0</v>
      </c>
      <c r="AN43" s="32">
        <f t="shared" si="85"/>
        <v>173.07692307692307</v>
      </c>
      <c r="AO43" s="32">
        <f t="shared" si="86"/>
        <v>0</v>
      </c>
      <c r="AP43" s="4">
        <v>46157</v>
      </c>
      <c r="AQ43" s="4">
        <v>46160</v>
      </c>
      <c r="AR43" s="4">
        <v>46168</v>
      </c>
      <c r="AT43" s="5" t="str">
        <f t="shared" si="15"/>
        <v>ACTIVE</v>
      </c>
      <c r="AU43" s="6"/>
      <c r="AV43" s="6"/>
      <c r="AW43" s="6"/>
      <c r="AX43" s="6"/>
    </row>
    <row r="44" spans="1:50" ht="15.75">
      <c r="A44" s="28" t="str">
        <f t="shared" si="76"/>
        <v>ACTIVE</v>
      </c>
      <c r="B44" s="5" t="s">
        <v>48</v>
      </c>
      <c r="C44" s="5" t="s">
        <v>49</v>
      </c>
      <c r="D44" s="5" t="s">
        <v>50</v>
      </c>
      <c r="E44" s="5" t="s">
        <v>51</v>
      </c>
      <c r="F44" s="5" t="s">
        <v>173</v>
      </c>
      <c r="G44" s="10" t="s">
        <v>227</v>
      </c>
      <c r="H44" s="10" t="s">
        <v>219</v>
      </c>
      <c r="I44" s="10" t="s">
        <v>220</v>
      </c>
      <c r="J44" s="10">
        <v>9311797101</v>
      </c>
      <c r="K44" s="3">
        <v>15000</v>
      </c>
      <c r="L44" s="10">
        <v>1260</v>
      </c>
      <c r="M44" s="10">
        <f t="shared" si="1"/>
        <v>13740</v>
      </c>
      <c r="N44" s="3">
        <v>750</v>
      </c>
      <c r="O44" s="29">
        <f t="shared" si="77"/>
        <v>0</v>
      </c>
      <c r="P44" s="5">
        <v>0</v>
      </c>
      <c r="Q44" s="10">
        <v>26</v>
      </c>
      <c r="R44" s="6">
        <v>12</v>
      </c>
      <c r="S44" s="5">
        <f t="shared" si="3"/>
        <v>14</v>
      </c>
      <c r="T44" s="30">
        <v>0</v>
      </c>
      <c r="U44" s="31"/>
      <c r="V44" s="31"/>
      <c r="W44" s="5">
        <f t="shared" si="53"/>
        <v>9000</v>
      </c>
      <c r="X44" s="5">
        <f t="shared" si="5"/>
        <v>10500</v>
      </c>
      <c r="Y44" s="16" t="s">
        <v>69</v>
      </c>
      <c r="Z44" s="5" t="s">
        <v>210</v>
      </c>
      <c r="AA44" s="5">
        <f t="shared" si="78"/>
        <v>0</v>
      </c>
      <c r="AB44" s="5">
        <v>0</v>
      </c>
      <c r="AC44" s="5">
        <f t="shared" si="79"/>
        <v>0</v>
      </c>
      <c r="AD44" s="5">
        <f t="shared" si="80"/>
        <v>0</v>
      </c>
      <c r="AE44" s="5">
        <v>0</v>
      </c>
      <c r="AF44" s="5" t="str">
        <f t="shared" si="81"/>
        <v>NO</v>
      </c>
      <c r="AG44" s="5">
        <f t="shared" si="82"/>
        <v>10500</v>
      </c>
      <c r="AH44" s="5" t="s">
        <v>57</v>
      </c>
      <c r="AI44" s="5"/>
      <c r="AJ44" s="5"/>
      <c r="AK44" s="5">
        <f t="shared" si="83"/>
        <v>19500</v>
      </c>
      <c r="AL44" s="5">
        <f t="shared" si="84"/>
        <v>4500</v>
      </c>
      <c r="AM44" s="5">
        <v>0</v>
      </c>
      <c r="AN44" s="32">
        <f t="shared" si="85"/>
        <v>173.07692307692307</v>
      </c>
      <c r="AO44" s="32">
        <f t="shared" si="86"/>
        <v>0</v>
      </c>
      <c r="AP44" s="4">
        <v>46157</v>
      </c>
      <c r="AQ44" s="4">
        <v>46160</v>
      </c>
      <c r="AR44" s="4">
        <v>46168</v>
      </c>
      <c r="AT44" s="5" t="str">
        <f t="shared" si="15"/>
        <v>ACTIVE</v>
      </c>
      <c r="AU44" s="6"/>
      <c r="AV44" s="6"/>
      <c r="AW44" s="6"/>
      <c r="AX44" s="6"/>
    </row>
    <row r="45" spans="1:50" ht="15.75">
      <c r="A45" s="28" t="str">
        <f t="shared" si="76"/>
        <v>ACTIVE</v>
      </c>
      <c r="B45" s="5" t="s">
        <v>48</v>
      </c>
      <c r="C45" s="5" t="s">
        <v>49</v>
      </c>
      <c r="D45" s="5" t="s">
        <v>50</v>
      </c>
      <c r="E45" s="5" t="s">
        <v>51</v>
      </c>
      <c r="F45" s="5" t="s">
        <v>173</v>
      </c>
      <c r="G45" s="10" t="s">
        <v>226</v>
      </c>
      <c r="H45" s="10" t="s">
        <v>221</v>
      </c>
      <c r="I45" s="10" t="s">
        <v>222</v>
      </c>
      <c r="J45" s="10">
        <v>7206610781</v>
      </c>
      <c r="K45" s="3">
        <v>15000</v>
      </c>
      <c r="L45" s="10">
        <v>1260</v>
      </c>
      <c r="M45" s="10">
        <f t="shared" si="1"/>
        <v>13740</v>
      </c>
      <c r="N45" s="3">
        <v>750</v>
      </c>
      <c r="O45" s="29">
        <f t="shared" si="77"/>
        <v>0</v>
      </c>
      <c r="P45" s="5">
        <v>0</v>
      </c>
      <c r="Q45" s="10">
        <v>26</v>
      </c>
      <c r="R45" s="6">
        <v>12</v>
      </c>
      <c r="S45" s="5">
        <f t="shared" si="3"/>
        <v>14</v>
      </c>
      <c r="T45" s="30">
        <v>0</v>
      </c>
      <c r="U45" s="31"/>
      <c r="V45" s="31"/>
      <c r="W45" s="5">
        <f t="shared" si="53"/>
        <v>9000</v>
      </c>
      <c r="X45" s="5">
        <f t="shared" si="5"/>
        <v>10500</v>
      </c>
      <c r="Y45" s="16" t="s">
        <v>69</v>
      </c>
      <c r="Z45" s="5" t="s">
        <v>211</v>
      </c>
      <c r="AA45" s="5">
        <f t="shared" si="78"/>
        <v>0</v>
      </c>
      <c r="AB45" s="5">
        <v>0</v>
      </c>
      <c r="AC45" s="5">
        <f t="shared" si="79"/>
        <v>0</v>
      </c>
      <c r="AD45" s="5">
        <f t="shared" si="80"/>
        <v>0</v>
      </c>
      <c r="AE45" s="5">
        <v>0</v>
      </c>
      <c r="AF45" s="5" t="str">
        <f t="shared" si="81"/>
        <v>NO</v>
      </c>
      <c r="AG45" s="5">
        <f t="shared" si="82"/>
        <v>10500</v>
      </c>
      <c r="AH45" s="5" t="s">
        <v>57</v>
      </c>
      <c r="AI45" s="5"/>
      <c r="AJ45" s="5"/>
      <c r="AK45" s="5">
        <f t="shared" si="83"/>
        <v>19500</v>
      </c>
      <c r="AL45" s="5">
        <f t="shared" si="84"/>
        <v>4500</v>
      </c>
      <c r="AM45" s="5">
        <v>0</v>
      </c>
      <c r="AN45" s="32">
        <f t="shared" si="85"/>
        <v>173.07692307692307</v>
      </c>
      <c r="AO45" s="32">
        <f t="shared" si="86"/>
        <v>0</v>
      </c>
      <c r="AP45" s="4">
        <v>46157</v>
      </c>
      <c r="AQ45" s="4">
        <v>46160</v>
      </c>
      <c r="AR45" s="4">
        <v>46168</v>
      </c>
      <c r="AT45" s="5" t="str">
        <f t="shared" si="15"/>
        <v>ACTIVE</v>
      </c>
      <c r="AU45" s="6"/>
      <c r="AV45" s="6"/>
      <c r="AW45" s="6"/>
      <c r="AX45" s="6"/>
    </row>
    <row r="46" spans="1:50" ht="15.75">
      <c r="A46" s="28" t="str">
        <f>IF(X46=0,"CLOSE","ACTIVE")</f>
        <v>ACTIVE</v>
      </c>
      <c r="B46" s="5" t="s">
        <v>48</v>
      </c>
      <c r="C46" s="5" t="s">
        <v>49</v>
      </c>
      <c r="D46" s="5" t="s">
        <v>50</v>
      </c>
      <c r="E46" s="5" t="s">
        <v>51</v>
      </c>
      <c r="F46" s="5" t="s">
        <v>173</v>
      </c>
      <c r="G46" s="10" t="s">
        <v>226</v>
      </c>
      <c r="H46" s="10" t="s">
        <v>223</v>
      </c>
      <c r="I46" s="10" t="s">
        <v>224</v>
      </c>
      <c r="J46" s="10">
        <v>8814045633</v>
      </c>
      <c r="K46" s="3">
        <v>15000</v>
      </c>
      <c r="L46" s="10">
        <v>1260</v>
      </c>
      <c r="M46" s="10">
        <f t="shared" si="1"/>
        <v>13740</v>
      </c>
      <c r="N46" s="3">
        <v>750</v>
      </c>
      <c r="O46" s="29">
        <f t="shared" si="77"/>
        <v>0</v>
      </c>
      <c r="P46" s="5">
        <v>0</v>
      </c>
      <c r="Q46" s="10">
        <v>26</v>
      </c>
      <c r="R46" s="6">
        <v>12</v>
      </c>
      <c r="S46" s="5">
        <f t="shared" si="3"/>
        <v>14</v>
      </c>
      <c r="T46" s="30">
        <v>0</v>
      </c>
      <c r="U46" s="31"/>
      <c r="V46" s="31"/>
      <c r="W46" s="5">
        <f t="shared" si="53"/>
        <v>9000</v>
      </c>
      <c r="X46" s="5">
        <f t="shared" si="5"/>
        <v>10500</v>
      </c>
      <c r="Y46" s="16" t="s">
        <v>69</v>
      </c>
      <c r="Z46" s="5" t="s">
        <v>212</v>
      </c>
      <c r="AA46" s="5">
        <f t="shared" si="78"/>
        <v>0</v>
      </c>
      <c r="AB46" s="5">
        <v>0</v>
      </c>
      <c r="AC46" s="5">
        <f t="shared" si="79"/>
        <v>0</v>
      </c>
      <c r="AD46" s="5">
        <f t="shared" si="80"/>
        <v>0</v>
      </c>
      <c r="AE46" s="5">
        <v>0</v>
      </c>
      <c r="AF46" s="5" t="str">
        <f t="shared" si="81"/>
        <v>NO</v>
      </c>
      <c r="AG46" s="5">
        <f t="shared" si="82"/>
        <v>10500</v>
      </c>
      <c r="AH46" s="5" t="s">
        <v>57</v>
      </c>
      <c r="AI46" s="5"/>
      <c r="AJ46" s="5"/>
      <c r="AK46" s="5">
        <f t="shared" si="83"/>
        <v>19500</v>
      </c>
      <c r="AL46" s="5">
        <f t="shared" si="84"/>
        <v>4500</v>
      </c>
      <c r="AM46" s="5">
        <v>0</v>
      </c>
      <c r="AN46" s="32">
        <f t="shared" si="85"/>
        <v>173.07692307692307</v>
      </c>
      <c r="AO46" s="32">
        <f t="shared" si="86"/>
        <v>0</v>
      </c>
      <c r="AP46" s="4">
        <v>46157</v>
      </c>
      <c r="AQ46" s="4">
        <v>46160</v>
      </c>
      <c r="AR46" s="4">
        <v>46168</v>
      </c>
      <c r="AT46" s="5" t="str">
        <f t="shared" si="15"/>
        <v>ACTIVE</v>
      </c>
      <c r="AU46" s="6"/>
      <c r="AV46" s="6"/>
      <c r="AW46" s="6"/>
      <c r="AX46" s="6"/>
    </row>
    <row r="47" spans="1:50" ht="15.75">
      <c r="A47" s="28" t="str">
        <f>IF(X47=0,"CLOSE","ACTIVE")</f>
        <v>ACTIVE</v>
      </c>
      <c r="B47" s="5" t="s">
        <v>48</v>
      </c>
      <c r="C47" s="5" t="s">
        <v>49</v>
      </c>
      <c r="D47" s="5" t="s">
        <v>50</v>
      </c>
      <c r="E47" s="5" t="s">
        <v>51</v>
      </c>
      <c r="F47" s="5" t="s">
        <v>173</v>
      </c>
      <c r="G47" s="3" t="s">
        <v>229</v>
      </c>
      <c r="H47" s="10" t="s">
        <v>165</v>
      </c>
      <c r="I47" s="10" t="s">
        <v>198</v>
      </c>
      <c r="J47" s="10">
        <v>9588783317</v>
      </c>
      <c r="K47" s="3">
        <v>15000</v>
      </c>
      <c r="L47" s="10">
        <v>1260</v>
      </c>
      <c r="M47" s="10">
        <f t="shared" si="1"/>
        <v>13740</v>
      </c>
      <c r="N47" s="3">
        <v>750</v>
      </c>
      <c r="O47" s="29">
        <f t="shared" si="77"/>
        <v>0</v>
      </c>
      <c r="P47" s="5">
        <v>0</v>
      </c>
      <c r="Q47" s="10">
        <v>26</v>
      </c>
      <c r="R47" s="6">
        <v>12</v>
      </c>
      <c r="S47" s="5">
        <f t="shared" ref="S47:S114" si="87">Q47-R47-P47</f>
        <v>14</v>
      </c>
      <c r="T47" s="30">
        <v>0</v>
      </c>
      <c r="U47" s="31"/>
      <c r="V47" s="31"/>
      <c r="W47" s="5">
        <f t="shared" ref="W47" si="88">R47*N47+U47</f>
        <v>9000</v>
      </c>
      <c r="X47" s="5">
        <f t="shared" ref="X47" si="89">N47*(P47+S47)+T47-U47</f>
        <v>10500</v>
      </c>
      <c r="Y47" s="16" t="s">
        <v>69</v>
      </c>
      <c r="Z47" s="5" t="s">
        <v>228</v>
      </c>
      <c r="AA47" s="5">
        <f t="shared" ref="AA47" si="90">P47*14</f>
        <v>0</v>
      </c>
      <c r="AB47" s="5">
        <v>0</v>
      </c>
      <c r="AC47" s="5">
        <f t="shared" ref="AC47" si="91">AA47*AB47</f>
        <v>0</v>
      </c>
      <c r="AD47" s="5">
        <f t="shared" ref="AD47" si="92">AA47</f>
        <v>0</v>
      </c>
      <c r="AE47" s="5">
        <v>0</v>
      </c>
      <c r="AF47" s="5" t="str">
        <f t="shared" ref="AF47" si="93">IF(AA47&gt;90,"YES","NO")</f>
        <v>NO</v>
      </c>
      <c r="AG47" s="5">
        <f t="shared" ref="AG47" si="94">X47+AC47</f>
        <v>10500</v>
      </c>
      <c r="AH47" s="5" t="s">
        <v>57</v>
      </c>
      <c r="AI47" s="5"/>
      <c r="AJ47" s="5"/>
      <c r="AK47" s="5">
        <f t="shared" ref="AK47" si="95">N47*Q47</f>
        <v>19500</v>
      </c>
      <c r="AL47" s="5">
        <f t="shared" ref="AL47" si="96">AK47-K47</f>
        <v>4500</v>
      </c>
      <c r="AM47" s="5">
        <v>0</v>
      </c>
      <c r="AN47" s="32">
        <f t="shared" ref="AN47" si="97">AL47/Q47</f>
        <v>173.07692307692307</v>
      </c>
      <c r="AO47" s="32">
        <f t="shared" ref="AO47" si="98">AN47*AM47</f>
        <v>0</v>
      </c>
      <c r="AP47" s="4">
        <v>46157</v>
      </c>
      <c r="AQ47" s="4">
        <v>46161</v>
      </c>
      <c r="AR47" s="4">
        <v>46168</v>
      </c>
      <c r="AT47" s="5" t="str">
        <f t="shared" si="15"/>
        <v>ACTIVE</v>
      </c>
      <c r="AU47" s="6"/>
      <c r="AV47" s="6"/>
      <c r="AW47" s="6"/>
      <c r="AX47" s="6"/>
    </row>
    <row r="48" spans="1:50" ht="18.75">
      <c r="A48" s="5" t="str">
        <f>IF(X48=0,"CLOSE","ACTIVE")</f>
        <v>ACTIVE</v>
      </c>
      <c r="B48" s="5" t="s">
        <v>48</v>
      </c>
      <c r="C48" s="5" t="s">
        <v>49</v>
      </c>
      <c r="D48" s="5" t="s">
        <v>50</v>
      </c>
      <c r="E48" s="5" t="s">
        <v>51</v>
      </c>
      <c r="F48" s="5" t="s">
        <v>173</v>
      </c>
      <c r="G48" s="10" t="s">
        <v>49</v>
      </c>
      <c r="H48" s="10" t="s">
        <v>231</v>
      </c>
      <c r="I48" s="10" t="s">
        <v>142</v>
      </c>
      <c r="J48" s="10">
        <v>7497855174</v>
      </c>
      <c r="K48" s="3">
        <v>15000</v>
      </c>
      <c r="L48" s="10">
        <v>1260</v>
      </c>
      <c r="M48" s="10">
        <f t="shared" si="1"/>
        <v>13740</v>
      </c>
      <c r="N48" s="3">
        <v>750</v>
      </c>
      <c r="O48" s="29">
        <f t="shared" si="77"/>
        <v>0</v>
      </c>
      <c r="P48" s="5">
        <v>0</v>
      </c>
      <c r="Q48" s="6">
        <v>26</v>
      </c>
      <c r="R48" s="6">
        <v>11</v>
      </c>
      <c r="S48" s="5">
        <f t="shared" si="87"/>
        <v>15</v>
      </c>
      <c r="T48" s="30">
        <v>0</v>
      </c>
      <c r="U48" s="5"/>
      <c r="V48" s="5"/>
      <c r="W48" s="5">
        <f t="shared" ref="W48:W56" si="99">R48*N48+U48</f>
        <v>8250</v>
      </c>
      <c r="X48" s="5">
        <f t="shared" ref="X48" si="100">N48*(P48+S48)+T48-U48</f>
        <v>11250</v>
      </c>
      <c r="Y48" s="13" t="s">
        <v>69</v>
      </c>
      <c r="Z48" s="5" t="s">
        <v>233</v>
      </c>
      <c r="AA48" s="5">
        <f t="shared" ref="AA48:AA49" si="101">P48*14</f>
        <v>0</v>
      </c>
      <c r="AB48" s="5">
        <v>0</v>
      </c>
      <c r="AC48" s="5">
        <f t="shared" ref="AC48:AC49" si="102">AA48*AB48</f>
        <v>0</v>
      </c>
      <c r="AD48" s="5">
        <f t="shared" ref="AD48:AD49" si="103">AA48</f>
        <v>0</v>
      </c>
      <c r="AE48" s="5">
        <v>0</v>
      </c>
      <c r="AF48" s="5" t="str">
        <f t="shared" ref="AF48:AF49" si="104">IF(AA48&gt;90,"YES","NO")</f>
        <v>NO</v>
      </c>
      <c r="AG48" s="5">
        <f t="shared" ref="AG48:AG49" si="105">X48+AC48</f>
        <v>11250</v>
      </c>
      <c r="AH48" s="5" t="s">
        <v>57</v>
      </c>
      <c r="AI48" s="5"/>
      <c r="AJ48" s="5"/>
      <c r="AK48" s="5">
        <f t="shared" ref="AK48:AK49" si="106">N48*Q48</f>
        <v>19500</v>
      </c>
      <c r="AL48" s="5">
        <f t="shared" ref="AL48:AL49" si="107">AK48-K48</f>
        <v>4500</v>
      </c>
      <c r="AM48" s="5">
        <v>0</v>
      </c>
      <c r="AN48" s="32">
        <f t="shared" ref="AN48:AN49" si="108">AL48/Q48</f>
        <v>173.07692307692307</v>
      </c>
      <c r="AO48" s="32">
        <f t="shared" ref="AO48:AO49" si="109">AN48*AM48</f>
        <v>0</v>
      </c>
      <c r="AP48" s="4">
        <v>46161</v>
      </c>
      <c r="AQ48" s="4">
        <v>46162</v>
      </c>
      <c r="AR48" s="4">
        <v>46175</v>
      </c>
      <c r="AT48" s="5" t="str">
        <f t="shared" si="15"/>
        <v>ACTIVE</v>
      </c>
      <c r="AU48" s="6"/>
      <c r="AV48" s="6"/>
      <c r="AW48" s="6"/>
      <c r="AX48" s="6"/>
    </row>
    <row r="49" spans="1:50" ht="18.75">
      <c r="A49" s="28" t="str">
        <f t="shared" ref="A49:A51" si="110">IF(X49=0,"CLOSE","ACTIVE")</f>
        <v>ACTIVE</v>
      </c>
      <c r="B49" s="5" t="s">
        <v>48</v>
      </c>
      <c r="C49" s="5" t="s">
        <v>49</v>
      </c>
      <c r="D49" s="5" t="s">
        <v>50</v>
      </c>
      <c r="E49" s="5" t="s">
        <v>51</v>
      </c>
      <c r="F49" s="5" t="s">
        <v>173</v>
      </c>
      <c r="G49" s="10" t="s">
        <v>196</v>
      </c>
      <c r="H49" s="10" t="s">
        <v>232</v>
      </c>
      <c r="I49" s="10" t="s">
        <v>235</v>
      </c>
      <c r="J49" s="10">
        <v>9817633128</v>
      </c>
      <c r="K49" s="3">
        <v>20000</v>
      </c>
      <c r="L49" s="10">
        <v>1580</v>
      </c>
      <c r="M49" s="10">
        <f t="shared" si="1"/>
        <v>18420</v>
      </c>
      <c r="N49" s="3">
        <v>800</v>
      </c>
      <c r="O49" s="29">
        <f t="shared" si="77"/>
        <v>0</v>
      </c>
      <c r="P49" s="5">
        <v>0</v>
      </c>
      <c r="Q49" s="6">
        <v>34</v>
      </c>
      <c r="R49" s="6">
        <v>11</v>
      </c>
      <c r="S49" s="5">
        <f t="shared" si="87"/>
        <v>23</v>
      </c>
      <c r="T49" s="30">
        <v>0</v>
      </c>
      <c r="U49" s="31"/>
      <c r="V49" s="79"/>
      <c r="W49" s="5">
        <f t="shared" si="99"/>
        <v>8800</v>
      </c>
      <c r="X49" s="5">
        <f t="shared" ref="X49:X56" si="111">N49*(P49+S49)+T49-U49</f>
        <v>18400</v>
      </c>
      <c r="Y49" s="15" t="s">
        <v>69</v>
      </c>
      <c r="Z49" s="5" t="s">
        <v>234</v>
      </c>
      <c r="AA49" s="5">
        <f t="shared" si="101"/>
        <v>0</v>
      </c>
      <c r="AB49" s="5">
        <v>0</v>
      </c>
      <c r="AC49" s="5">
        <f t="shared" si="102"/>
        <v>0</v>
      </c>
      <c r="AD49" s="5">
        <f t="shared" si="103"/>
        <v>0</v>
      </c>
      <c r="AE49" s="5">
        <v>0</v>
      </c>
      <c r="AF49" s="5" t="str">
        <f t="shared" si="104"/>
        <v>NO</v>
      </c>
      <c r="AG49" s="5">
        <f t="shared" si="105"/>
        <v>18400</v>
      </c>
      <c r="AH49" s="5" t="s">
        <v>57</v>
      </c>
      <c r="AI49" s="5"/>
      <c r="AJ49" s="5"/>
      <c r="AK49" s="5">
        <f t="shared" si="106"/>
        <v>27200</v>
      </c>
      <c r="AL49" s="5">
        <f t="shared" si="107"/>
        <v>7200</v>
      </c>
      <c r="AM49" s="5">
        <v>0</v>
      </c>
      <c r="AN49" s="32">
        <f t="shared" si="108"/>
        <v>211.76470588235293</v>
      </c>
      <c r="AO49" s="32">
        <f t="shared" si="109"/>
        <v>0</v>
      </c>
      <c r="AP49" s="4">
        <v>46161</v>
      </c>
      <c r="AQ49" s="4">
        <v>46162</v>
      </c>
      <c r="AR49" s="4">
        <v>46175</v>
      </c>
      <c r="AT49" s="5" t="str">
        <f t="shared" si="15"/>
        <v>ACTIVE</v>
      </c>
      <c r="AU49" s="6"/>
      <c r="AV49" s="6"/>
      <c r="AW49" s="6"/>
      <c r="AX49" s="6"/>
    </row>
    <row r="50" spans="1:50" ht="18.75">
      <c r="A50" s="28" t="str">
        <f t="shared" si="110"/>
        <v>ACTIVE</v>
      </c>
      <c r="B50" s="5" t="s">
        <v>48</v>
      </c>
      <c r="C50" s="5" t="s">
        <v>49</v>
      </c>
      <c r="D50" s="5" t="s">
        <v>50</v>
      </c>
      <c r="E50" s="5" t="s">
        <v>51</v>
      </c>
      <c r="F50" s="5" t="s">
        <v>173</v>
      </c>
      <c r="G50" s="10" t="s">
        <v>238</v>
      </c>
      <c r="H50" s="10" t="s">
        <v>180</v>
      </c>
      <c r="I50" s="10" t="s">
        <v>240</v>
      </c>
      <c r="J50" s="10">
        <v>9728727855</v>
      </c>
      <c r="K50" s="3">
        <v>15000</v>
      </c>
      <c r="L50" s="10">
        <v>1260</v>
      </c>
      <c r="M50" s="10">
        <f t="shared" si="1"/>
        <v>13740</v>
      </c>
      <c r="N50" s="3">
        <v>750</v>
      </c>
      <c r="O50" s="29">
        <f t="shared" si="77"/>
        <v>0</v>
      </c>
      <c r="P50" s="5">
        <v>0</v>
      </c>
      <c r="Q50" s="6">
        <v>26</v>
      </c>
      <c r="R50" s="6">
        <v>11</v>
      </c>
      <c r="S50" s="5">
        <f t="shared" si="87"/>
        <v>15</v>
      </c>
      <c r="T50" s="30">
        <v>0</v>
      </c>
      <c r="U50" s="31"/>
      <c r="V50" s="31"/>
      <c r="W50" s="5">
        <f t="shared" si="99"/>
        <v>8250</v>
      </c>
      <c r="X50" s="5">
        <f t="shared" si="111"/>
        <v>11250</v>
      </c>
      <c r="Y50" s="15" t="s">
        <v>69</v>
      </c>
      <c r="Z50" s="5" t="s">
        <v>236</v>
      </c>
      <c r="AA50" s="5">
        <f t="shared" ref="AA50:AA51" si="112">P50*14</f>
        <v>0</v>
      </c>
      <c r="AB50" s="5">
        <v>0</v>
      </c>
      <c r="AC50" s="5">
        <f t="shared" ref="AC50:AC51" si="113">AA50*AB50</f>
        <v>0</v>
      </c>
      <c r="AD50" s="5">
        <f t="shared" ref="AD50:AD51" si="114">AA50</f>
        <v>0</v>
      </c>
      <c r="AE50" s="5">
        <v>0</v>
      </c>
      <c r="AF50" s="5" t="str">
        <f t="shared" ref="AF50:AF51" si="115">IF(AA50&gt;90,"YES","NO")</f>
        <v>NO</v>
      </c>
      <c r="AG50" s="5">
        <f t="shared" ref="AG50:AG51" si="116">X50+AC50</f>
        <v>11250</v>
      </c>
      <c r="AH50" s="5" t="s">
        <v>57</v>
      </c>
      <c r="AI50" s="5"/>
      <c r="AJ50" s="5"/>
      <c r="AK50" s="5">
        <f t="shared" ref="AK50:AK51" si="117">N50*Q50</f>
        <v>19500</v>
      </c>
      <c r="AL50" s="5">
        <f t="shared" ref="AL50:AL51" si="118">AK50-K50</f>
        <v>4500</v>
      </c>
      <c r="AM50" s="5">
        <v>0</v>
      </c>
      <c r="AN50" s="32">
        <f t="shared" ref="AN50:AN51" si="119">AL50/Q50</f>
        <v>173.07692307692307</v>
      </c>
      <c r="AO50" s="32">
        <f t="shared" ref="AO50:AO51" si="120">AN50*AM50</f>
        <v>0</v>
      </c>
      <c r="AP50" s="4">
        <v>46161</v>
      </c>
      <c r="AQ50" s="4">
        <v>46164</v>
      </c>
      <c r="AR50" s="4">
        <v>46175</v>
      </c>
      <c r="AT50" s="5" t="str">
        <f t="shared" si="15"/>
        <v>ACTIVE</v>
      </c>
      <c r="AU50" s="6"/>
      <c r="AV50" s="6"/>
      <c r="AW50" s="6"/>
      <c r="AX50" s="6"/>
    </row>
    <row r="51" spans="1:50" ht="18.75">
      <c r="A51" s="28" t="str">
        <f t="shared" si="110"/>
        <v>ACTIVE</v>
      </c>
      <c r="B51" s="5" t="s">
        <v>48</v>
      </c>
      <c r="C51" s="5" t="s">
        <v>49</v>
      </c>
      <c r="D51" s="5" t="s">
        <v>50</v>
      </c>
      <c r="E51" s="5" t="s">
        <v>51</v>
      </c>
      <c r="F51" s="5" t="s">
        <v>173</v>
      </c>
      <c r="G51" s="10" t="s">
        <v>238</v>
      </c>
      <c r="H51" s="10" t="s">
        <v>239</v>
      </c>
      <c r="I51" s="10" t="s">
        <v>241</v>
      </c>
      <c r="J51" s="10">
        <v>9813575389</v>
      </c>
      <c r="K51" s="3">
        <v>20000</v>
      </c>
      <c r="L51" s="10">
        <v>1580</v>
      </c>
      <c r="M51" s="10">
        <f t="shared" si="1"/>
        <v>18420</v>
      </c>
      <c r="N51" s="3">
        <v>800</v>
      </c>
      <c r="O51" s="29">
        <f t="shared" ref="O51" si="121">N51*P51</f>
        <v>0</v>
      </c>
      <c r="P51" s="5">
        <v>0</v>
      </c>
      <c r="Q51" s="6">
        <v>34</v>
      </c>
      <c r="R51" s="6">
        <v>11</v>
      </c>
      <c r="S51" s="5">
        <f t="shared" si="87"/>
        <v>23</v>
      </c>
      <c r="T51" s="30">
        <v>0</v>
      </c>
      <c r="U51" s="31"/>
      <c r="V51" s="31"/>
      <c r="W51" s="5">
        <f t="shared" si="99"/>
        <v>8800</v>
      </c>
      <c r="X51" s="5">
        <f t="shared" si="111"/>
        <v>18400</v>
      </c>
      <c r="Y51" s="15" t="s">
        <v>69</v>
      </c>
      <c r="Z51" s="5" t="s">
        <v>237</v>
      </c>
      <c r="AA51" s="5">
        <f t="shared" si="112"/>
        <v>0</v>
      </c>
      <c r="AB51" s="5">
        <v>0</v>
      </c>
      <c r="AC51" s="5">
        <f t="shared" si="113"/>
        <v>0</v>
      </c>
      <c r="AD51" s="5">
        <f t="shared" si="114"/>
        <v>0</v>
      </c>
      <c r="AE51" s="5">
        <v>0</v>
      </c>
      <c r="AF51" s="5" t="str">
        <f t="shared" si="115"/>
        <v>NO</v>
      </c>
      <c r="AG51" s="5">
        <f t="shared" si="116"/>
        <v>18400</v>
      </c>
      <c r="AH51" s="5" t="s">
        <v>57</v>
      </c>
      <c r="AI51" s="5"/>
      <c r="AJ51" s="5"/>
      <c r="AK51" s="5">
        <f t="shared" si="117"/>
        <v>27200</v>
      </c>
      <c r="AL51" s="5">
        <f t="shared" si="118"/>
        <v>7200</v>
      </c>
      <c r="AM51" s="5">
        <v>0</v>
      </c>
      <c r="AN51" s="32">
        <f t="shared" si="119"/>
        <v>211.76470588235293</v>
      </c>
      <c r="AO51" s="32">
        <f t="shared" si="120"/>
        <v>0</v>
      </c>
      <c r="AP51" s="4">
        <v>46161</v>
      </c>
      <c r="AQ51" s="4">
        <v>46164</v>
      </c>
      <c r="AR51" s="4">
        <v>46175</v>
      </c>
      <c r="AT51" s="5" t="str">
        <f t="shared" si="15"/>
        <v>ACTIVE</v>
      </c>
      <c r="AU51" s="6"/>
      <c r="AV51" s="6"/>
      <c r="AW51" s="6"/>
      <c r="AX51" s="6"/>
    </row>
    <row r="52" spans="1:50" ht="18.75">
      <c r="A52" s="28" t="str">
        <f t="shared" ref="A52:A54" si="122">IF(X52=0,"CLOSE","ACTIVE")</f>
        <v>ACTIVE</v>
      </c>
      <c r="B52" s="5" t="s">
        <v>48</v>
      </c>
      <c r="C52" s="5" t="s">
        <v>49</v>
      </c>
      <c r="D52" s="5" t="s">
        <v>50</v>
      </c>
      <c r="E52" s="5" t="s">
        <v>51</v>
      </c>
      <c r="F52" s="5" t="s">
        <v>173</v>
      </c>
      <c r="G52" s="10" t="s">
        <v>226</v>
      </c>
      <c r="H52" s="10" t="s">
        <v>246</v>
      </c>
      <c r="I52" s="10" t="s">
        <v>249</v>
      </c>
      <c r="J52" s="10">
        <v>9997650988</v>
      </c>
      <c r="K52" s="3">
        <v>15000</v>
      </c>
      <c r="L52" s="10">
        <v>1260</v>
      </c>
      <c r="M52" s="10">
        <f t="shared" si="1"/>
        <v>13740</v>
      </c>
      <c r="N52" s="3">
        <v>750</v>
      </c>
      <c r="O52" s="29">
        <f t="shared" ref="O52:O54" si="123">N52*P52</f>
        <v>0</v>
      </c>
      <c r="P52" s="5">
        <v>0</v>
      </c>
      <c r="Q52" s="6">
        <v>26</v>
      </c>
      <c r="R52" s="6">
        <v>11</v>
      </c>
      <c r="S52" s="5">
        <f t="shared" si="87"/>
        <v>15</v>
      </c>
      <c r="T52" s="30">
        <v>0</v>
      </c>
      <c r="U52" s="31"/>
      <c r="V52" s="31"/>
      <c r="W52" s="5">
        <f t="shared" si="99"/>
        <v>8250</v>
      </c>
      <c r="X52" s="5">
        <f t="shared" si="111"/>
        <v>11250</v>
      </c>
      <c r="Y52" s="15" t="s">
        <v>69</v>
      </c>
      <c r="Z52" s="5" t="s">
        <v>242</v>
      </c>
      <c r="AA52" s="5">
        <f t="shared" ref="AA52:AA54" si="124">P52*14</f>
        <v>0</v>
      </c>
      <c r="AB52" s="5">
        <v>0</v>
      </c>
      <c r="AC52" s="5">
        <f t="shared" ref="AC52:AC54" si="125">AA52*AB52</f>
        <v>0</v>
      </c>
      <c r="AD52" s="5">
        <f t="shared" ref="AD52:AD54" si="126">AA52</f>
        <v>0</v>
      </c>
      <c r="AE52" s="5">
        <v>0</v>
      </c>
      <c r="AF52" s="5" t="str">
        <f t="shared" ref="AF52:AF54" si="127">IF(AA52&gt;90,"YES","NO")</f>
        <v>NO</v>
      </c>
      <c r="AG52" s="5">
        <f t="shared" ref="AG52:AG54" si="128">X52+AC52</f>
        <v>11250</v>
      </c>
      <c r="AH52" s="5" t="s">
        <v>57</v>
      </c>
      <c r="AI52" s="5"/>
      <c r="AJ52" s="5"/>
      <c r="AK52" s="5">
        <f t="shared" ref="AK52:AK55" si="129">N52*Q52</f>
        <v>19500</v>
      </c>
      <c r="AL52" s="5">
        <f t="shared" ref="AL52:AL56" si="130">AK52-K52</f>
        <v>4500</v>
      </c>
      <c r="AM52" s="5">
        <v>0</v>
      </c>
      <c r="AN52" s="32">
        <f t="shared" ref="AN52:AN54" si="131">AL52/Q52</f>
        <v>173.07692307692307</v>
      </c>
      <c r="AO52" s="32">
        <f t="shared" ref="AO52:AO54" si="132">AN52*AM52</f>
        <v>0</v>
      </c>
      <c r="AP52" s="4">
        <v>46163</v>
      </c>
      <c r="AQ52" s="4">
        <v>46165</v>
      </c>
      <c r="AR52" s="4">
        <v>46175</v>
      </c>
      <c r="AT52" s="5" t="str">
        <f t="shared" si="15"/>
        <v>ACTIVE</v>
      </c>
      <c r="AU52" s="6"/>
      <c r="AV52" s="6"/>
      <c r="AW52" s="6"/>
      <c r="AX52" s="6"/>
    </row>
    <row r="53" spans="1:50" ht="18.75">
      <c r="A53" s="28" t="str">
        <f t="shared" si="122"/>
        <v>ACTIVE</v>
      </c>
      <c r="B53" s="5" t="s">
        <v>48</v>
      </c>
      <c r="C53" s="5" t="s">
        <v>49</v>
      </c>
      <c r="D53" s="5" t="s">
        <v>50</v>
      </c>
      <c r="E53" s="5" t="s">
        <v>51</v>
      </c>
      <c r="F53" s="5" t="s">
        <v>173</v>
      </c>
      <c r="G53" s="10" t="s">
        <v>225</v>
      </c>
      <c r="H53" s="10" t="s">
        <v>247</v>
      </c>
      <c r="I53" s="10" t="s">
        <v>250</v>
      </c>
      <c r="J53" s="10">
        <v>8607470754</v>
      </c>
      <c r="K53" s="3">
        <v>20000</v>
      </c>
      <c r="L53" s="10">
        <v>1580</v>
      </c>
      <c r="M53" s="10">
        <f t="shared" si="1"/>
        <v>18420</v>
      </c>
      <c r="N53" s="3">
        <v>800</v>
      </c>
      <c r="O53" s="29">
        <f t="shared" si="123"/>
        <v>0</v>
      </c>
      <c r="P53" s="5">
        <v>0</v>
      </c>
      <c r="Q53" s="6">
        <v>34</v>
      </c>
      <c r="R53" s="6">
        <v>11</v>
      </c>
      <c r="S53" s="5">
        <f t="shared" si="87"/>
        <v>23</v>
      </c>
      <c r="T53" s="30">
        <v>0</v>
      </c>
      <c r="U53" s="31"/>
      <c r="V53" s="31"/>
      <c r="W53" s="5">
        <f t="shared" si="99"/>
        <v>8800</v>
      </c>
      <c r="X53" s="5">
        <f t="shared" si="111"/>
        <v>18400</v>
      </c>
      <c r="Y53" s="15" t="s">
        <v>69</v>
      </c>
      <c r="Z53" s="5" t="s">
        <v>243</v>
      </c>
      <c r="AA53" s="5">
        <f t="shared" si="124"/>
        <v>0</v>
      </c>
      <c r="AB53" s="5">
        <v>0</v>
      </c>
      <c r="AC53" s="5">
        <f t="shared" si="125"/>
        <v>0</v>
      </c>
      <c r="AD53" s="5">
        <f t="shared" si="126"/>
        <v>0</v>
      </c>
      <c r="AE53" s="5">
        <v>0</v>
      </c>
      <c r="AF53" s="5" t="str">
        <f t="shared" si="127"/>
        <v>NO</v>
      </c>
      <c r="AG53" s="5">
        <f t="shared" si="128"/>
        <v>18400</v>
      </c>
      <c r="AH53" s="5" t="s">
        <v>57</v>
      </c>
      <c r="AI53" s="5"/>
      <c r="AJ53" s="5"/>
      <c r="AK53" s="5">
        <f t="shared" si="129"/>
        <v>27200</v>
      </c>
      <c r="AL53" s="5">
        <f t="shared" si="130"/>
        <v>7200</v>
      </c>
      <c r="AM53" s="5">
        <v>0</v>
      </c>
      <c r="AN53" s="32">
        <f t="shared" si="131"/>
        <v>211.76470588235293</v>
      </c>
      <c r="AO53" s="32">
        <f t="shared" si="132"/>
        <v>0</v>
      </c>
      <c r="AP53" s="4">
        <v>46161</v>
      </c>
      <c r="AQ53" s="4">
        <v>46165</v>
      </c>
      <c r="AR53" s="4">
        <v>46175</v>
      </c>
      <c r="AT53" s="5" t="str">
        <f t="shared" si="15"/>
        <v>ACTIVE</v>
      </c>
      <c r="AU53" s="6"/>
      <c r="AV53" s="6"/>
      <c r="AW53" s="6"/>
      <c r="AX53" s="6"/>
    </row>
    <row r="54" spans="1:50" ht="18.75">
      <c r="A54" s="28" t="str">
        <f t="shared" si="122"/>
        <v>ACTIVE</v>
      </c>
      <c r="B54" s="5" t="s">
        <v>48</v>
      </c>
      <c r="C54" s="5" t="s">
        <v>49</v>
      </c>
      <c r="D54" s="5" t="s">
        <v>50</v>
      </c>
      <c r="E54" s="5" t="s">
        <v>51</v>
      </c>
      <c r="F54" s="5" t="s">
        <v>173</v>
      </c>
      <c r="G54" s="10" t="s">
        <v>226</v>
      </c>
      <c r="H54" s="10" t="s">
        <v>248</v>
      </c>
      <c r="I54" s="10" t="s">
        <v>251</v>
      </c>
      <c r="J54" s="10">
        <v>8929903323</v>
      </c>
      <c r="K54" s="3">
        <v>20000</v>
      </c>
      <c r="L54" s="10">
        <v>1580</v>
      </c>
      <c r="M54" s="10">
        <f t="shared" si="1"/>
        <v>18420</v>
      </c>
      <c r="N54" s="3">
        <v>800</v>
      </c>
      <c r="O54" s="29">
        <f t="shared" si="123"/>
        <v>0</v>
      </c>
      <c r="P54" s="5">
        <v>0</v>
      </c>
      <c r="Q54" s="6">
        <v>34</v>
      </c>
      <c r="R54" s="6">
        <v>11</v>
      </c>
      <c r="S54" s="5">
        <f t="shared" si="87"/>
        <v>23</v>
      </c>
      <c r="T54" s="30">
        <v>0</v>
      </c>
      <c r="U54" s="31"/>
      <c r="V54" s="31"/>
      <c r="W54" s="5">
        <f t="shared" si="99"/>
        <v>8800</v>
      </c>
      <c r="X54" s="5">
        <f t="shared" si="111"/>
        <v>18400</v>
      </c>
      <c r="Y54" s="15" t="s">
        <v>69</v>
      </c>
      <c r="Z54" s="5" t="s">
        <v>244</v>
      </c>
      <c r="AA54" s="5">
        <f t="shared" si="124"/>
        <v>0</v>
      </c>
      <c r="AB54" s="5">
        <v>0</v>
      </c>
      <c r="AC54" s="5">
        <f t="shared" si="125"/>
        <v>0</v>
      </c>
      <c r="AD54" s="5">
        <f t="shared" si="126"/>
        <v>0</v>
      </c>
      <c r="AE54" s="5">
        <v>0</v>
      </c>
      <c r="AF54" s="5" t="str">
        <f t="shared" si="127"/>
        <v>NO</v>
      </c>
      <c r="AG54" s="5">
        <f t="shared" si="128"/>
        <v>18400</v>
      </c>
      <c r="AH54" s="5" t="s">
        <v>57</v>
      </c>
      <c r="AI54" s="5"/>
      <c r="AJ54" s="5"/>
      <c r="AK54" s="5">
        <f t="shared" si="129"/>
        <v>27200</v>
      </c>
      <c r="AL54" s="5">
        <f t="shared" si="130"/>
        <v>7200</v>
      </c>
      <c r="AM54" s="5">
        <v>0</v>
      </c>
      <c r="AN54" s="32">
        <f t="shared" si="131"/>
        <v>211.76470588235293</v>
      </c>
      <c r="AO54" s="32">
        <f t="shared" si="132"/>
        <v>0</v>
      </c>
      <c r="AP54" s="4">
        <v>46164</v>
      </c>
      <c r="AQ54" s="4">
        <v>46165</v>
      </c>
      <c r="AR54" s="4">
        <v>46175</v>
      </c>
      <c r="AT54" s="5" t="str">
        <f t="shared" si="15"/>
        <v>ACTIVE</v>
      </c>
      <c r="AU54" s="6"/>
      <c r="AV54" s="6"/>
      <c r="AW54" s="6"/>
      <c r="AX54" s="6"/>
    </row>
    <row r="55" spans="1:50" ht="18.75">
      <c r="A55" s="28" t="str">
        <f t="shared" ref="A55:A56" si="133">IF(X55=0,"CLOSE","ACTIVE")</f>
        <v>ACTIVE</v>
      </c>
      <c r="B55" s="5" t="s">
        <v>48</v>
      </c>
      <c r="C55" s="5" t="s">
        <v>49</v>
      </c>
      <c r="D55" s="5" t="s">
        <v>50</v>
      </c>
      <c r="E55" s="5" t="s">
        <v>51</v>
      </c>
      <c r="F55" s="5" t="s">
        <v>173</v>
      </c>
      <c r="G55" s="10" t="s">
        <v>226</v>
      </c>
      <c r="H55" s="10" t="s">
        <v>120</v>
      </c>
      <c r="I55" s="10" t="s">
        <v>253</v>
      </c>
      <c r="J55" s="10">
        <v>8930304731</v>
      </c>
      <c r="K55" s="3">
        <v>20000</v>
      </c>
      <c r="L55" s="10">
        <v>1580</v>
      </c>
      <c r="M55" s="10">
        <f t="shared" si="1"/>
        <v>18420</v>
      </c>
      <c r="N55" s="3">
        <v>800</v>
      </c>
      <c r="O55" s="29">
        <f t="shared" ref="O55" si="134">N55*P55</f>
        <v>0</v>
      </c>
      <c r="P55" s="5">
        <v>0</v>
      </c>
      <c r="Q55" s="6">
        <v>34</v>
      </c>
      <c r="R55" s="6">
        <v>11</v>
      </c>
      <c r="S55" s="5">
        <f t="shared" si="87"/>
        <v>23</v>
      </c>
      <c r="T55" s="30">
        <v>0</v>
      </c>
      <c r="U55" s="31"/>
      <c r="V55" s="31"/>
      <c r="W55" s="5">
        <f t="shared" si="99"/>
        <v>8800</v>
      </c>
      <c r="X55" s="5">
        <f t="shared" si="111"/>
        <v>18400</v>
      </c>
      <c r="Y55" s="15" t="s">
        <v>69</v>
      </c>
      <c r="Z55" s="5" t="s">
        <v>252</v>
      </c>
      <c r="AA55" s="5">
        <f t="shared" ref="AA55" si="135">P55*14</f>
        <v>0</v>
      </c>
      <c r="AB55" s="5">
        <v>0</v>
      </c>
      <c r="AC55" s="5">
        <f t="shared" ref="AC55" si="136">AA55*AB55</f>
        <v>0</v>
      </c>
      <c r="AD55" s="5">
        <f t="shared" ref="AD55" si="137">AA55</f>
        <v>0</v>
      </c>
      <c r="AE55" s="5">
        <v>0</v>
      </c>
      <c r="AF55" s="5" t="str">
        <f t="shared" ref="AF55" si="138">IF(AA55&gt;90,"YES","NO")</f>
        <v>NO</v>
      </c>
      <c r="AG55" s="5">
        <f t="shared" ref="AG55" si="139">X55+AC55</f>
        <v>18400</v>
      </c>
      <c r="AH55" s="5" t="s">
        <v>57</v>
      </c>
      <c r="AI55" s="5"/>
      <c r="AJ55" s="5"/>
      <c r="AK55" s="5">
        <f t="shared" si="129"/>
        <v>27200</v>
      </c>
      <c r="AL55" s="5">
        <f t="shared" si="130"/>
        <v>7200</v>
      </c>
      <c r="AM55" s="5">
        <v>0</v>
      </c>
      <c r="AN55" s="32">
        <f t="shared" ref="AN55" si="140">AL55/Q55</f>
        <v>211.76470588235293</v>
      </c>
      <c r="AO55" s="32">
        <f t="shared" ref="AO55" si="141">AN55*AM55</f>
        <v>0</v>
      </c>
      <c r="AP55" s="4">
        <v>46165</v>
      </c>
      <c r="AQ55" s="4">
        <v>46167</v>
      </c>
      <c r="AR55" s="4">
        <v>46175</v>
      </c>
      <c r="AT55" s="5" t="str">
        <f t="shared" si="15"/>
        <v>ACTIVE</v>
      </c>
      <c r="AU55" s="6"/>
      <c r="AV55" s="6"/>
      <c r="AW55" s="6"/>
      <c r="AX55" s="6"/>
    </row>
    <row r="56" spans="1:50" ht="18.75">
      <c r="A56" s="28" t="str">
        <f t="shared" si="133"/>
        <v>ACTIVE</v>
      </c>
      <c r="B56" s="5" t="s">
        <v>48</v>
      </c>
      <c r="C56" s="5" t="s">
        <v>49</v>
      </c>
      <c r="D56" s="5" t="s">
        <v>50</v>
      </c>
      <c r="E56" s="5" t="s">
        <v>51</v>
      </c>
      <c r="F56" s="5" t="s">
        <v>173</v>
      </c>
      <c r="G56" s="10" t="s">
        <v>257</v>
      </c>
      <c r="H56" s="10" t="s">
        <v>258</v>
      </c>
      <c r="I56" s="10" t="s">
        <v>259</v>
      </c>
      <c r="J56" s="10">
        <v>7355860393</v>
      </c>
      <c r="K56" s="3">
        <v>15000</v>
      </c>
      <c r="L56" s="10">
        <v>1260</v>
      </c>
      <c r="M56" s="10">
        <f t="shared" si="1"/>
        <v>13740</v>
      </c>
      <c r="N56" s="3">
        <v>750</v>
      </c>
      <c r="O56" s="29">
        <f t="shared" ref="O56:O61" si="142">N56*P56</f>
        <v>0</v>
      </c>
      <c r="P56" s="5">
        <v>0</v>
      </c>
      <c r="Q56" s="6">
        <v>26</v>
      </c>
      <c r="R56" s="6">
        <v>11</v>
      </c>
      <c r="S56" s="5">
        <f t="shared" si="87"/>
        <v>15</v>
      </c>
      <c r="T56" s="30">
        <v>0</v>
      </c>
      <c r="U56" s="31"/>
      <c r="V56" s="31"/>
      <c r="W56" s="5">
        <f t="shared" si="99"/>
        <v>8250</v>
      </c>
      <c r="X56" s="5">
        <f t="shared" si="111"/>
        <v>11250</v>
      </c>
      <c r="Y56" s="15" t="s">
        <v>69</v>
      </c>
      <c r="Z56" s="5" t="s">
        <v>256</v>
      </c>
      <c r="AA56" s="5">
        <f t="shared" ref="AA56" si="143">P56*14</f>
        <v>0</v>
      </c>
      <c r="AB56" s="5">
        <v>0</v>
      </c>
      <c r="AC56" s="5">
        <f t="shared" ref="AC56" si="144">AA56*AB56</f>
        <v>0</v>
      </c>
      <c r="AD56" s="5">
        <f t="shared" ref="AD56" si="145">AA56</f>
        <v>0</v>
      </c>
      <c r="AE56" s="5">
        <v>0</v>
      </c>
      <c r="AF56" s="5" t="str">
        <f t="shared" ref="AF56" si="146">IF(AA56&gt;90,"YES","NO")</f>
        <v>NO</v>
      </c>
      <c r="AG56" s="5">
        <f t="shared" ref="AG56" si="147">X56+AC56</f>
        <v>11250</v>
      </c>
      <c r="AH56" s="5" t="s">
        <v>57</v>
      </c>
      <c r="AI56" s="5"/>
      <c r="AJ56" s="5"/>
      <c r="AK56" s="5">
        <f t="shared" ref="AK56" si="148">N56*Q56</f>
        <v>19500</v>
      </c>
      <c r="AL56" s="6">
        <f t="shared" si="130"/>
        <v>4500</v>
      </c>
      <c r="AM56" s="5">
        <v>0</v>
      </c>
      <c r="AN56" s="32">
        <f t="shared" ref="AN56" si="149">AL56/Q56</f>
        <v>173.07692307692307</v>
      </c>
      <c r="AO56" s="32">
        <f t="shared" ref="AO56" si="150">AN56*AM56</f>
        <v>0</v>
      </c>
      <c r="AP56" s="4">
        <v>46165</v>
      </c>
      <c r="AQ56" s="4">
        <v>46168</v>
      </c>
      <c r="AR56" s="4">
        <v>46175</v>
      </c>
      <c r="AT56" s="5" t="str">
        <f t="shared" si="15"/>
        <v>ACTIVE</v>
      </c>
      <c r="AU56" s="6"/>
      <c r="AV56" s="6"/>
      <c r="AW56" s="6"/>
      <c r="AX56" s="6"/>
    </row>
    <row r="57" spans="1:50" ht="18.75" hidden="1">
      <c r="A57" s="28" t="str">
        <f t="shared" ref="A57:A61" si="151">IF(X57=0,"CLOSE","ACTIVE")</f>
        <v>ACTIVE</v>
      </c>
      <c r="B57" s="5" t="s">
        <v>48</v>
      </c>
      <c r="C57" s="5" t="s">
        <v>49</v>
      </c>
      <c r="D57" s="5" t="s">
        <v>50</v>
      </c>
      <c r="E57" s="5" t="s">
        <v>51</v>
      </c>
      <c r="F57" s="5" t="s">
        <v>173</v>
      </c>
      <c r="G57" s="10" t="s">
        <v>197</v>
      </c>
      <c r="H57" s="10" t="s">
        <v>247</v>
      </c>
      <c r="I57" s="10" t="s">
        <v>267</v>
      </c>
      <c r="J57" s="10">
        <v>7027082504</v>
      </c>
      <c r="K57" s="3">
        <v>20000</v>
      </c>
      <c r="L57" s="10">
        <v>1580</v>
      </c>
      <c r="M57" s="10">
        <f t="shared" si="1"/>
        <v>18420</v>
      </c>
      <c r="N57" s="3">
        <v>800</v>
      </c>
      <c r="O57" s="29">
        <f t="shared" si="142"/>
        <v>0</v>
      </c>
      <c r="P57" s="5">
        <v>0</v>
      </c>
      <c r="Q57" s="6">
        <v>34</v>
      </c>
      <c r="R57" s="6">
        <v>10</v>
      </c>
      <c r="S57" s="5">
        <f t="shared" si="87"/>
        <v>24</v>
      </c>
      <c r="T57" s="30">
        <v>0</v>
      </c>
      <c r="U57" s="31"/>
      <c r="V57" s="31"/>
      <c r="W57" s="5">
        <f t="shared" ref="W57:W61" si="152">R57*N57+U57</f>
        <v>8000</v>
      </c>
      <c r="X57" s="5">
        <f t="shared" ref="X57:X114" si="153">N57*(P57+S57)+T57-U57</f>
        <v>19200</v>
      </c>
      <c r="Y57" s="15" t="s">
        <v>55</v>
      </c>
      <c r="Z57" s="5" t="s">
        <v>262</v>
      </c>
      <c r="AA57" s="5">
        <f t="shared" ref="AA57:AA61" si="154">P57*14</f>
        <v>0</v>
      </c>
      <c r="AB57" s="5">
        <v>0</v>
      </c>
      <c r="AC57" s="5">
        <f t="shared" ref="AC57:AC61" si="155">AA57*AB57</f>
        <v>0</v>
      </c>
      <c r="AD57" s="5">
        <f t="shared" ref="AD57:AD61" si="156">AA57</f>
        <v>0</v>
      </c>
      <c r="AE57" s="5">
        <v>0</v>
      </c>
      <c r="AF57" s="5" t="str">
        <f t="shared" ref="AF57:AF61" si="157">IF(AA57&gt;90,"YES","NO")</f>
        <v>NO</v>
      </c>
      <c r="AG57" s="5">
        <f t="shared" ref="AG57:AG61" si="158">X57+AC57</f>
        <v>19200</v>
      </c>
      <c r="AH57" s="5" t="s">
        <v>57</v>
      </c>
      <c r="AI57" s="5"/>
      <c r="AJ57" s="5"/>
      <c r="AK57" s="5">
        <f t="shared" ref="AK57:AK61" si="159">N57*Q57</f>
        <v>27200</v>
      </c>
      <c r="AL57" s="6">
        <f t="shared" ref="AL57:AL65" si="160">AK57-K57</f>
        <v>7200</v>
      </c>
      <c r="AM57" s="5">
        <v>0</v>
      </c>
      <c r="AN57" s="32">
        <f t="shared" ref="AN57:AN61" si="161">AL57/Q57</f>
        <v>211.76470588235293</v>
      </c>
      <c r="AO57" s="32">
        <f t="shared" ref="AO57:AO61" si="162">AN57*AM57</f>
        <v>0</v>
      </c>
      <c r="AP57" s="4">
        <v>46169</v>
      </c>
      <c r="AQ57" s="4">
        <v>46171</v>
      </c>
      <c r="AR57" s="4">
        <v>46183</v>
      </c>
      <c r="AT57" s="5" t="str">
        <f t="shared" si="15"/>
        <v>ACTIVE</v>
      </c>
      <c r="AU57" s="6"/>
      <c r="AV57" s="6"/>
      <c r="AW57" s="6"/>
      <c r="AX57" s="6"/>
    </row>
    <row r="58" spans="1:50" ht="18.75">
      <c r="A58" s="28" t="str">
        <f t="shared" si="151"/>
        <v>ACTIVE</v>
      </c>
      <c r="B58" s="5" t="s">
        <v>48</v>
      </c>
      <c r="C58" s="5" t="s">
        <v>49</v>
      </c>
      <c r="D58" s="5" t="s">
        <v>50</v>
      </c>
      <c r="E58" s="5" t="s">
        <v>51</v>
      </c>
      <c r="F58" s="5" t="s">
        <v>173</v>
      </c>
      <c r="G58" s="10" t="s">
        <v>196</v>
      </c>
      <c r="H58" s="10" t="s">
        <v>260</v>
      </c>
      <c r="I58" s="10" t="s">
        <v>268</v>
      </c>
      <c r="J58" s="10">
        <v>8936838477</v>
      </c>
      <c r="K58" s="3">
        <v>15000</v>
      </c>
      <c r="L58" s="10">
        <v>1260</v>
      </c>
      <c r="M58" s="10">
        <f t="shared" si="1"/>
        <v>13740</v>
      </c>
      <c r="N58" s="3">
        <v>750</v>
      </c>
      <c r="O58" s="29">
        <f t="shared" si="142"/>
        <v>0</v>
      </c>
      <c r="P58" s="5">
        <v>0</v>
      </c>
      <c r="Q58" s="6">
        <v>26</v>
      </c>
      <c r="R58" s="6">
        <v>10</v>
      </c>
      <c r="S58" s="5">
        <f t="shared" si="87"/>
        <v>16</v>
      </c>
      <c r="T58" s="30">
        <v>0</v>
      </c>
      <c r="U58" s="31"/>
      <c r="V58" s="31"/>
      <c r="W58" s="5">
        <f t="shared" si="152"/>
        <v>7500</v>
      </c>
      <c r="X58" s="5">
        <f t="shared" si="153"/>
        <v>12000</v>
      </c>
      <c r="Y58" s="15" t="s">
        <v>69</v>
      </c>
      <c r="Z58" s="5" t="s">
        <v>263</v>
      </c>
      <c r="AA58" s="5">
        <f t="shared" si="154"/>
        <v>0</v>
      </c>
      <c r="AB58" s="5">
        <v>0</v>
      </c>
      <c r="AC58" s="5">
        <f t="shared" si="155"/>
        <v>0</v>
      </c>
      <c r="AD58" s="5">
        <f t="shared" si="156"/>
        <v>0</v>
      </c>
      <c r="AE58" s="5">
        <v>0</v>
      </c>
      <c r="AF58" s="5" t="str">
        <f t="shared" si="157"/>
        <v>NO</v>
      </c>
      <c r="AG58" s="5">
        <f t="shared" si="158"/>
        <v>12000</v>
      </c>
      <c r="AH58" s="5" t="s">
        <v>57</v>
      </c>
      <c r="AI58" s="5"/>
      <c r="AJ58" s="5"/>
      <c r="AK58" s="5">
        <f t="shared" si="159"/>
        <v>19500</v>
      </c>
      <c r="AL58" s="6">
        <f t="shared" si="160"/>
        <v>4500</v>
      </c>
      <c r="AM58" s="5">
        <v>0</v>
      </c>
      <c r="AN58" s="32">
        <f t="shared" si="161"/>
        <v>173.07692307692307</v>
      </c>
      <c r="AO58" s="32">
        <f t="shared" si="162"/>
        <v>0</v>
      </c>
      <c r="AP58" s="4">
        <v>46169</v>
      </c>
      <c r="AQ58" s="4">
        <v>46171</v>
      </c>
      <c r="AR58" s="4">
        <v>46182</v>
      </c>
      <c r="AT58" s="5" t="str">
        <f t="shared" si="15"/>
        <v>ACTIVE</v>
      </c>
      <c r="AU58" s="6"/>
      <c r="AV58" s="6"/>
      <c r="AW58" s="6"/>
      <c r="AX58" s="6"/>
    </row>
    <row r="59" spans="1:50" s="95" customFormat="1" ht="18.75" hidden="1">
      <c r="A59" s="76" t="str">
        <f t="shared" si="151"/>
        <v>CLOSE</v>
      </c>
      <c r="B59" s="76" t="s">
        <v>48</v>
      </c>
      <c r="C59" s="76" t="s">
        <v>49</v>
      </c>
      <c r="D59" s="76" t="s">
        <v>50</v>
      </c>
      <c r="E59" s="76" t="s">
        <v>51</v>
      </c>
      <c r="F59" s="76" t="s">
        <v>173</v>
      </c>
      <c r="G59" s="51" t="s">
        <v>49</v>
      </c>
      <c r="H59" s="51" t="s">
        <v>254</v>
      </c>
      <c r="I59" s="51" t="s">
        <v>269</v>
      </c>
      <c r="J59" s="51">
        <v>9729160317</v>
      </c>
      <c r="K59" s="95">
        <v>15000</v>
      </c>
      <c r="L59" s="51">
        <v>1260</v>
      </c>
      <c r="M59" s="51">
        <f t="shared" si="1"/>
        <v>13740</v>
      </c>
      <c r="N59" s="95">
        <v>750</v>
      </c>
      <c r="O59" s="76">
        <f t="shared" si="142"/>
        <v>0</v>
      </c>
      <c r="P59" s="76">
        <v>0</v>
      </c>
      <c r="Q59" s="9">
        <v>26</v>
      </c>
      <c r="R59" s="9">
        <v>26</v>
      </c>
      <c r="S59" s="76">
        <f t="shared" si="87"/>
        <v>0</v>
      </c>
      <c r="T59" s="76">
        <v>0</v>
      </c>
      <c r="U59" s="76"/>
      <c r="V59" s="76"/>
      <c r="W59" s="76">
        <f t="shared" si="152"/>
        <v>19500</v>
      </c>
      <c r="X59" s="76">
        <f t="shared" si="153"/>
        <v>0</v>
      </c>
      <c r="Y59" s="49" t="s">
        <v>55</v>
      </c>
      <c r="Z59" s="76" t="s">
        <v>264</v>
      </c>
      <c r="AA59" s="76">
        <f t="shared" si="154"/>
        <v>0</v>
      </c>
      <c r="AB59" s="76">
        <v>0</v>
      </c>
      <c r="AC59" s="76">
        <f t="shared" si="155"/>
        <v>0</v>
      </c>
      <c r="AD59" s="76">
        <f t="shared" si="156"/>
        <v>0</v>
      </c>
      <c r="AE59" s="76">
        <v>0</v>
      </c>
      <c r="AF59" s="76" t="str">
        <f t="shared" si="157"/>
        <v>NO</v>
      </c>
      <c r="AG59" s="76">
        <f t="shared" si="158"/>
        <v>0</v>
      </c>
      <c r="AH59" s="76" t="s">
        <v>57</v>
      </c>
      <c r="AI59" s="76"/>
      <c r="AJ59" s="76"/>
      <c r="AK59" s="76">
        <f t="shared" si="159"/>
        <v>19500</v>
      </c>
      <c r="AL59" s="9">
        <f t="shared" si="160"/>
        <v>4500</v>
      </c>
      <c r="AM59" s="76">
        <v>0</v>
      </c>
      <c r="AN59" s="77">
        <f t="shared" si="161"/>
        <v>173.07692307692307</v>
      </c>
      <c r="AO59" s="77">
        <f t="shared" si="162"/>
        <v>0</v>
      </c>
      <c r="AP59" s="145">
        <v>46161</v>
      </c>
      <c r="AQ59" s="145">
        <v>46171</v>
      </c>
      <c r="AR59" s="145">
        <v>46176</v>
      </c>
      <c r="AT59" s="76" t="str">
        <f t="shared" si="15"/>
        <v>CLOSE</v>
      </c>
      <c r="AU59" s="78">
        <v>46248</v>
      </c>
      <c r="AV59" s="9"/>
      <c r="AW59" s="9" t="s">
        <v>518</v>
      </c>
      <c r="AX59" s="9">
        <v>12000</v>
      </c>
    </row>
    <row r="60" spans="1:50" ht="18.75" hidden="1">
      <c r="A60" s="28" t="str">
        <f t="shared" si="151"/>
        <v>ACTIVE</v>
      </c>
      <c r="B60" s="5" t="s">
        <v>48</v>
      </c>
      <c r="C60" s="5" t="s">
        <v>49</v>
      </c>
      <c r="D60" s="5" t="s">
        <v>50</v>
      </c>
      <c r="E60" s="5" t="s">
        <v>51</v>
      </c>
      <c r="F60" s="5" t="s">
        <v>173</v>
      </c>
      <c r="G60" s="10" t="s">
        <v>49</v>
      </c>
      <c r="H60" s="10" t="s">
        <v>261</v>
      </c>
      <c r="I60" s="10" t="s">
        <v>270</v>
      </c>
      <c r="J60" s="10">
        <v>9991081679</v>
      </c>
      <c r="K60" s="3">
        <v>20000</v>
      </c>
      <c r="L60" s="10">
        <v>1580</v>
      </c>
      <c r="M60" s="10">
        <f t="shared" si="1"/>
        <v>18420</v>
      </c>
      <c r="N60" s="3">
        <v>800</v>
      </c>
      <c r="O60" s="29">
        <f t="shared" si="142"/>
        <v>0</v>
      </c>
      <c r="P60" s="5">
        <v>0</v>
      </c>
      <c r="Q60" s="6">
        <v>34</v>
      </c>
      <c r="R60" s="6">
        <v>10</v>
      </c>
      <c r="S60" s="5">
        <f t="shared" si="87"/>
        <v>24</v>
      </c>
      <c r="T60" s="30">
        <v>0</v>
      </c>
      <c r="U60" s="31"/>
      <c r="V60" s="31"/>
      <c r="W60" s="5">
        <f t="shared" si="152"/>
        <v>8000</v>
      </c>
      <c r="X60" s="5">
        <f t="shared" si="153"/>
        <v>19200</v>
      </c>
      <c r="Y60" s="15" t="s">
        <v>55</v>
      </c>
      <c r="Z60" s="5" t="s">
        <v>265</v>
      </c>
      <c r="AA60" s="5">
        <f t="shared" si="154"/>
        <v>0</v>
      </c>
      <c r="AB60" s="5">
        <v>0</v>
      </c>
      <c r="AC60" s="5">
        <f t="shared" si="155"/>
        <v>0</v>
      </c>
      <c r="AD60" s="5">
        <f t="shared" si="156"/>
        <v>0</v>
      </c>
      <c r="AE60" s="5">
        <v>0</v>
      </c>
      <c r="AF60" s="5" t="str">
        <f t="shared" si="157"/>
        <v>NO</v>
      </c>
      <c r="AG60" s="5">
        <f t="shared" si="158"/>
        <v>19200</v>
      </c>
      <c r="AH60" s="5" t="s">
        <v>57</v>
      </c>
      <c r="AI60" s="5"/>
      <c r="AJ60" s="5"/>
      <c r="AK60" s="5">
        <f t="shared" si="159"/>
        <v>27200</v>
      </c>
      <c r="AL60" s="6">
        <f t="shared" si="160"/>
        <v>7200</v>
      </c>
      <c r="AM60" s="5">
        <v>0</v>
      </c>
      <c r="AN60" s="32">
        <f t="shared" si="161"/>
        <v>211.76470588235293</v>
      </c>
      <c r="AO60" s="32">
        <f t="shared" si="162"/>
        <v>0</v>
      </c>
      <c r="AP60" s="4">
        <v>46170</v>
      </c>
      <c r="AQ60" s="4">
        <v>46171</v>
      </c>
      <c r="AR60" s="4">
        <v>46183</v>
      </c>
      <c r="AT60" s="5" t="str">
        <f t="shared" si="15"/>
        <v>ACTIVE</v>
      </c>
      <c r="AU60" s="6"/>
      <c r="AV60" s="6"/>
      <c r="AW60" s="6"/>
      <c r="AX60" s="6"/>
    </row>
    <row r="61" spans="1:50" ht="18.75">
      <c r="A61" s="28" t="str">
        <f t="shared" si="151"/>
        <v>ACTIVE</v>
      </c>
      <c r="B61" s="5" t="s">
        <v>48</v>
      </c>
      <c r="C61" s="5" t="s">
        <v>49</v>
      </c>
      <c r="D61" s="5" t="s">
        <v>50</v>
      </c>
      <c r="E61" s="5" t="s">
        <v>51</v>
      </c>
      <c r="F61" s="5" t="s">
        <v>173</v>
      </c>
      <c r="G61" s="10" t="s">
        <v>196</v>
      </c>
      <c r="H61" s="10" t="s">
        <v>239</v>
      </c>
      <c r="I61" s="10" t="s">
        <v>235</v>
      </c>
      <c r="J61" s="10">
        <v>9728139162</v>
      </c>
      <c r="K61" s="3">
        <v>15000</v>
      </c>
      <c r="L61" s="10">
        <v>1260</v>
      </c>
      <c r="M61" s="10">
        <f t="shared" si="1"/>
        <v>13740</v>
      </c>
      <c r="N61" s="3">
        <v>750</v>
      </c>
      <c r="O61" s="29">
        <f t="shared" si="142"/>
        <v>0</v>
      </c>
      <c r="P61" s="5">
        <v>0</v>
      </c>
      <c r="Q61" s="6">
        <v>26</v>
      </c>
      <c r="R61" s="6">
        <v>10</v>
      </c>
      <c r="S61" s="5">
        <f t="shared" si="87"/>
        <v>16</v>
      </c>
      <c r="T61" s="30">
        <v>0</v>
      </c>
      <c r="U61" s="31"/>
      <c r="V61" s="31"/>
      <c r="W61" s="5">
        <f t="shared" si="152"/>
        <v>7500</v>
      </c>
      <c r="X61" s="5">
        <f t="shared" si="153"/>
        <v>12000</v>
      </c>
      <c r="Y61" s="15" t="s">
        <v>69</v>
      </c>
      <c r="Z61" s="5" t="s">
        <v>266</v>
      </c>
      <c r="AA61" s="5">
        <f t="shared" si="154"/>
        <v>0</v>
      </c>
      <c r="AB61" s="5">
        <v>0</v>
      </c>
      <c r="AC61" s="5">
        <f t="shared" si="155"/>
        <v>0</v>
      </c>
      <c r="AD61" s="5">
        <f t="shared" si="156"/>
        <v>0</v>
      </c>
      <c r="AE61" s="5">
        <v>0</v>
      </c>
      <c r="AF61" s="5" t="str">
        <f t="shared" si="157"/>
        <v>NO</v>
      </c>
      <c r="AG61" s="5">
        <f t="shared" si="158"/>
        <v>12000</v>
      </c>
      <c r="AH61" s="5" t="s">
        <v>57</v>
      </c>
      <c r="AI61" s="5"/>
      <c r="AJ61" s="5"/>
      <c r="AK61" s="5">
        <f t="shared" si="159"/>
        <v>19500</v>
      </c>
      <c r="AL61" s="6">
        <f t="shared" si="160"/>
        <v>4500</v>
      </c>
      <c r="AM61" s="5">
        <v>0</v>
      </c>
      <c r="AN61" s="32">
        <f t="shared" si="161"/>
        <v>173.07692307692307</v>
      </c>
      <c r="AO61" s="32">
        <f t="shared" si="162"/>
        <v>0</v>
      </c>
      <c r="AP61" s="4">
        <v>46169</v>
      </c>
      <c r="AQ61" s="4">
        <v>46171</v>
      </c>
      <c r="AR61" s="4">
        <v>46182</v>
      </c>
      <c r="AT61" s="5" t="str">
        <f t="shared" si="15"/>
        <v>ACTIVE</v>
      </c>
      <c r="AU61" s="6"/>
      <c r="AV61" s="6"/>
      <c r="AW61" s="6"/>
      <c r="AX61" s="6"/>
    </row>
    <row r="62" spans="1:50" ht="18.75" hidden="1">
      <c r="A62" s="28" t="str">
        <f t="shared" ref="A62:A64" si="163">IF(X62=0,"CLOSE","ACTIVE")</f>
        <v>ACTIVE</v>
      </c>
      <c r="B62" s="5" t="s">
        <v>48</v>
      </c>
      <c r="C62" s="5" t="s">
        <v>49</v>
      </c>
      <c r="D62" s="5" t="s">
        <v>50</v>
      </c>
      <c r="E62" s="5" t="s">
        <v>51</v>
      </c>
      <c r="F62" s="5" t="s">
        <v>173</v>
      </c>
      <c r="G62" s="10" t="s">
        <v>278</v>
      </c>
      <c r="H62" s="10" t="s">
        <v>271</v>
      </c>
      <c r="I62" s="10" t="s">
        <v>280</v>
      </c>
      <c r="J62" s="10">
        <v>9466502084</v>
      </c>
      <c r="K62" s="3">
        <v>15000</v>
      </c>
      <c r="L62" s="10">
        <v>1260</v>
      </c>
      <c r="M62" s="10">
        <f t="shared" si="1"/>
        <v>13740</v>
      </c>
      <c r="N62" s="3">
        <v>750</v>
      </c>
      <c r="O62" s="29">
        <f t="shared" ref="O62:O65" si="164">N62*P62</f>
        <v>0</v>
      </c>
      <c r="P62" s="5">
        <v>0</v>
      </c>
      <c r="Q62" s="6">
        <v>26</v>
      </c>
      <c r="R62" s="6">
        <v>10</v>
      </c>
      <c r="S62" s="5">
        <f t="shared" si="87"/>
        <v>16</v>
      </c>
      <c r="T62" s="30">
        <v>0</v>
      </c>
      <c r="U62" s="31"/>
      <c r="V62" s="31"/>
      <c r="W62" s="5">
        <f t="shared" ref="W62:W114" si="165">R62*N62+U62</f>
        <v>7500</v>
      </c>
      <c r="X62" s="5">
        <f t="shared" si="153"/>
        <v>12000</v>
      </c>
      <c r="Y62" s="15" t="s">
        <v>55</v>
      </c>
      <c r="Z62" s="5" t="s">
        <v>275</v>
      </c>
      <c r="AA62" s="5">
        <f t="shared" ref="AA62:AA65" si="166">P62*14</f>
        <v>0</v>
      </c>
      <c r="AB62" s="5">
        <v>0</v>
      </c>
      <c r="AC62" s="5">
        <f t="shared" ref="AC62:AC65" si="167">AA62*AB62</f>
        <v>0</v>
      </c>
      <c r="AD62" s="5">
        <f t="shared" ref="AD62:AD65" si="168">AA62</f>
        <v>0</v>
      </c>
      <c r="AE62" s="5">
        <v>0</v>
      </c>
      <c r="AF62" s="5" t="str">
        <f t="shared" ref="AF62:AF65" si="169">IF(AA62&gt;90,"YES","NO")</f>
        <v>NO</v>
      </c>
      <c r="AG62" s="5">
        <f t="shared" ref="AG62:AG65" si="170">X62+AC62</f>
        <v>12000</v>
      </c>
      <c r="AH62" s="5" t="s">
        <v>57</v>
      </c>
      <c r="AI62" s="5"/>
      <c r="AJ62" s="5"/>
      <c r="AK62" s="5">
        <f t="shared" ref="AK62:AK65" si="171">N62*Q62</f>
        <v>19500</v>
      </c>
      <c r="AL62" s="6">
        <f t="shared" si="160"/>
        <v>4500</v>
      </c>
      <c r="AM62" s="5">
        <v>0</v>
      </c>
      <c r="AN62" s="32">
        <f t="shared" ref="AN62:AN65" si="172">AL62/Q62</f>
        <v>173.07692307692307</v>
      </c>
      <c r="AO62" s="32">
        <f t="shared" ref="AO62:AO65" si="173">AN62*AM62</f>
        <v>0</v>
      </c>
      <c r="AP62" s="4">
        <v>46167</v>
      </c>
      <c r="AQ62" s="4">
        <v>46172</v>
      </c>
      <c r="AR62" s="4">
        <v>46183</v>
      </c>
      <c r="AT62" s="5" t="str">
        <f t="shared" si="15"/>
        <v>ACTIVE</v>
      </c>
      <c r="AU62" s="6"/>
      <c r="AV62" s="6"/>
      <c r="AW62" s="6"/>
      <c r="AX62" s="6"/>
    </row>
    <row r="63" spans="1:50" ht="18.75" hidden="1">
      <c r="A63" s="28" t="str">
        <f t="shared" si="163"/>
        <v>ACTIVE</v>
      </c>
      <c r="B63" s="5" t="s">
        <v>48</v>
      </c>
      <c r="C63" s="5" t="s">
        <v>49</v>
      </c>
      <c r="D63" s="5" t="s">
        <v>50</v>
      </c>
      <c r="E63" s="5" t="s">
        <v>51</v>
      </c>
      <c r="F63" s="5" t="s">
        <v>173</v>
      </c>
      <c r="G63" s="10" t="s">
        <v>279</v>
      </c>
      <c r="H63" s="10" t="s">
        <v>272</v>
      </c>
      <c r="I63" s="10" t="s">
        <v>281</v>
      </c>
      <c r="J63" s="10">
        <v>8168586120</v>
      </c>
      <c r="K63" s="3">
        <v>20000</v>
      </c>
      <c r="L63" s="10">
        <v>1580</v>
      </c>
      <c r="M63" s="10">
        <f t="shared" si="1"/>
        <v>18420</v>
      </c>
      <c r="N63" s="3">
        <v>800</v>
      </c>
      <c r="O63" s="29">
        <f t="shared" si="164"/>
        <v>0</v>
      </c>
      <c r="P63" s="5">
        <v>0</v>
      </c>
      <c r="Q63" s="6">
        <v>34</v>
      </c>
      <c r="R63" s="6">
        <v>10</v>
      </c>
      <c r="S63" s="5">
        <f t="shared" si="87"/>
        <v>24</v>
      </c>
      <c r="T63" s="30">
        <v>0</v>
      </c>
      <c r="U63" s="31"/>
      <c r="V63" s="31"/>
      <c r="W63" s="5">
        <f t="shared" si="165"/>
        <v>8000</v>
      </c>
      <c r="X63" s="5">
        <f t="shared" si="153"/>
        <v>19200</v>
      </c>
      <c r="Y63" s="15" t="s">
        <v>55</v>
      </c>
      <c r="Z63" s="5" t="s">
        <v>276</v>
      </c>
      <c r="AA63" s="5">
        <f t="shared" si="166"/>
        <v>0</v>
      </c>
      <c r="AB63" s="5">
        <v>0</v>
      </c>
      <c r="AC63" s="5">
        <f t="shared" si="167"/>
        <v>0</v>
      </c>
      <c r="AD63" s="5">
        <f t="shared" si="168"/>
        <v>0</v>
      </c>
      <c r="AE63" s="5">
        <v>0</v>
      </c>
      <c r="AF63" s="5" t="str">
        <f t="shared" si="169"/>
        <v>NO</v>
      </c>
      <c r="AG63" s="5">
        <f t="shared" si="170"/>
        <v>19200</v>
      </c>
      <c r="AH63" s="5" t="s">
        <v>57</v>
      </c>
      <c r="AI63" s="5"/>
      <c r="AJ63" s="5"/>
      <c r="AK63" s="5">
        <f t="shared" si="171"/>
        <v>27200</v>
      </c>
      <c r="AL63" s="6">
        <f t="shared" si="160"/>
        <v>7200</v>
      </c>
      <c r="AM63" s="5">
        <v>0</v>
      </c>
      <c r="AN63" s="32">
        <f t="shared" si="172"/>
        <v>211.76470588235293</v>
      </c>
      <c r="AO63" s="32">
        <f t="shared" si="173"/>
        <v>0</v>
      </c>
      <c r="AP63" s="4">
        <v>46171</v>
      </c>
      <c r="AQ63" s="4">
        <v>46172</v>
      </c>
      <c r="AR63" s="4">
        <v>46183</v>
      </c>
      <c r="AT63" s="5" t="str">
        <f t="shared" si="15"/>
        <v>ACTIVE</v>
      </c>
      <c r="AU63" s="6"/>
      <c r="AV63" s="6"/>
      <c r="AW63" s="6"/>
      <c r="AX63" s="6"/>
    </row>
    <row r="64" spans="1:50" ht="18.75" hidden="1">
      <c r="A64" s="28" t="str">
        <f t="shared" si="163"/>
        <v>ACTIVE</v>
      </c>
      <c r="B64" s="5" t="s">
        <v>48</v>
      </c>
      <c r="C64" s="5" t="s">
        <v>49</v>
      </c>
      <c r="D64" s="5" t="s">
        <v>50</v>
      </c>
      <c r="E64" s="5" t="s">
        <v>51</v>
      </c>
      <c r="F64" s="5" t="s">
        <v>173</v>
      </c>
      <c r="G64" s="10" t="s">
        <v>49</v>
      </c>
      <c r="H64" s="10" t="s">
        <v>273</v>
      </c>
      <c r="I64" s="10" t="s">
        <v>282</v>
      </c>
      <c r="J64" s="10">
        <v>8295507421</v>
      </c>
      <c r="K64" s="3">
        <v>20000</v>
      </c>
      <c r="L64" s="10">
        <v>1580</v>
      </c>
      <c r="M64" s="10">
        <f t="shared" si="1"/>
        <v>18420</v>
      </c>
      <c r="N64" s="3">
        <v>800</v>
      </c>
      <c r="O64" s="29">
        <f t="shared" si="164"/>
        <v>0</v>
      </c>
      <c r="P64" s="5">
        <v>0</v>
      </c>
      <c r="Q64" s="6">
        <v>34</v>
      </c>
      <c r="R64" s="6">
        <v>10</v>
      </c>
      <c r="S64" s="5">
        <f t="shared" si="87"/>
        <v>24</v>
      </c>
      <c r="T64" s="30">
        <v>0</v>
      </c>
      <c r="U64" s="31"/>
      <c r="V64" s="31"/>
      <c r="W64" s="5">
        <f t="shared" si="165"/>
        <v>8000</v>
      </c>
      <c r="X64" s="5">
        <f t="shared" si="153"/>
        <v>19200</v>
      </c>
      <c r="Y64" s="15" t="s">
        <v>55</v>
      </c>
      <c r="Z64" s="5" t="s">
        <v>277</v>
      </c>
      <c r="AA64" s="5">
        <f t="shared" si="166"/>
        <v>0</v>
      </c>
      <c r="AB64" s="5">
        <v>0</v>
      </c>
      <c r="AC64" s="5">
        <f t="shared" si="167"/>
        <v>0</v>
      </c>
      <c r="AD64" s="5">
        <f t="shared" si="168"/>
        <v>0</v>
      </c>
      <c r="AE64" s="5">
        <v>0</v>
      </c>
      <c r="AF64" s="5" t="str">
        <f t="shared" si="169"/>
        <v>NO</v>
      </c>
      <c r="AG64" s="5">
        <f t="shared" si="170"/>
        <v>19200</v>
      </c>
      <c r="AH64" s="5" t="s">
        <v>57</v>
      </c>
      <c r="AI64" s="5"/>
      <c r="AJ64" s="5"/>
      <c r="AK64" s="5">
        <f t="shared" si="171"/>
        <v>27200</v>
      </c>
      <c r="AL64" s="6">
        <f t="shared" si="160"/>
        <v>7200</v>
      </c>
      <c r="AM64" s="5">
        <v>0</v>
      </c>
      <c r="AN64" s="32">
        <f t="shared" si="172"/>
        <v>211.76470588235293</v>
      </c>
      <c r="AO64" s="32">
        <f t="shared" si="173"/>
        <v>0</v>
      </c>
      <c r="AP64" s="4">
        <v>46171</v>
      </c>
      <c r="AQ64" s="4">
        <v>46172</v>
      </c>
      <c r="AR64" s="4">
        <v>46183</v>
      </c>
      <c r="AT64" s="5" t="str">
        <f t="shared" si="15"/>
        <v>ACTIVE</v>
      </c>
      <c r="AU64" s="6"/>
      <c r="AV64" s="6"/>
      <c r="AW64" s="6"/>
      <c r="AX64" s="6"/>
    </row>
    <row r="65" spans="1:50" ht="18.75" hidden="1">
      <c r="A65" s="28" t="str">
        <f t="shared" ref="A65:A69" si="174">IF(X65=0,"CLOSE","ACTIVE")</f>
        <v>ACTIVE</v>
      </c>
      <c r="B65" s="5" t="s">
        <v>48</v>
      </c>
      <c r="C65" s="5" t="s">
        <v>49</v>
      </c>
      <c r="D65" s="5" t="s">
        <v>50</v>
      </c>
      <c r="E65" s="5" t="s">
        <v>51</v>
      </c>
      <c r="F65" s="5" t="s">
        <v>173</v>
      </c>
      <c r="G65" s="10" t="s">
        <v>278</v>
      </c>
      <c r="H65" s="10" t="s">
        <v>274</v>
      </c>
      <c r="I65" s="10" t="s">
        <v>189</v>
      </c>
      <c r="J65" s="10">
        <v>7828359630</v>
      </c>
      <c r="K65" s="3">
        <v>15000</v>
      </c>
      <c r="L65" s="10">
        <v>1260</v>
      </c>
      <c r="M65" s="10">
        <f t="shared" si="1"/>
        <v>13740</v>
      </c>
      <c r="N65" s="3">
        <v>750</v>
      </c>
      <c r="O65" s="29">
        <f t="shared" si="164"/>
        <v>0</v>
      </c>
      <c r="P65" s="5">
        <v>0</v>
      </c>
      <c r="Q65" s="6">
        <v>26</v>
      </c>
      <c r="R65" s="6">
        <v>10</v>
      </c>
      <c r="S65" s="5">
        <f t="shared" si="87"/>
        <v>16</v>
      </c>
      <c r="T65" s="30">
        <v>0</v>
      </c>
      <c r="U65" s="31"/>
      <c r="V65" s="31"/>
      <c r="W65" s="5">
        <f t="shared" si="165"/>
        <v>7500</v>
      </c>
      <c r="X65" s="5">
        <f t="shared" si="153"/>
        <v>12000</v>
      </c>
      <c r="Y65" s="15" t="s">
        <v>55</v>
      </c>
      <c r="Z65" s="5" t="s">
        <v>255</v>
      </c>
      <c r="AA65" s="5">
        <f t="shared" si="166"/>
        <v>0</v>
      </c>
      <c r="AB65" s="5">
        <v>0</v>
      </c>
      <c r="AC65" s="5">
        <f t="shared" si="167"/>
        <v>0</v>
      </c>
      <c r="AD65" s="5">
        <f t="shared" si="168"/>
        <v>0</v>
      </c>
      <c r="AE65" s="5">
        <v>0</v>
      </c>
      <c r="AF65" s="5" t="str">
        <f t="shared" si="169"/>
        <v>NO</v>
      </c>
      <c r="AG65" s="5">
        <f t="shared" si="170"/>
        <v>12000</v>
      </c>
      <c r="AH65" s="5" t="s">
        <v>57</v>
      </c>
      <c r="AI65" s="5"/>
      <c r="AJ65" s="5"/>
      <c r="AK65" s="5">
        <f t="shared" si="171"/>
        <v>19500</v>
      </c>
      <c r="AL65" s="6">
        <f t="shared" si="160"/>
        <v>4500</v>
      </c>
      <c r="AM65" s="5">
        <v>0</v>
      </c>
      <c r="AN65" s="32">
        <f t="shared" si="172"/>
        <v>173.07692307692307</v>
      </c>
      <c r="AO65" s="32">
        <f t="shared" si="173"/>
        <v>0</v>
      </c>
      <c r="AP65" s="4">
        <v>46165</v>
      </c>
      <c r="AQ65" s="4">
        <v>46172</v>
      </c>
      <c r="AR65" s="4">
        <v>46183</v>
      </c>
      <c r="AT65" s="5" t="str">
        <f t="shared" si="15"/>
        <v>ACTIVE</v>
      </c>
      <c r="AU65" s="6"/>
      <c r="AV65" s="6"/>
      <c r="AW65" s="6"/>
      <c r="AX65" s="6"/>
    </row>
    <row r="66" spans="1:50" ht="18.75" hidden="1">
      <c r="A66" s="28" t="str">
        <f t="shared" si="174"/>
        <v>ACTIVE</v>
      </c>
      <c r="B66" s="5" t="s">
        <v>48</v>
      </c>
      <c r="C66" s="5" t="s">
        <v>49</v>
      </c>
      <c r="D66" s="5" t="s">
        <v>50</v>
      </c>
      <c r="E66" s="5" t="s">
        <v>51</v>
      </c>
      <c r="F66" s="5" t="s">
        <v>297</v>
      </c>
      <c r="G66" s="3" t="s">
        <v>49</v>
      </c>
      <c r="H66" s="3" t="s">
        <v>285</v>
      </c>
      <c r="I66" s="3" t="s">
        <v>293</v>
      </c>
      <c r="J66" s="3">
        <v>9671634311</v>
      </c>
      <c r="K66" s="3">
        <v>20000</v>
      </c>
      <c r="L66" s="10">
        <v>1580</v>
      </c>
      <c r="M66" s="10">
        <f t="shared" si="1"/>
        <v>18420</v>
      </c>
      <c r="N66" s="3">
        <v>800</v>
      </c>
      <c r="O66" s="29">
        <f t="shared" ref="O66:O69" si="175">N66*P66</f>
        <v>0</v>
      </c>
      <c r="P66" s="5"/>
      <c r="Q66" s="6">
        <v>34</v>
      </c>
      <c r="R66" s="6">
        <v>9</v>
      </c>
      <c r="S66" s="5">
        <f t="shared" si="87"/>
        <v>25</v>
      </c>
      <c r="T66" s="30"/>
      <c r="U66" s="31"/>
      <c r="V66" s="31"/>
      <c r="W66" s="5">
        <f t="shared" si="165"/>
        <v>7200</v>
      </c>
      <c r="X66" s="5">
        <f t="shared" si="153"/>
        <v>20000</v>
      </c>
      <c r="Y66" s="15" t="s">
        <v>55</v>
      </c>
      <c r="Z66" s="5" t="s">
        <v>286</v>
      </c>
      <c r="AA66" s="5">
        <f t="shared" ref="AA66:AA69" si="176">P66*14</f>
        <v>0</v>
      </c>
      <c r="AB66" s="5">
        <v>0</v>
      </c>
      <c r="AC66" s="5">
        <f t="shared" ref="AC66:AC69" si="177">AA66*AB66</f>
        <v>0</v>
      </c>
      <c r="AD66" s="5">
        <f t="shared" ref="AD66:AD69" si="178">AA66</f>
        <v>0</v>
      </c>
      <c r="AE66" s="5">
        <v>0</v>
      </c>
      <c r="AF66" s="5" t="str">
        <f t="shared" ref="AF66:AF69" si="179">IF(AA66&gt;90,"YES","NO")</f>
        <v>NO</v>
      </c>
      <c r="AG66" s="5">
        <f t="shared" ref="AG66:AG69" si="180">X66+AC66</f>
        <v>20000</v>
      </c>
      <c r="AH66" s="5" t="s">
        <v>57</v>
      </c>
      <c r="AI66" s="5"/>
      <c r="AJ66" s="5"/>
      <c r="AK66" s="5">
        <f t="shared" ref="AK66:AK71" si="181">N66*Q66</f>
        <v>27200</v>
      </c>
      <c r="AL66" s="6">
        <f t="shared" ref="AL66:AL75" si="182">AK66-K66</f>
        <v>7200</v>
      </c>
      <c r="AM66" s="5">
        <v>0</v>
      </c>
      <c r="AN66" s="32">
        <f t="shared" ref="AN66:AN69" si="183">AL66/Q66</f>
        <v>211.76470588235293</v>
      </c>
      <c r="AO66" s="32">
        <f t="shared" ref="AO66:AO69" si="184">AN66*AM66</f>
        <v>0</v>
      </c>
      <c r="AP66" s="4">
        <v>46172</v>
      </c>
      <c r="AQ66" s="4">
        <v>46177</v>
      </c>
      <c r="AR66" s="4">
        <v>46190</v>
      </c>
      <c r="AT66" s="5" t="str">
        <f t="shared" si="15"/>
        <v>ACTIVE</v>
      </c>
      <c r="AU66" s="6"/>
      <c r="AV66" s="6"/>
      <c r="AW66" s="6"/>
      <c r="AX66" s="6"/>
    </row>
    <row r="67" spans="1:50" ht="18.75" hidden="1">
      <c r="A67" s="28" t="str">
        <f t="shared" si="174"/>
        <v>ACTIVE</v>
      </c>
      <c r="B67" s="5" t="s">
        <v>48</v>
      </c>
      <c r="C67" s="5" t="s">
        <v>49</v>
      </c>
      <c r="D67" s="5" t="s">
        <v>50</v>
      </c>
      <c r="E67" s="5" t="s">
        <v>51</v>
      </c>
      <c r="F67" s="5" t="s">
        <v>297</v>
      </c>
      <c r="G67" s="3" t="s">
        <v>130</v>
      </c>
      <c r="H67" s="3" t="s">
        <v>284</v>
      </c>
      <c r="I67" s="3" t="s">
        <v>294</v>
      </c>
      <c r="J67" s="3">
        <v>9671393271</v>
      </c>
      <c r="K67" s="3">
        <v>20000</v>
      </c>
      <c r="L67" s="10">
        <v>1580</v>
      </c>
      <c r="M67" s="10">
        <f t="shared" si="1"/>
        <v>18420</v>
      </c>
      <c r="N67" s="3">
        <v>800</v>
      </c>
      <c r="O67" s="29">
        <f t="shared" si="175"/>
        <v>0</v>
      </c>
      <c r="P67" s="5">
        <v>0</v>
      </c>
      <c r="Q67" s="6">
        <v>34</v>
      </c>
      <c r="R67" s="6">
        <v>9</v>
      </c>
      <c r="S67" s="5">
        <f t="shared" si="87"/>
        <v>25</v>
      </c>
      <c r="T67" s="30"/>
      <c r="U67" s="31"/>
      <c r="V67" s="31"/>
      <c r="W67" s="5">
        <f t="shared" si="165"/>
        <v>7200</v>
      </c>
      <c r="X67" s="5">
        <f t="shared" si="153"/>
        <v>20000</v>
      </c>
      <c r="Y67" s="15" t="s">
        <v>55</v>
      </c>
      <c r="Z67" s="5" t="s">
        <v>287</v>
      </c>
      <c r="AA67" s="5">
        <f t="shared" si="176"/>
        <v>0</v>
      </c>
      <c r="AB67" s="5">
        <v>0</v>
      </c>
      <c r="AC67" s="5">
        <f t="shared" si="177"/>
        <v>0</v>
      </c>
      <c r="AD67" s="5">
        <f t="shared" si="178"/>
        <v>0</v>
      </c>
      <c r="AE67" s="5">
        <v>0</v>
      </c>
      <c r="AF67" s="5" t="str">
        <f t="shared" si="179"/>
        <v>NO</v>
      </c>
      <c r="AG67" s="5">
        <f t="shared" si="180"/>
        <v>20000</v>
      </c>
      <c r="AH67" s="5" t="s">
        <v>57</v>
      </c>
      <c r="AI67" s="5"/>
      <c r="AJ67" s="5"/>
      <c r="AK67" s="5">
        <f t="shared" si="181"/>
        <v>27200</v>
      </c>
      <c r="AL67" s="6">
        <f t="shared" si="182"/>
        <v>7200</v>
      </c>
      <c r="AM67" s="5">
        <v>0</v>
      </c>
      <c r="AN67" s="32">
        <f t="shared" si="183"/>
        <v>211.76470588235293</v>
      </c>
      <c r="AO67" s="32">
        <f t="shared" si="184"/>
        <v>0</v>
      </c>
      <c r="AP67" s="4">
        <v>46172</v>
      </c>
      <c r="AQ67" s="4">
        <v>46177</v>
      </c>
      <c r="AR67" s="4">
        <v>46190</v>
      </c>
      <c r="AT67" s="5" t="str">
        <f t="shared" si="15"/>
        <v>ACTIVE</v>
      </c>
      <c r="AU67" s="6"/>
      <c r="AV67" s="6"/>
      <c r="AW67" s="6"/>
      <c r="AX67" s="6"/>
    </row>
    <row r="68" spans="1:50" ht="18.75">
      <c r="A68" s="28" t="str">
        <f t="shared" si="174"/>
        <v>ACTIVE</v>
      </c>
      <c r="B68" s="5" t="s">
        <v>48</v>
      </c>
      <c r="C68" s="5" t="s">
        <v>49</v>
      </c>
      <c r="D68" s="5" t="s">
        <v>50</v>
      </c>
      <c r="E68" s="5" t="s">
        <v>51</v>
      </c>
      <c r="F68" s="5" t="s">
        <v>297</v>
      </c>
      <c r="G68" s="3" t="s">
        <v>290</v>
      </c>
      <c r="H68" s="95" t="s">
        <v>180</v>
      </c>
      <c r="I68" s="3" t="s">
        <v>295</v>
      </c>
      <c r="J68" s="3">
        <v>9671443722</v>
      </c>
      <c r="K68" s="3">
        <v>20000</v>
      </c>
      <c r="L68" s="10">
        <v>1580</v>
      </c>
      <c r="M68" s="10">
        <f t="shared" ref="M68:M102" si="185">K68-L68</f>
        <v>18420</v>
      </c>
      <c r="N68" s="3">
        <v>800</v>
      </c>
      <c r="O68" s="29">
        <f t="shared" si="175"/>
        <v>0</v>
      </c>
      <c r="P68" s="5">
        <v>0</v>
      </c>
      <c r="Q68" s="6">
        <v>34</v>
      </c>
      <c r="R68" s="6">
        <v>8</v>
      </c>
      <c r="S68" s="5">
        <f t="shared" si="87"/>
        <v>26</v>
      </c>
      <c r="T68" s="30"/>
      <c r="U68" s="31"/>
      <c r="V68" s="31"/>
      <c r="W68" s="5">
        <f t="shared" si="165"/>
        <v>6400</v>
      </c>
      <c r="X68" s="5">
        <f t="shared" si="153"/>
        <v>20800</v>
      </c>
      <c r="Y68" s="15" t="s">
        <v>69</v>
      </c>
      <c r="Z68" s="5" t="s">
        <v>288</v>
      </c>
      <c r="AA68" s="5">
        <f t="shared" si="176"/>
        <v>0</v>
      </c>
      <c r="AB68" s="5">
        <v>0</v>
      </c>
      <c r="AC68" s="5">
        <f t="shared" si="177"/>
        <v>0</v>
      </c>
      <c r="AD68" s="5">
        <f t="shared" si="178"/>
        <v>0</v>
      </c>
      <c r="AE68" s="5">
        <v>0</v>
      </c>
      <c r="AF68" s="5" t="str">
        <f t="shared" si="179"/>
        <v>NO</v>
      </c>
      <c r="AG68" s="5">
        <f t="shared" si="180"/>
        <v>20800</v>
      </c>
      <c r="AH68" s="5" t="s">
        <v>57</v>
      </c>
      <c r="AI68" s="5"/>
      <c r="AJ68" s="5"/>
      <c r="AK68" s="5">
        <f t="shared" si="181"/>
        <v>27200</v>
      </c>
      <c r="AL68" s="6">
        <f t="shared" si="182"/>
        <v>7200</v>
      </c>
      <c r="AM68" s="5">
        <v>0</v>
      </c>
      <c r="AN68" s="32">
        <f t="shared" si="183"/>
        <v>211.76470588235293</v>
      </c>
      <c r="AO68" s="32">
        <f t="shared" si="184"/>
        <v>0</v>
      </c>
      <c r="AP68" s="4">
        <v>46175</v>
      </c>
      <c r="AQ68" s="4">
        <v>46179</v>
      </c>
      <c r="AR68" s="4">
        <v>46196</v>
      </c>
      <c r="AT68" s="5" t="str">
        <f t="shared" ref="AT68:AT114" si="186">IF(X68=0,"CLOSE","ACTIVE")</f>
        <v>ACTIVE</v>
      </c>
      <c r="AU68" s="6"/>
      <c r="AV68" s="6"/>
      <c r="AW68" s="6"/>
      <c r="AX68" s="6"/>
    </row>
    <row r="69" spans="1:50" ht="18.75">
      <c r="A69" s="28" t="str">
        <f t="shared" si="174"/>
        <v>ACTIVE</v>
      </c>
      <c r="B69" s="5" t="s">
        <v>48</v>
      </c>
      <c r="C69" s="5" t="s">
        <v>49</v>
      </c>
      <c r="D69" s="5" t="s">
        <v>50</v>
      </c>
      <c r="E69" s="5" t="s">
        <v>51</v>
      </c>
      <c r="F69" s="5" t="s">
        <v>297</v>
      </c>
      <c r="G69" s="3" t="s">
        <v>291</v>
      </c>
      <c r="H69" s="3" t="s">
        <v>292</v>
      </c>
      <c r="I69" s="3" t="s">
        <v>296</v>
      </c>
      <c r="J69" s="3">
        <v>9343799675</v>
      </c>
      <c r="K69" s="3">
        <v>20000</v>
      </c>
      <c r="L69" s="10">
        <v>1580</v>
      </c>
      <c r="M69" s="10">
        <f t="shared" si="185"/>
        <v>18420</v>
      </c>
      <c r="N69" s="3">
        <v>800</v>
      </c>
      <c r="O69" s="29">
        <f t="shared" si="175"/>
        <v>0</v>
      </c>
      <c r="P69" s="5">
        <v>0</v>
      </c>
      <c r="Q69" s="6">
        <v>34</v>
      </c>
      <c r="R69" s="6">
        <v>9</v>
      </c>
      <c r="S69" s="5">
        <f t="shared" si="87"/>
        <v>25</v>
      </c>
      <c r="T69" s="30"/>
      <c r="U69" s="31"/>
      <c r="V69" s="31"/>
      <c r="W69" s="5">
        <f t="shared" si="165"/>
        <v>7200</v>
      </c>
      <c r="X69" s="5">
        <f t="shared" si="153"/>
        <v>20000</v>
      </c>
      <c r="Y69" s="15" t="s">
        <v>69</v>
      </c>
      <c r="Z69" s="5" t="s">
        <v>289</v>
      </c>
      <c r="AA69" s="5">
        <f t="shared" si="176"/>
        <v>0</v>
      </c>
      <c r="AB69" s="5">
        <v>0</v>
      </c>
      <c r="AC69" s="5">
        <f t="shared" si="177"/>
        <v>0</v>
      </c>
      <c r="AD69" s="5">
        <f t="shared" si="178"/>
        <v>0</v>
      </c>
      <c r="AE69" s="5">
        <v>0</v>
      </c>
      <c r="AF69" s="5" t="str">
        <f t="shared" si="179"/>
        <v>NO</v>
      </c>
      <c r="AG69" s="5">
        <f t="shared" si="180"/>
        <v>20000</v>
      </c>
      <c r="AH69" s="5" t="s">
        <v>57</v>
      </c>
      <c r="AI69" s="5"/>
      <c r="AJ69" s="5"/>
      <c r="AK69" s="5">
        <f t="shared" si="181"/>
        <v>27200</v>
      </c>
      <c r="AL69" s="6">
        <f t="shared" si="182"/>
        <v>7200</v>
      </c>
      <c r="AM69" s="5">
        <v>0</v>
      </c>
      <c r="AN69" s="32">
        <f t="shared" si="183"/>
        <v>211.76470588235293</v>
      </c>
      <c r="AO69" s="32">
        <f t="shared" si="184"/>
        <v>0</v>
      </c>
      <c r="AP69" s="4">
        <v>46175</v>
      </c>
      <c r="AQ69" s="4">
        <v>46179</v>
      </c>
      <c r="AR69" s="4">
        <v>46189</v>
      </c>
      <c r="AT69" s="5" t="str">
        <f t="shared" si="186"/>
        <v>ACTIVE</v>
      </c>
      <c r="AU69" s="6"/>
      <c r="AV69" s="6"/>
      <c r="AW69" s="6"/>
      <c r="AX69" s="6"/>
    </row>
    <row r="70" spans="1:50" ht="18.75">
      <c r="A70" s="28" t="str">
        <f t="shared" ref="A70:A73" si="187">IF(X70=0,"CLOSE","ACTIVE")</f>
        <v>ACTIVE</v>
      </c>
      <c r="B70" s="5" t="s">
        <v>48</v>
      </c>
      <c r="C70" s="5" t="s">
        <v>49</v>
      </c>
      <c r="D70" s="5" t="s">
        <v>50</v>
      </c>
      <c r="E70" s="5" t="s">
        <v>51</v>
      </c>
      <c r="F70" s="5" t="s">
        <v>297</v>
      </c>
      <c r="G70" s="3" t="s">
        <v>300</v>
      </c>
      <c r="H70" s="95" t="s">
        <v>71</v>
      </c>
      <c r="I70" s="3" t="s">
        <v>302</v>
      </c>
      <c r="J70" s="3">
        <v>7056212672</v>
      </c>
      <c r="K70" s="3">
        <v>15000</v>
      </c>
      <c r="L70" s="3">
        <v>1260</v>
      </c>
      <c r="M70" s="3">
        <f t="shared" si="185"/>
        <v>13740</v>
      </c>
      <c r="N70" s="3">
        <v>750</v>
      </c>
      <c r="O70" s="29">
        <f t="shared" ref="O70:O71" si="188">N70*P70</f>
        <v>0</v>
      </c>
      <c r="P70" s="5">
        <v>0</v>
      </c>
      <c r="Q70" s="6">
        <v>26</v>
      </c>
      <c r="R70" s="6">
        <v>9</v>
      </c>
      <c r="S70" s="5">
        <f t="shared" si="87"/>
        <v>17</v>
      </c>
      <c r="T70" s="30"/>
      <c r="U70" s="31"/>
      <c r="V70" s="31"/>
      <c r="W70" s="5">
        <f t="shared" si="165"/>
        <v>6750</v>
      </c>
      <c r="X70" s="5">
        <f t="shared" si="153"/>
        <v>12750</v>
      </c>
      <c r="Y70" s="15" t="s">
        <v>69</v>
      </c>
      <c r="Z70" s="5" t="s">
        <v>298</v>
      </c>
      <c r="AA70" s="5">
        <f t="shared" ref="AA70:AA71" si="189">P70*14</f>
        <v>0</v>
      </c>
      <c r="AB70" s="5">
        <v>0</v>
      </c>
      <c r="AC70" s="5">
        <f t="shared" ref="AC70:AC71" si="190">AA70*AB70</f>
        <v>0</v>
      </c>
      <c r="AD70" s="5">
        <f t="shared" ref="AD70:AD71" si="191">AA70</f>
        <v>0</v>
      </c>
      <c r="AE70" s="5">
        <v>0</v>
      </c>
      <c r="AF70" s="5" t="str">
        <f t="shared" ref="AF70:AF71" si="192">IF(AA70&gt;90,"YES","NO")</f>
        <v>NO</v>
      </c>
      <c r="AG70" s="5">
        <f t="shared" ref="AG70:AG71" si="193">X70+AC70</f>
        <v>12750</v>
      </c>
      <c r="AH70" s="5" t="s">
        <v>57</v>
      </c>
      <c r="AI70" s="5"/>
      <c r="AJ70" s="5"/>
      <c r="AK70" s="5">
        <f t="shared" si="181"/>
        <v>19500</v>
      </c>
      <c r="AL70" s="6">
        <f t="shared" si="182"/>
        <v>4500</v>
      </c>
      <c r="AM70" s="5">
        <v>0</v>
      </c>
      <c r="AN70" s="32">
        <f t="shared" ref="AN70:AN71" si="194">AL70/Q70</f>
        <v>173.07692307692307</v>
      </c>
      <c r="AO70" s="32">
        <f t="shared" ref="AO70:AO71" si="195">AN70*AM70</f>
        <v>0</v>
      </c>
      <c r="AP70" s="4">
        <v>49829</v>
      </c>
      <c r="AQ70" s="4">
        <v>46181</v>
      </c>
      <c r="AR70" s="4">
        <v>46189</v>
      </c>
      <c r="AT70" s="5" t="str">
        <f t="shared" si="186"/>
        <v>ACTIVE</v>
      </c>
      <c r="AU70" s="6"/>
      <c r="AV70" s="6"/>
      <c r="AW70" s="6"/>
      <c r="AX70" s="6"/>
    </row>
    <row r="71" spans="1:50" ht="15.75" hidden="1">
      <c r="A71" s="28" t="str">
        <f t="shared" si="187"/>
        <v>ACTIVE</v>
      </c>
      <c r="B71" s="5" t="s">
        <v>48</v>
      </c>
      <c r="C71" s="5" t="s">
        <v>49</v>
      </c>
      <c r="D71" s="5" t="s">
        <v>50</v>
      </c>
      <c r="E71" s="5" t="s">
        <v>51</v>
      </c>
      <c r="F71" s="5" t="s">
        <v>297</v>
      </c>
      <c r="G71" s="3" t="s">
        <v>130</v>
      </c>
      <c r="H71" s="3" t="s">
        <v>301</v>
      </c>
      <c r="I71" s="3" t="s">
        <v>303</v>
      </c>
      <c r="J71" s="3">
        <v>8397097184</v>
      </c>
      <c r="K71" s="3">
        <v>20000</v>
      </c>
      <c r="L71" s="3">
        <v>1580</v>
      </c>
      <c r="M71" s="3">
        <f t="shared" si="185"/>
        <v>18420</v>
      </c>
      <c r="N71" s="3">
        <v>800</v>
      </c>
      <c r="O71" s="29">
        <f t="shared" si="188"/>
        <v>0</v>
      </c>
      <c r="P71" s="5">
        <v>0</v>
      </c>
      <c r="Q71" s="6">
        <v>34</v>
      </c>
      <c r="R71" s="6">
        <v>9</v>
      </c>
      <c r="S71" s="6">
        <f t="shared" si="87"/>
        <v>25</v>
      </c>
      <c r="T71" s="34"/>
      <c r="U71" s="35"/>
      <c r="V71" s="35"/>
      <c r="W71" s="35">
        <f t="shared" si="165"/>
        <v>7200</v>
      </c>
      <c r="X71" s="6">
        <f t="shared" si="153"/>
        <v>20000</v>
      </c>
      <c r="Y71" s="35" t="s">
        <v>55</v>
      </c>
      <c r="Z71" s="6" t="s">
        <v>299</v>
      </c>
      <c r="AA71" s="5">
        <f t="shared" si="189"/>
        <v>0</v>
      </c>
      <c r="AB71" s="5">
        <v>0</v>
      </c>
      <c r="AC71" s="5">
        <f t="shared" si="190"/>
        <v>0</v>
      </c>
      <c r="AD71" s="5">
        <f t="shared" si="191"/>
        <v>0</v>
      </c>
      <c r="AE71" s="5">
        <v>0</v>
      </c>
      <c r="AF71" s="5" t="str">
        <f t="shared" si="192"/>
        <v>NO</v>
      </c>
      <c r="AG71" s="5">
        <f t="shared" si="193"/>
        <v>20000</v>
      </c>
      <c r="AH71" s="5" t="s">
        <v>57</v>
      </c>
      <c r="AI71" s="5"/>
      <c r="AJ71" s="5"/>
      <c r="AK71" s="6">
        <f t="shared" si="181"/>
        <v>27200</v>
      </c>
      <c r="AL71" s="6">
        <f t="shared" si="182"/>
        <v>7200</v>
      </c>
      <c r="AM71" s="5">
        <v>0</v>
      </c>
      <c r="AN71" s="32">
        <f t="shared" si="194"/>
        <v>211.76470588235293</v>
      </c>
      <c r="AO71" s="32">
        <f t="shared" si="195"/>
        <v>0</v>
      </c>
      <c r="AP71" s="4">
        <v>49829</v>
      </c>
      <c r="AQ71" s="4">
        <v>46181</v>
      </c>
      <c r="AR71" s="4">
        <v>46190</v>
      </c>
      <c r="AT71" s="6" t="str">
        <f t="shared" si="186"/>
        <v>ACTIVE</v>
      </c>
      <c r="AU71" s="6"/>
      <c r="AV71" s="6"/>
      <c r="AW71" s="6"/>
      <c r="AX71" s="6"/>
    </row>
    <row r="72" spans="1:50" ht="15.75">
      <c r="A72" s="28" t="str">
        <f t="shared" si="187"/>
        <v>ACTIVE</v>
      </c>
      <c r="B72" s="5" t="s">
        <v>48</v>
      </c>
      <c r="C72" s="5" t="s">
        <v>49</v>
      </c>
      <c r="D72" s="5" t="s">
        <v>50</v>
      </c>
      <c r="E72" s="5" t="s">
        <v>51</v>
      </c>
      <c r="F72" s="5" t="s">
        <v>297</v>
      </c>
      <c r="G72" s="3" t="s">
        <v>308</v>
      </c>
      <c r="H72" s="3" t="s">
        <v>165</v>
      </c>
      <c r="I72" s="3" t="s">
        <v>310</v>
      </c>
      <c r="J72" s="3">
        <v>9971836202</v>
      </c>
      <c r="K72" s="3">
        <v>20000</v>
      </c>
      <c r="L72" s="3">
        <v>1580</v>
      </c>
      <c r="M72" s="3">
        <f t="shared" si="185"/>
        <v>18420</v>
      </c>
      <c r="N72" s="3">
        <v>800</v>
      </c>
      <c r="O72" s="29">
        <f t="shared" ref="O72:O73" si="196">N72*P72</f>
        <v>0</v>
      </c>
      <c r="P72" s="5">
        <v>0</v>
      </c>
      <c r="Q72" s="6">
        <v>34</v>
      </c>
      <c r="R72" s="6">
        <v>8</v>
      </c>
      <c r="S72" s="6">
        <f t="shared" si="87"/>
        <v>26</v>
      </c>
      <c r="T72" s="34"/>
      <c r="U72" s="35"/>
      <c r="V72" s="35"/>
      <c r="W72" s="35">
        <f t="shared" si="165"/>
        <v>6400</v>
      </c>
      <c r="X72" s="6">
        <f t="shared" si="153"/>
        <v>20800</v>
      </c>
      <c r="Y72" s="35" t="s">
        <v>69</v>
      </c>
      <c r="Z72" s="5" t="s">
        <v>306</v>
      </c>
      <c r="AA72" s="5">
        <f t="shared" ref="AA72:AA73" si="197">P72*14</f>
        <v>0</v>
      </c>
      <c r="AB72" s="5">
        <v>0</v>
      </c>
      <c r="AC72" s="5">
        <f t="shared" ref="AC72:AC73" si="198">AA72*AB72</f>
        <v>0</v>
      </c>
      <c r="AD72" s="5">
        <f t="shared" ref="AD72:AD73" si="199">AA72</f>
        <v>0</v>
      </c>
      <c r="AE72" s="5">
        <v>0</v>
      </c>
      <c r="AF72" s="5" t="str">
        <f t="shared" ref="AF72:AF73" si="200">IF(AA72&gt;90,"YES","NO")</f>
        <v>NO</v>
      </c>
      <c r="AG72" s="5">
        <f t="shared" ref="AG72:AG73" si="201">X72+AC72</f>
        <v>20800</v>
      </c>
      <c r="AH72" s="5" t="s">
        <v>57</v>
      </c>
      <c r="AI72" s="5"/>
      <c r="AJ72" s="5"/>
      <c r="AK72" s="6">
        <f t="shared" ref="AK72:AK75" si="202">N72*Q72</f>
        <v>27200</v>
      </c>
      <c r="AL72" s="6">
        <f t="shared" si="182"/>
        <v>7200</v>
      </c>
      <c r="AM72" s="5">
        <v>0</v>
      </c>
      <c r="AN72" s="32">
        <f t="shared" ref="AN72:AN73" si="203">AL72/Q72</f>
        <v>211.76470588235293</v>
      </c>
      <c r="AO72" s="32">
        <f t="shared" ref="AO72:AO73" si="204">AN72*AM72</f>
        <v>0</v>
      </c>
      <c r="AP72" s="14">
        <v>46179</v>
      </c>
      <c r="AQ72" s="14">
        <v>46183</v>
      </c>
      <c r="AR72" s="14">
        <v>46196</v>
      </c>
      <c r="AS72" s="6"/>
      <c r="AT72" s="6" t="str">
        <f t="shared" si="186"/>
        <v>ACTIVE</v>
      </c>
      <c r="AU72" s="6"/>
      <c r="AV72" s="6"/>
      <c r="AW72" s="6"/>
      <c r="AX72" s="6"/>
    </row>
    <row r="73" spans="1:50" ht="15.75">
      <c r="A73" s="28" t="str">
        <f t="shared" si="187"/>
        <v>ACTIVE</v>
      </c>
      <c r="B73" s="5" t="s">
        <v>48</v>
      </c>
      <c r="C73" s="5" t="s">
        <v>49</v>
      </c>
      <c r="D73" s="5" t="s">
        <v>50</v>
      </c>
      <c r="E73" s="5" t="s">
        <v>51</v>
      </c>
      <c r="F73" s="5" t="s">
        <v>297</v>
      </c>
      <c r="G73" s="3" t="s">
        <v>309</v>
      </c>
      <c r="H73" s="3" t="s">
        <v>305</v>
      </c>
      <c r="I73" s="3" t="s">
        <v>54</v>
      </c>
      <c r="J73" s="3">
        <v>8307951615</v>
      </c>
      <c r="K73" s="3">
        <v>20000</v>
      </c>
      <c r="L73" s="3">
        <v>1580</v>
      </c>
      <c r="M73" s="3">
        <f t="shared" si="185"/>
        <v>18420</v>
      </c>
      <c r="N73" s="3">
        <v>1000</v>
      </c>
      <c r="O73" s="29">
        <f t="shared" si="196"/>
        <v>0</v>
      </c>
      <c r="P73" s="5">
        <v>0</v>
      </c>
      <c r="Q73" s="6">
        <v>27</v>
      </c>
      <c r="R73" s="6">
        <v>8</v>
      </c>
      <c r="S73" s="6">
        <f t="shared" si="87"/>
        <v>19</v>
      </c>
      <c r="T73" s="34"/>
      <c r="U73" s="35"/>
      <c r="V73" s="35"/>
      <c r="W73" s="35">
        <f t="shared" si="165"/>
        <v>8000</v>
      </c>
      <c r="X73" s="6">
        <f t="shared" si="153"/>
        <v>19000</v>
      </c>
      <c r="Y73" s="35" t="s">
        <v>69</v>
      </c>
      <c r="Z73" s="5" t="s">
        <v>307</v>
      </c>
      <c r="AA73" s="5">
        <f t="shared" si="197"/>
        <v>0</v>
      </c>
      <c r="AB73" s="5">
        <v>0</v>
      </c>
      <c r="AC73" s="5">
        <f t="shared" si="198"/>
        <v>0</v>
      </c>
      <c r="AD73" s="5">
        <f t="shared" si="199"/>
        <v>0</v>
      </c>
      <c r="AE73" s="5">
        <v>0</v>
      </c>
      <c r="AF73" s="5" t="str">
        <f t="shared" si="200"/>
        <v>NO</v>
      </c>
      <c r="AG73" s="5">
        <f t="shared" si="201"/>
        <v>19000</v>
      </c>
      <c r="AH73" s="5" t="s">
        <v>57</v>
      </c>
      <c r="AI73" s="5"/>
      <c r="AJ73" s="5"/>
      <c r="AK73" s="6">
        <f t="shared" si="202"/>
        <v>27000</v>
      </c>
      <c r="AL73" s="6">
        <f t="shared" si="182"/>
        <v>7000</v>
      </c>
      <c r="AM73" s="5">
        <v>0</v>
      </c>
      <c r="AN73" s="32">
        <f t="shared" si="203"/>
        <v>259.25925925925924</v>
      </c>
      <c r="AO73" s="32">
        <f t="shared" si="204"/>
        <v>0</v>
      </c>
      <c r="AP73" s="14">
        <v>46182</v>
      </c>
      <c r="AQ73" s="14">
        <v>46183</v>
      </c>
      <c r="AR73" s="14">
        <v>46196</v>
      </c>
      <c r="AS73" s="6"/>
      <c r="AT73" s="6" t="str">
        <f t="shared" si="186"/>
        <v>ACTIVE</v>
      </c>
      <c r="AU73" s="6"/>
      <c r="AV73" s="6"/>
      <c r="AW73" s="6"/>
      <c r="AX73" s="6"/>
    </row>
    <row r="74" spans="1:50" ht="15.75" hidden="1">
      <c r="A74" s="28" t="str">
        <f t="shared" ref="A74:A75" si="205">IF(X74=0,"CLOSE","ACTIVE")</f>
        <v>ACTIVE</v>
      </c>
      <c r="B74" s="5" t="s">
        <v>48</v>
      </c>
      <c r="C74" s="5" t="s">
        <v>49</v>
      </c>
      <c r="D74" s="5" t="s">
        <v>50</v>
      </c>
      <c r="E74" s="5" t="s">
        <v>51</v>
      </c>
      <c r="F74" s="5" t="s">
        <v>297</v>
      </c>
      <c r="G74" s="3" t="s">
        <v>197</v>
      </c>
      <c r="H74" s="3" t="s">
        <v>121</v>
      </c>
      <c r="I74" s="3" t="s">
        <v>315</v>
      </c>
      <c r="J74" s="3">
        <v>8059882196</v>
      </c>
      <c r="K74" s="3">
        <v>20000</v>
      </c>
      <c r="L74" s="3">
        <v>1580</v>
      </c>
      <c r="M74" s="3">
        <f t="shared" si="185"/>
        <v>18420</v>
      </c>
      <c r="N74" s="3">
        <v>800</v>
      </c>
      <c r="O74" s="29">
        <f t="shared" ref="O74:O75" si="206">N74*P74</f>
        <v>0</v>
      </c>
      <c r="P74" s="5">
        <v>0</v>
      </c>
      <c r="Q74" s="6">
        <v>34</v>
      </c>
      <c r="R74" s="6">
        <v>9</v>
      </c>
      <c r="S74" s="6">
        <f t="shared" si="87"/>
        <v>25</v>
      </c>
      <c r="T74" s="34"/>
      <c r="U74" s="35"/>
      <c r="V74" s="35"/>
      <c r="W74" s="35">
        <f t="shared" si="165"/>
        <v>7200</v>
      </c>
      <c r="X74" s="6">
        <f t="shared" si="153"/>
        <v>20000</v>
      </c>
      <c r="Y74" s="35" t="s">
        <v>55</v>
      </c>
      <c r="Z74" s="5" t="s">
        <v>312</v>
      </c>
      <c r="AA74" s="5">
        <f t="shared" ref="AA74:AA75" si="207">P74*14</f>
        <v>0</v>
      </c>
      <c r="AB74" s="5">
        <v>0</v>
      </c>
      <c r="AC74" s="5">
        <f t="shared" ref="AC74:AC75" si="208">AA74*AB74</f>
        <v>0</v>
      </c>
      <c r="AD74" s="5">
        <f t="shared" ref="AD74:AD75" si="209">AA74</f>
        <v>0</v>
      </c>
      <c r="AE74" s="5">
        <v>0</v>
      </c>
      <c r="AF74" s="5" t="str">
        <f t="shared" ref="AF74:AF75" si="210">IF(AA74&gt;90,"YES","NO")</f>
        <v>NO</v>
      </c>
      <c r="AG74" s="5">
        <f t="shared" ref="AG74:AG75" si="211">X74+AC74</f>
        <v>20000</v>
      </c>
      <c r="AH74" s="5" t="s">
        <v>57</v>
      </c>
      <c r="AI74" s="6"/>
      <c r="AJ74" s="6"/>
      <c r="AK74" s="6">
        <f t="shared" si="202"/>
        <v>27200</v>
      </c>
      <c r="AL74" s="6">
        <f t="shared" si="182"/>
        <v>7200</v>
      </c>
      <c r="AM74" s="5">
        <v>0</v>
      </c>
      <c r="AN74" s="32">
        <f t="shared" ref="AN74:AN75" si="212">AL74/Q74</f>
        <v>211.76470588235293</v>
      </c>
      <c r="AO74" s="32">
        <f t="shared" ref="AO74:AO75" si="213">AN74*AM74</f>
        <v>0</v>
      </c>
      <c r="AP74" s="4">
        <v>46176</v>
      </c>
      <c r="AQ74" s="4">
        <v>46184</v>
      </c>
      <c r="AR74" s="4">
        <v>46190</v>
      </c>
      <c r="AT74" s="6" t="str">
        <f t="shared" si="186"/>
        <v>ACTIVE</v>
      </c>
      <c r="AU74" s="6"/>
      <c r="AV74" s="6"/>
      <c r="AW74" s="6"/>
      <c r="AX74" s="6"/>
    </row>
    <row r="75" spans="1:50" ht="15.75">
      <c r="A75" s="28" t="str">
        <f t="shared" si="205"/>
        <v>ACTIVE</v>
      </c>
      <c r="B75" s="5" t="s">
        <v>48</v>
      </c>
      <c r="C75" s="5" t="s">
        <v>49</v>
      </c>
      <c r="D75" s="5" t="s">
        <v>50</v>
      </c>
      <c r="E75" s="5" t="s">
        <v>51</v>
      </c>
      <c r="F75" s="5" t="s">
        <v>297</v>
      </c>
      <c r="G75" s="3" t="s">
        <v>314</v>
      </c>
      <c r="H75" s="3" t="s">
        <v>311</v>
      </c>
      <c r="I75" s="3" t="s">
        <v>316</v>
      </c>
      <c r="J75" s="3">
        <v>8053115922</v>
      </c>
      <c r="K75" s="3">
        <v>20000</v>
      </c>
      <c r="L75" s="3">
        <v>1580</v>
      </c>
      <c r="M75" s="3">
        <f t="shared" si="185"/>
        <v>18420</v>
      </c>
      <c r="N75" s="3">
        <v>1000</v>
      </c>
      <c r="O75" s="29">
        <f t="shared" si="206"/>
        <v>0</v>
      </c>
      <c r="P75" s="5">
        <v>0</v>
      </c>
      <c r="Q75" s="6">
        <v>27</v>
      </c>
      <c r="R75" s="6">
        <v>8</v>
      </c>
      <c r="S75" s="6">
        <f t="shared" si="87"/>
        <v>19</v>
      </c>
      <c r="T75" s="34"/>
      <c r="U75" s="35"/>
      <c r="V75" s="35"/>
      <c r="W75" s="35">
        <f t="shared" si="165"/>
        <v>8000</v>
      </c>
      <c r="X75" s="6">
        <f t="shared" si="153"/>
        <v>19000</v>
      </c>
      <c r="Y75" s="35" t="s">
        <v>69</v>
      </c>
      <c r="Z75" s="5" t="s">
        <v>313</v>
      </c>
      <c r="AA75" s="5">
        <f t="shared" si="207"/>
        <v>0</v>
      </c>
      <c r="AB75" s="5">
        <v>0</v>
      </c>
      <c r="AC75" s="5">
        <f t="shared" si="208"/>
        <v>0</v>
      </c>
      <c r="AD75" s="5">
        <f t="shared" si="209"/>
        <v>0</v>
      </c>
      <c r="AE75" s="5">
        <v>0</v>
      </c>
      <c r="AF75" s="5" t="str">
        <f t="shared" si="210"/>
        <v>NO</v>
      </c>
      <c r="AG75" s="5">
        <f t="shared" si="211"/>
        <v>19000</v>
      </c>
      <c r="AH75" s="5" t="s">
        <v>57</v>
      </c>
      <c r="AI75" s="6"/>
      <c r="AJ75" s="6"/>
      <c r="AK75" s="6">
        <f t="shared" si="202"/>
        <v>27000</v>
      </c>
      <c r="AL75" s="6">
        <f t="shared" si="182"/>
        <v>7000</v>
      </c>
      <c r="AM75" s="5">
        <v>0</v>
      </c>
      <c r="AN75" s="32">
        <f t="shared" si="212"/>
        <v>259.25925925925924</v>
      </c>
      <c r="AO75" s="32">
        <f t="shared" si="213"/>
        <v>0</v>
      </c>
      <c r="AP75" s="4">
        <v>46182</v>
      </c>
      <c r="AQ75" s="4">
        <v>46184</v>
      </c>
      <c r="AR75" s="4">
        <v>46196</v>
      </c>
      <c r="AT75" s="6" t="str">
        <f t="shared" si="186"/>
        <v>ACTIVE</v>
      </c>
      <c r="AU75" s="6"/>
      <c r="AV75" s="6"/>
      <c r="AW75" s="6"/>
      <c r="AX75" s="6"/>
    </row>
    <row r="76" spans="1:50" ht="15.75">
      <c r="A76" s="28" t="str">
        <f t="shared" ref="A76:A80" si="214">IF(X76=0,"CLOSE","ACTIVE")</f>
        <v>ACTIVE</v>
      </c>
      <c r="B76" s="5" t="s">
        <v>48</v>
      </c>
      <c r="C76" s="5" t="s">
        <v>49</v>
      </c>
      <c r="D76" s="5" t="s">
        <v>50</v>
      </c>
      <c r="E76" s="5" t="s">
        <v>51</v>
      </c>
      <c r="F76" s="5" t="s">
        <v>297</v>
      </c>
      <c r="G76" s="3" t="s">
        <v>130</v>
      </c>
      <c r="H76" s="3" t="s">
        <v>317</v>
      </c>
      <c r="I76" s="3" t="s">
        <v>318</v>
      </c>
      <c r="J76" s="3">
        <v>9034416529</v>
      </c>
      <c r="K76" s="3">
        <v>20000</v>
      </c>
      <c r="L76" s="3">
        <v>1580</v>
      </c>
      <c r="M76" s="3">
        <f t="shared" si="185"/>
        <v>18420</v>
      </c>
      <c r="N76" s="3">
        <v>1000</v>
      </c>
      <c r="O76" s="29">
        <f t="shared" ref="O76:O80" si="215">N76*P76</f>
        <v>0</v>
      </c>
      <c r="P76" s="5">
        <v>0</v>
      </c>
      <c r="Q76" s="6">
        <v>27</v>
      </c>
      <c r="R76" s="6">
        <v>8</v>
      </c>
      <c r="S76" s="6">
        <f t="shared" si="87"/>
        <v>19</v>
      </c>
      <c r="T76" s="34"/>
      <c r="U76" s="35"/>
      <c r="V76" s="35"/>
      <c r="W76" s="35">
        <f t="shared" si="165"/>
        <v>8000</v>
      </c>
      <c r="X76" s="6">
        <f t="shared" si="153"/>
        <v>19000</v>
      </c>
      <c r="Y76" s="35" t="s">
        <v>69</v>
      </c>
      <c r="Z76" s="5" t="s">
        <v>324</v>
      </c>
      <c r="AA76" s="5">
        <f t="shared" ref="AA76:AA80" si="216">P76*14</f>
        <v>0</v>
      </c>
      <c r="AB76" s="5">
        <v>0</v>
      </c>
      <c r="AC76" s="5">
        <f t="shared" ref="AC76:AC80" si="217">AA76*AB76</f>
        <v>0</v>
      </c>
      <c r="AD76" s="5">
        <f t="shared" ref="AD76:AD80" si="218">AA76</f>
        <v>0</v>
      </c>
      <c r="AE76" s="5">
        <v>0</v>
      </c>
      <c r="AF76" s="5" t="str">
        <f t="shared" ref="AF76:AF80" si="219">IF(AA76&gt;90,"YES","NO")</f>
        <v>NO</v>
      </c>
      <c r="AG76" s="5">
        <f t="shared" ref="AG76:AG80" si="220">X76+AC76</f>
        <v>19000</v>
      </c>
      <c r="AH76" s="5" t="s">
        <v>57</v>
      </c>
      <c r="AI76" s="6"/>
      <c r="AJ76" s="6"/>
      <c r="AK76" s="6">
        <f t="shared" ref="AK76:AK80" si="221">N76*Q76</f>
        <v>27000</v>
      </c>
      <c r="AL76" s="6">
        <f t="shared" ref="AL76:AL81" si="222">AK76-K76</f>
        <v>7000</v>
      </c>
      <c r="AM76" s="5">
        <v>0</v>
      </c>
      <c r="AN76" s="32">
        <f t="shared" ref="AN76:AN80" si="223">AL76/Q76</f>
        <v>259.25925925925924</v>
      </c>
      <c r="AO76" s="32">
        <f t="shared" ref="AO76:AO80" si="224">AN76*AM76</f>
        <v>0</v>
      </c>
      <c r="AP76" s="4">
        <v>46183</v>
      </c>
      <c r="AQ76" s="4">
        <v>46185</v>
      </c>
      <c r="AR76" s="4">
        <v>46196</v>
      </c>
      <c r="AT76" s="6" t="str">
        <f t="shared" si="186"/>
        <v>ACTIVE</v>
      </c>
      <c r="AU76" s="6"/>
      <c r="AV76" s="6"/>
      <c r="AW76" s="6"/>
      <c r="AX76" s="6"/>
    </row>
    <row r="77" spans="1:50" ht="15.75">
      <c r="A77" s="28" t="str">
        <f t="shared" si="214"/>
        <v>ACTIVE</v>
      </c>
      <c r="B77" s="5" t="s">
        <v>48</v>
      </c>
      <c r="C77" s="5" t="s">
        <v>49</v>
      </c>
      <c r="D77" s="5" t="s">
        <v>50</v>
      </c>
      <c r="E77" s="5" t="s">
        <v>51</v>
      </c>
      <c r="F77" s="5" t="s">
        <v>297</v>
      </c>
      <c r="G77" s="3" t="s">
        <v>130</v>
      </c>
      <c r="H77" s="3" t="s">
        <v>319</v>
      </c>
      <c r="I77" s="3" t="s">
        <v>320</v>
      </c>
      <c r="J77" s="3">
        <v>9728411675</v>
      </c>
      <c r="K77" s="3">
        <v>20000</v>
      </c>
      <c r="L77" s="3">
        <v>1580</v>
      </c>
      <c r="M77" s="3">
        <f t="shared" si="185"/>
        <v>18420</v>
      </c>
      <c r="N77" s="3">
        <v>1000</v>
      </c>
      <c r="O77" s="29">
        <f t="shared" si="215"/>
        <v>0</v>
      </c>
      <c r="P77" s="5">
        <v>0</v>
      </c>
      <c r="Q77" s="6">
        <v>27</v>
      </c>
      <c r="R77" s="6">
        <v>8</v>
      </c>
      <c r="S77" s="6">
        <f t="shared" si="87"/>
        <v>19</v>
      </c>
      <c r="T77" s="34"/>
      <c r="U77" s="35"/>
      <c r="V77" s="35"/>
      <c r="W77" s="35">
        <f t="shared" si="165"/>
        <v>8000</v>
      </c>
      <c r="X77" s="6">
        <f t="shared" si="153"/>
        <v>19000</v>
      </c>
      <c r="Y77" s="35" t="s">
        <v>69</v>
      </c>
      <c r="Z77" s="5" t="s">
        <v>325</v>
      </c>
      <c r="AA77" s="5">
        <f t="shared" si="216"/>
        <v>0</v>
      </c>
      <c r="AB77" s="5">
        <v>0</v>
      </c>
      <c r="AC77" s="5">
        <f t="shared" si="217"/>
        <v>0</v>
      </c>
      <c r="AD77" s="5">
        <f t="shared" si="218"/>
        <v>0</v>
      </c>
      <c r="AE77" s="5">
        <v>0</v>
      </c>
      <c r="AF77" s="5" t="str">
        <f t="shared" si="219"/>
        <v>NO</v>
      </c>
      <c r="AG77" s="5">
        <f t="shared" si="220"/>
        <v>19000</v>
      </c>
      <c r="AH77" s="5" t="s">
        <v>57</v>
      </c>
      <c r="AI77" s="6"/>
      <c r="AJ77" s="6"/>
      <c r="AK77" s="6">
        <f t="shared" si="221"/>
        <v>27000</v>
      </c>
      <c r="AL77" s="6">
        <f t="shared" si="222"/>
        <v>7000</v>
      </c>
      <c r="AM77" s="5">
        <v>0</v>
      </c>
      <c r="AN77" s="32">
        <f t="shared" si="223"/>
        <v>259.25925925925924</v>
      </c>
      <c r="AO77" s="32">
        <f t="shared" si="224"/>
        <v>0</v>
      </c>
      <c r="AP77" s="4">
        <v>46183</v>
      </c>
      <c r="AQ77" s="4">
        <v>46185</v>
      </c>
      <c r="AR77" s="4">
        <v>46196</v>
      </c>
      <c r="AT77" s="6" t="str">
        <f t="shared" si="186"/>
        <v>ACTIVE</v>
      </c>
      <c r="AU77" s="6"/>
      <c r="AV77" s="6"/>
      <c r="AW77" s="6"/>
      <c r="AX77" s="6"/>
    </row>
    <row r="78" spans="1:50" ht="15.75">
      <c r="A78" s="28" t="str">
        <f t="shared" si="214"/>
        <v>ACTIVE</v>
      </c>
      <c r="B78" s="5" t="s">
        <v>48</v>
      </c>
      <c r="C78" s="5" t="s">
        <v>49</v>
      </c>
      <c r="D78" s="5" t="s">
        <v>50</v>
      </c>
      <c r="E78" s="5" t="s">
        <v>51</v>
      </c>
      <c r="F78" s="5" t="s">
        <v>297</v>
      </c>
      <c r="G78" s="3" t="s">
        <v>130</v>
      </c>
      <c r="H78" s="3" t="s">
        <v>321</v>
      </c>
      <c r="I78" s="3" t="s">
        <v>322</v>
      </c>
      <c r="J78" s="3">
        <v>9034416529</v>
      </c>
      <c r="K78" s="3">
        <v>20000</v>
      </c>
      <c r="L78" s="3">
        <v>1580</v>
      </c>
      <c r="M78" s="3">
        <f t="shared" si="185"/>
        <v>18420</v>
      </c>
      <c r="N78" s="3">
        <v>1000</v>
      </c>
      <c r="O78" s="29">
        <f t="shared" si="215"/>
        <v>0</v>
      </c>
      <c r="P78" s="5">
        <v>0</v>
      </c>
      <c r="Q78" s="6">
        <v>27</v>
      </c>
      <c r="R78" s="6">
        <v>8</v>
      </c>
      <c r="S78" s="6">
        <f t="shared" si="87"/>
        <v>19</v>
      </c>
      <c r="T78" s="34"/>
      <c r="U78" s="35"/>
      <c r="V78" s="35"/>
      <c r="W78" s="35">
        <f t="shared" si="165"/>
        <v>8000</v>
      </c>
      <c r="X78" s="6">
        <f t="shared" si="153"/>
        <v>19000</v>
      </c>
      <c r="Y78" s="35" t="s">
        <v>69</v>
      </c>
      <c r="Z78" s="5" t="s">
        <v>326</v>
      </c>
      <c r="AA78" s="5">
        <f t="shared" si="216"/>
        <v>0</v>
      </c>
      <c r="AB78" s="5">
        <v>0</v>
      </c>
      <c r="AC78" s="5">
        <f t="shared" si="217"/>
        <v>0</v>
      </c>
      <c r="AD78" s="5">
        <f t="shared" si="218"/>
        <v>0</v>
      </c>
      <c r="AE78" s="5">
        <v>0</v>
      </c>
      <c r="AF78" s="5" t="str">
        <f t="shared" si="219"/>
        <v>NO</v>
      </c>
      <c r="AG78" s="5">
        <f t="shared" si="220"/>
        <v>19000</v>
      </c>
      <c r="AH78" s="5" t="s">
        <v>57</v>
      </c>
      <c r="AI78" s="6"/>
      <c r="AJ78" s="6"/>
      <c r="AK78" s="6">
        <f t="shared" si="221"/>
        <v>27000</v>
      </c>
      <c r="AL78" s="6">
        <f t="shared" si="222"/>
        <v>7000</v>
      </c>
      <c r="AM78" s="5">
        <v>0</v>
      </c>
      <c r="AN78" s="32">
        <f t="shared" si="223"/>
        <v>259.25925925925924</v>
      </c>
      <c r="AO78" s="32">
        <f t="shared" si="224"/>
        <v>0</v>
      </c>
      <c r="AP78" s="4">
        <v>46183</v>
      </c>
      <c r="AQ78" s="4">
        <v>46185</v>
      </c>
      <c r="AR78" s="4">
        <v>46196</v>
      </c>
      <c r="AT78" s="6" t="str">
        <f t="shared" si="186"/>
        <v>ACTIVE</v>
      </c>
      <c r="AU78" s="6"/>
      <c r="AV78" s="6"/>
      <c r="AW78" s="6"/>
      <c r="AX78" s="6"/>
    </row>
    <row r="79" spans="1:50" ht="15.75">
      <c r="A79" s="28" t="str">
        <f t="shared" si="214"/>
        <v>ACTIVE</v>
      </c>
      <c r="B79" s="5" t="s">
        <v>48</v>
      </c>
      <c r="C79" s="5" t="s">
        <v>49</v>
      </c>
      <c r="D79" s="5" t="s">
        <v>50</v>
      </c>
      <c r="E79" s="5" t="s">
        <v>51</v>
      </c>
      <c r="F79" s="5" t="s">
        <v>297</v>
      </c>
      <c r="G79" s="3" t="s">
        <v>300</v>
      </c>
      <c r="H79" s="3" t="s">
        <v>180</v>
      </c>
      <c r="I79" s="3" t="s">
        <v>78</v>
      </c>
      <c r="J79" s="3">
        <v>7027786391</v>
      </c>
      <c r="K79" s="3">
        <v>20000</v>
      </c>
      <c r="L79" s="3">
        <v>1580</v>
      </c>
      <c r="M79" s="3">
        <f t="shared" si="185"/>
        <v>18420</v>
      </c>
      <c r="N79" s="3">
        <v>1000</v>
      </c>
      <c r="O79" s="29">
        <f t="shared" si="215"/>
        <v>2000</v>
      </c>
      <c r="P79" s="5">
        <v>2</v>
      </c>
      <c r="Q79" s="6">
        <v>27</v>
      </c>
      <c r="R79" s="6">
        <v>6</v>
      </c>
      <c r="S79" s="6">
        <f t="shared" si="87"/>
        <v>19</v>
      </c>
      <c r="T79" s="34"/>
      <c r="U79" s="35"/>
      <c r="V79" s="35"/>
      <c r="W79" s="35">
        <f t="shared" si="165"/>
        <v>6000</v>
      </c>
      <c r="X79" s="6">
        <f t="shared" si="153"/>
        <v>21000</v>
      </c>
      <c r="Y79" s="35" t="s">
        <v>69</v>
      </c>
      <c r="Z79" s="5" t="s">
        <v>327</v>
      </c>
      <c r="AA79" s="5">
        <f t="shared" si="216"/>
        <v>28</v>
      </c>
      <c r="AB79" s="5">
        <v>0</v>
      </c>
      <c r="AC79" s="5">
        <f t="shared" si="217"/>
        <v>0</v>
      </c>
      <c r="AD79" s="5">
        <f t="shared" si="218"/>
        <v>28</v>
      </c>
      <c r="AE79" s="5">
        <v>0</v>
      </c>
      <c r="AF79" s="5" t="str">
        <f t="shared" si="219"/>
        <v>NO</v>
      </c>
      <c r="AG79" s="5">
        <f t="shared" si="220"/>
        <v>21000</v>
      </c>
      <c r="AH79" s="5" t="s">
        <v>57</v>
      </c>
      <c r="AI79" s="6"/>
      <c r="AJ79" s="6"/>
      <c r="AK79" s="6">
        <f t="shared" si="221"/>
        <v>27000</v>
      </c>
      <c r="AL79" s="6">
        <f t="shared" si="222"/>
        <v>7000</v>
      </c>
      <c r="AM79" s="5">
        <v>0</v>
      </c>
      <c r="AN79" s="32">
        <f t="shared" si="223"/>
        <v>259.25925925925924</v>
      </c>
      <c r="AO79" s="32">
        <f t="shared" si="224"/>
        <v>0</v>
      </c>
      <c r="AP79" s="4">
        <v>46184</v>
      </c>
      <c r="AQ79" s="4">
        <v>46185</v>
      </c>
      <c r="AR79" s="4">
        <v>46196</v>
      </c>
      <c r="AT79" s="6" t="str">
        <f t="shared" si="186"/>
        <v>ACTIVE</v>
      </c>
      <c r="AU79" s="6"/>
      <c r="AV79" s="6"/>
      <c r="AW79" s="6"/>
      <c r="AX79" s="6"/>
    </row>
    <row r="80" spans="1:50" ht="15.75">
      <c r="A80" s="28" t="str">
        <f t="shared" si="214"/>
        <v>ACTIVE</v>
      </c>
      <c r="B80" s="5" t="s">
        <v>48</v>
      </c>
      <c r="C80" s="5" t="s">
        <v>49</v>
      </c>
      <c r="D80" s="5" t="s">
        <v>50</v>
      </c>
      <c r="E80" s="5" t="s">
        <v>51</v>
      </c>
      <c r="F80" s="5" t="s">
        <v>297</v>
      </c>
      <c r="G80" s="3" t="s">
        <v>130</v>
      </c>
      <c r="H80" s="3" t="s">
        <v>323</v>
      </c>
      <c r="I80" s="3" t="s">
        <v>126</v>
      </c>
      <c r="J80" s="3">
        <v>9996695743</v>
      </c>
      <c r="K80" s="3">
        <v>20000</v>
      </c>
      <c r="L80" s="3">
        <v>1580</v>
      </c>
      <c r="M80" s="3">
        <f t="shared" si="185"/>
        <v>18420</v>
      </c>
      <c r="N80" s="3">
        <v>1000</v>
      </c>
      <c r="O80" s="29">
        <f t="shared" si="215"/>
        <v>0</v>
      </c>
      <c r="P80" s="5">
        <v>0</v>
      </c>
      <c r="Q80" s="6">
        <v>27</v>
      </c>
      <c r="R80" s="6">
        <v>8</v>
      </c>
      <c r="S80" s="6">
        <f t="shared" si="87"/>
        <v>19</v>
      </c>
      <c r="T80" s="34"/>
      <c r="U80" s="35"/>
      <c r="V80" s="35"/>
      <c r="W80" s="35">
        <f t="shared" si="165"/>
        <v>8000</v>
      </c>
      <c r="X80" s="6">
        <f t="shared" si="153"/>
        <v>19000</v>
      </c>
      <c r="Y80" s="35" t="s">
        <v>69</v>
      </c>
      <c r="Z80" s="5" t="s">
        <v>328</v>
      </c>
      <c r="AA80" s="5">
        <f t="shared" si="216"/>
        <v>0</v>
      </c>
      <c r="AB80" s="5">
        <v>0</v>
      </c>
      <c r="AC80" s="5">
        <f t="shared" si="217"/>
        <v>0</v>
      </c>
      <c r="AD80" s="5">
        <f t="shared" si="218"/>
        <v>0</v>
      </c>
      <c r="AE80" s="5">
        <v>0</v>
      </c>
      <c r="AF80" s="5" t="str">
        <f t="shared" si="219"/>
        <v>NO</v>
      </c>
      <c r="AG80" s="5">
        <f t="shared" si="220"/>
        <v>19000</v>
      </c>
      <c r="AH80" s="5" t="s">
        <v>57</v>
      </c>
      <c r="AI80" s="6"/>
      <c r="AJ80" s="6"/>
      <c r="AK80" s="6">
        <f t="shared" si="221"/>
        <v>27000</v>
      </c>
      <c r="AL80" s="6">
        <f t="shared" si="222"/>
        <v>7000</v>
      </c>
      <c r="AM80" s="5">
        <v>0</v>
      </c>
      <c r="AN80" s="32">
        <f t="shared" si="223"/>
        <v>259.25925925925924</v>
      </c>
      <c r="AO80" s="32">
        <f t="shared" si="224"/>
        <v>0</v>
      </c>
      <c r="AP80" s="4">
        <v>46183</v>
      </c>
      <c r="AQ80" s="4">
        <v>46185</v>
      </c>
      <c r="AR80" s="4">
        <v>46196</v>
      </c>
      <c r="AT80" s="6" t="str">
        <f t="shared" si="186"/>
        <v>ACTIVE</v>
      </c>
      <c r="AU80" s="6"/>
      <c r="AV80" s="6"/>
      <c r="AW80" s="6"/>
      <c r="AX80" s="6"/>
    </row>
    <row r="81" spans="1:50" ht="15.75" hidden="1">
      <c r="A81" s="28" t="str">
        <f t="shared" ref="A81:A85" si="225">IF(X81=0,"CLOSE","ACTIVE")</f>
        <v>ACTIVE</v>
      </c>
      <c r="B81" s="5" t="s">
        <v>48</v>
      </c>
      <c r="C81" s="5" t="s">
        <v>49</v>
      </c>
      <c r="D81" s="5" t="s">
        <v>50</v>
      </c>
      <c r="E81" s="5" t="s">
        <v>51</v>
      </c>
      <c r="F81" s="5" t="s">
        <v>297</v>
      </c>
      <c r="G81" s="3" t="s">
        <v>206</v>
      </c>
      <c r="H81" s="95" t="s">
        <v>330</v>
      </c>
      <c r="I81" s="3" t="s">
        <v>331</v>
      </c>
      <c r="J81" s="3">
        <v>7015840262</v>
      </c>
      <c r="K81" s="3">
        <v>20000</v>
      </c>
      <c r="L81" s="3">
        <v>1580</v>
      </c>
      <c r="M81" s="3">
        <f t="shared" si="185"/>
        <v>18420</v>
      </c>
      <c r="N81" s="3">
        <v>800</v>
      </c>
      <c r="O81" s="29">
        <f t="shared" ref="O81" si="226">N81*P81</f>
        <v>0</v>
      </c>
      <c r="P81" s="5">
        <v>0</v>
      </c>
      <c r="Q81" s="6">
        <v>34</v>
      </c>
      <c r="R81" s="6">
        <v>8</v>
      </c>
      <c r="S81" s="6">
        <f t="shared" si="87"/>
        <v>26</v>
      </c>
      <c r="T81" s="34"/>
      <c r="U81" s="35"/>
      <c r="V81" s="35"/>
      <c r="W81" s="35">
        <f t="shared" si="165"/>
        <v>6400</v>
      </c>
      <c r="X81" s="6">
        <f t="shared" si="153"/>
        <v>20800</v>
      </c>
      <c r="Y81" s="35" t="s">
        <v>55</v>
      </c>
      <c r="Z81" s="5" t="s">
        <v>332</v>
      </c>
      <c r="AA81" s="5">
        <f t="shared" ref="AA81" si="227">P81*14</f>
        <v>0</v>
      </c>
      <c r="AB81" s="5">
        <v>0</v>
      </c>
      <c r="AC81" s="5">
        <f t="shared" ref="AC81" si="228">AA81*AB81</f>
        <v>0</v>
      </c>
      <c r="AD81" s="5">
        <f t="shared" ref="AD81" si="229">AA81</f>
        <v>0</v>
      </c>
      <c r="AE81" s="5">
        <v>0</v>
      </c>
      <c r="AF81" s="5" t="str">
        <f t="shared" ref="AF81" si="230">IF(AA81&gt;90,"YES","NO")</f>
        <v>NO</v>
      </c>
      <c r="AG81" s="5">
        <f t="shared" ref="AG81" si="231">X81+AC81</f>
        <v>20800</v>
      </c>
      <c r="AH81" s="5" t="s">
        <v>57</v>
      </c>
      <c r="AI81" s="6"/>
      <c r="AJ81" s="6"/>
      <c r="AK81" s="6">
        <f t="shared" ref="AK81" si="232">N81*Q81</f>
        <v>27200</v>
      </c>
      <c r="AL81" s="6">
        <f t="shared" si="222"/>
        <v>7200</v>
      </c>
      <c r="AM81" s="5">
        <v>0</v>
      </c>
      <c r="AN81" s="32">
        <f t="shared" ref="AN81" si="233">AL81/Q81</f>
        <v>211.76470588235293</v>
      </c>
      <c r="AO81" s="32">
        <f t="shared" ref="AO81:AO85" si="234">AN81*AM81</f>
        <v>0</v>
      </c>
      <c r="AP81" s="4">
        <v>46184</v>
      </c>
      <c r="AQ81" s="4">
        <v>46186</v>
      </c>
      <c r="AR81" s="4">
        <v>46197</v>
      </c>
      <c r="AT81" s="6" t="str">
        <f t="shared" si="186"/>
        <v>ACTIVE</v>
      </c>
      <c r="AU81" s="6"/>
      <c r="AV81" s="6"/>
      <c r="AW81" s="6"/>
      <c r="AX81" s="6"/>
    </row>
    <row r="82" spans="1:50" ht="15.75" hidden="1">
      <c r="A82" s="35" t="str">
        <f t="shared" si="225"/>
        <v>ACTIVE</v>
      </c>
      <c r="B82" s="5" t="s">
        <v>48</v>
      </c>
      <c r="C82" s="5" t="s">
        <v>49</v>
      </c>
      <c r="D82" s="5" t="s">
        <v>50</v>
      </c>
      <c r="E82" s="5" t="s">
        <v>51</v>
      </c>
      <c r="F82" s="5" t="s">
        <v>297</v>
      </c>
      <c r="G82" s="3" t="s">
        <v>348</v>
      </c>
      <c r="H82" s="3" t="s">
        <v>333</v>
      </c>
      <c r="I82" s="3" t="s">
        <v>334</v>
      </c>
      <c r="J82" s="3">
        <v>8708050493</v>
      </c>
      <c r="K82" s="3">
        <v>20000</v>
      </c>
      <c r="L82" s="3">
        <v>1580</v>
      </c>
      <c r="M82" s="3">
        <f t="shared" si="185"/>
        <v>18420</v>
      </c>
      <c r="N82" s="3">
        <v>1000</v>
      </c>
      <c r="O82" s="29">
        <f t="shared" ref="O82:O86" si="235">N82*P82</f>
        <v>0</v>
      </c>
      <c r="P82" s="5">
        <v>0</v>
      </c>
      <c r="Q82" s="6">
        <v>27</v>
      </c>
      <c r="R82" s="6">
        <v>7</v>
      </c>
      <c r="S82" s="6">
        <f t="shared" si="87"/>
        <v>20</v>
      </c>
      <c r="T82" s="34"/>
      <c r="U82" s="35"/>
      <c r="V82" s="35"/>
      <c r="W82" s="35">
        <f t="shared" si="165"/>
        <v>7000</v>
      </c>
      <c r="X82" s="6">
        <f t="shared" si="153"/>
        <v>20000</v>
      </c>
      <c r="Y82" s="35" t="s">
        <v>55</v>
      </c>
      <c r="Z82" s="5" t="s">
        <v>343</v>
      </c>
      <c r="AA82" s="5">
        <f t="shared" ref="AA82:AA85" si="236">P82*14</f>
        <v>0</v>
      </c>
      <c r="AB82" s="5">
        <v>0</v>
      </c>
      <c r="AC82" s="5">
        <f t="shared" ref="AC82:AC85" si="237">AA82*AB82</f>
        <v>0</v>
      </c>
      <c r="AD82" s="5">
        <f t="shared" ref="AD82:AD85" si="238">AA82</f>
        <v>0</v>
      </c>
      <c r="AE82" s="5">
        <v>0</v>
      </c>
      <c r="AF82" s="5" t="str">
        <f t="shared" ref="AF82:AF85" si="239">IF(AA82&gt;90,"YES","NO")</f>
        <v>NO</v>
      </c>
      <c r="AG82" s="5">
        <f t="shared" ref="AG82:AG85" si="240">X82+AC82</f>
        <v>20000</v>
      </c>
      <c r="AH82" s="5" t="s">
        <v>57</v>
      </c>
      <c r="AI82" s="6"/>
      <c r="AJ82" s="6"/>
      <c r="AK82" s="6">
        <f t="shared" ref="AK82:AK85" si="241">N82*Q82</f>
        <v>27000</v>
      </c>
      <c r="AL82" s="6">
        <f t="shared" ref="AL82:AL85" si="242">AK82-K82</f>
        <v>7000</v>
      </c>
      <c r="AM82" s="5">
        <v>0</v>
      </c>
      <c r="AN82" s="32">
        <f t="shared" ref="AN82:AN85" si="243">AL82/Q82</f>
        <v>259.25925925925924</v>
      </c>
      <c r="AO82" s="32">
        <f t="shared" si="234"/>
        <v>0</v>
      </c>
      <c r="AP82" s="4">
        <v>38880</v>
      </c>
      <c r="AQ82" s="4">
        <v>46191</v>
      </c>
      <c r="AR82" s="4">
        <v>46204</v>
      </c>
      <c r="AT82" s="6" t="str">
        <f t="shared" si="186"/>
        <v>ACTIVE</v>
      </c>
      <c r="AU82" s="6"/>
      <c r="AV82" s="6"/>
      <c r="AW82" s="6"/>
      <c r="AX82" s="6"/>
    </row>
    <row r="83" spans="1:50" ht="15.75" hidden="1">
      <c r="A83" s="35" t="str">
        <f t="shared" si="225"/>
        <v>ACTIVE</v>
      </c>
      <c r="B83" s="5" t="s">
        <v>48</v>
      </c>
      <c r="C83" s="5" t="s">
        <v>49</v>
      </c>
      <c r="D83" s="5" t="s">
        <v>50</v>
      </c>
      <c r="E83" s="5" t="s">
        <v>51</v>
      </c>
      <c r="F83" s="5" t="s">
        <v>297</v>
      </c>
      <c r="G83" s="3" t="s">
        <v>348</v>
      </c>
      <c r="H83" s="3" t="s">
        <v>335</v>
      </c>
      <c r="I83" s="3" t="s">
        <v>336</v>
      </c>
      <c r="J83" s="3">
        <v>8708050493</v>
      </c>
      <c r="K83" s="3">
        <v>20000</v>
      </c>
      <c r="L83" s="3">
        <v>1580</v>
      </c>
      <c r="M83" s="3">
        <f t="shared" si="185"/>
        <v>18420</v>
      </c>
      <c r="N83" s="3">
        <v>1000</v>
      </c>
      <c r="O83" s="29">
        <f t="shared" si="235"/>
        <v>0</v>
      </c>
      <c r="P83" s="5">
        <v>0</v>
      </c>
      <c r="Q83" s="6">
        <v>27</v>
      </c>
      <c r="R83" s="6">
        <v>7</v>
      </c>
      <c r="S83" s="6">
        <f t="shared" si="87"/>
        <v>20</v>
      </c>
      <c r="T83" s="34"/>
      <c r="U83" s="35"/>
      <c r="V83" s="35"/>
      <c r="W83" s="35">
        <f t="shared" si="165"/>
        <v>7000</v>
      </c>
      <c r="X83" s="6">
        <f t="shared" si="153"/>
        <v>20000</v>
      </c>
      <c r="Y83" s="35" t="s">
        <v>55</v>
      </c>
      <c r="Z83" s="5" t="s">
        <v>344</v>
      </c>
      <c r="AA83" s="5">
        <f t="shared" si="236"/>
        <v>0</v>
      </c>
      <c r="AB83" s="5">
        <v>0</v>
      </c>
      <c r="AC83" s="5">
        <f t="shared" si="237"/>
        <v>0</v>
      </c>
      <c r="AD83" s="5">
        <f t="shared" si="238"/>
        <v>0</v>
      </c>
      <c r="AE83" s="5">
        <v>0</v>
      </c>
      <c r="AF83" s="5" t="str">
        <f t="shared" si="239"/>
        <v>NO</v>
      </c>
      <c r="AG83" s="5">
        <f t="shared" si="240"/>
        <v>20000</v>
      </c>
      <c r="AH83" s="5" t="s">
        <v>57</v>
      </c>
      <c r="AI83" s="6"/>
      <c r="AJ83" s="6"/>
      <c r="AK83" s="6">
        <f t="shared" si="241"/>
        <v>27000</v>
      </c>
      <c r="AL83" s="6">
        <f t="shared" si="242"/>
        <v>7000</v>
      </c>
      <c r="AM83" s="5">
        <v>0</v>
      </c>
      <c r="AN83" s="32">
        <f t="shared" si="243"/>
        <v>259.25925925925924</v>
      </c>
      <c r="AO83" s="32">
        <f t="shared" si="234"/>
        <v>0</v>
      </c>
      <c r="AP83" s="4">
        <v>46186</v>
      </c>
      <c r="AQ83" s="4">
        <v>46191</v>
      </c>
      <c r="AR83" s="4">
        <v>46204</v>
      </c>
      <c r="AT83" s="6" t="str">
        <f t="shared" si="186"/>
        <v>ACTIVE</v>
      </c>
      <c r="AU83" s="6"/>
      <c r="AV83" s="6"/>
      <c r="AW83" s="6"/>
      <c r="AX83" s="6"/>
    </row>
    <row r="84" spans="1:50" ht="15.75">
      <c r="A84" s="35" t="str">
        <f t="shared" si="225"/>
        <v>ACTIVE</v>
      </c>
      <c r="B84" s="5" t="s">
        <v>48</v>
      </c>
      <c r="C84" s="5" t="s">
        <v>49</v>
      </c>
      <c r="D84" s="5" t="s">
        <v>50</v>
      </c>
      <c r="E84" s="5" t="s">
        <v>51</v>
      </c>
      <c r="F84" s="5" t="s">
        <v>297</v>
      </c>
      <c r="G84" s="3" t="s">
        <v>349</v>
      </c>
      <c r="H84" s="3" t="s">
        <v>337</v>
      </c>
      <c r="I84" s="3" t="s">
        <v>338</v>
      </c>
      <c r="J84" s="3">
        <v>9306916119</v>
      </c>
      <c r="K84" s="3">
        <v>15000</v>
      </c>
      <c r="L84" s="3">
        <v>1260</v>
      </c>
      <c r="M84" s="3">
        <f t="shared" si="185"/>
        <v>13740</v>
      </c>
      <c r="N84" s="3">
        <v>810</v>
      </c>
      <c r="O84" s="29">
        <f t="shared" si="235"/>
        <v>0</v>
      </c>
      <c r="P84" s="5">
        <v>0</v>
      </c>
      <c r="Q84" s="6">
        <v>25</v>
      </c>
      <c r="R84" s="6">
        <v>6</v>
      </c>
      <c r="S84" s="6">
        <f t="shared" si="87"/>
        <v>19</v>
      </c>
      <c r="T84" s="34"/>
      <c r="U84" s="35"/>
      <c r="V84" s="35"/>
      <c r="W84" s="35">
        <f t="shared" si="165"/>
        <v>4860</v>
      </c>
      <c r="X84" s="6">
        <f t="shared" si="153"/>
        <v>15390</v>
      </c>
      <c r="Y84" s="35" t="s">
        <v>69</v>
      </c>
      <c r="Z84" s="5" t="s">
        <v>345</v>
      </c>
      <c r="AA84" s="5">
        <f t="shared" si="236"/>
        <v>0</v>
      </c>
      <c r="AB84" s="5">
        <v>0</v>
      </c>
      <c r="AC84" s="5">
        <f t="shared" si="237"/>
        <v>0</v>
      </c>
      <c r="AD84" s="5">
        <f t="shared" si="238"/>
        <v>0</v>
      </c>
      <c r="AE84" s="5">
        <v>0</v>
      </c>
      <c r="AF84" s="5" t="str">
        <f t="shared" si="239"/>
        <v>NO</v>
      </c>
      <c r="AG84" s="5">
        <f t="shared" si="240"/>
        <v>15390</v>
      </c>
      <c r="AH84" s="5" t="s">
        <v>57</v>
      </c>
      <c r="AI84" s="6"/>
      <c r="AJ84" s="6"/>
      <c r="AK84" s="6">
        <f t="shared" si="241"/>
        <v>20250</v>
      </c>
      <c r="AL84" s="6">
        <f t="shared" si="242"/>
        <v>5250</v>
      </c>
      <c r="AM84" s="5">
        <v>0</v>
      </c>
      <c r="AN84" s="32">
        <f t="shared" si="243"/>
        <v>210</v>
      </c>
      <c r="AO84" s="32">
        <f t="shared" si="234"/>
        <v>0</v>
      </c>
      <c r="AP84" s="4">
        <v>46186</v>
      </c>
      <c r="AQ84" s="4">
        <v>46191</v>
      </c>
      <c r="AR84" s="4">
        <v>46210</v>
      </c>
      <c r="AT84" s="6" t="str">
        <f t="shared" si="186"/>
        <v>ACTIVE</v>
      </c>
      <c r="AU84" s="6"/>
      <c r="AV84" s="6"/>
      <c r="AW84" s="6"/>
      <c r="AX84" s="6"/>
    </row>
    <row r="85" spans="1:50" ht="15.75" hidden="1">
      <c r="A85" s="35" t="str">
        <f t="shared" si="225"/>
        <v>ACTIVE</v>
      </c>
      <c r="B85" s="5" t="s">
        <v>48</v>
      </c>
      <c r="C85" s="5" t="s">
        <v>49</v>
      </c>
      <c r="D85" s="5" t="s">
        <v>50</v>
      </c>
      <c r="E85" s="5" t="s">
        <v>51</v>
      </c>
      <c r="F85" s="5" t="s">
        <v>297</v>
      </c>
      <c r="G85" s="3" t="s">
        <v>49</v>
      </c>
      <c r="H85" s="3" t="s">
        <v>339</v>
      </c>
      <c r="I85" s="3" t="s">
        <v>340</v>
      </c>
      <c r="J85" s="3">
        <v>7496866457</v>
      </c>
      <c r="K85" s="3">
        <v>15000</v>
      </c>
      <c r="L85" s="3">
        <v>1260</v>
      </c>
      <c r="M85" s="3">
        <f t="shared" si="185"/>
        <v>13740</v>
      </c>
      <c r="N85" s="3">
        <v>810</v>
      </c>
      <c r="O85" s="29">
        <f t="shared" si="235"/>
        <v>0</v>
      </c>
      <c r="P85" s="5">
        <v>0</v>
      </c>
      <c r="Q85" s="6">
        <v>25</v>
      </c>
      <c r="R85" s="6">
        <v>7</v>
      </c>
      <c r="S85" s="6">
        <f t="shared" si="87"/>
        <v>18</v>
      </c>
      <c r="T85" s="34"/>
      <c r="U85" s="35"/>
      <c r="V85" s="35"/>
      <c r="W85" s="35">
        <f t="shared" si="165"/>
        <v>5670</v>
      </c>
      <c r="X85" s="6">
        <f t="shared" si="153"/>
        <v>14580</v>
      </c>
      <c r="Y85" s="35" t="s">
        <v>55</v>
      </c>
      <c r="Z85" s="5" t="s">
        <v>346</v>
      </c>
      <c r="AA85" s="5">
        <f t="shared" si="236"/>
        <v>0</v>
      </c>
      <c r="AB85" s="5">
        <v>0</v>
      </c>
      <c r="AC85" s="5">
        <f t="shared" si="237"/>
        <v>0</v>
      </c>
      <c r="AD85" s="5">
        <f t="shared" si="238"/>
        <v>0</v>
      </c>
      <c r="AE85" s="5">
        <v>0</v>
      </c>
      <c r="AF85" s="5" t="str">
        <f t="shared" si="239"/>
        <v>NO</v>
      </c>
      <c r="AG85" s="5">
        <f t="shared" si="240"/>
        <v>14580</v>
      </c>
      <c r="AH85" s="5" t="s">
        <v>57</v>
      </c>
      <c r="AI85" s="6"/>
      <c r="AJ85" s="6"/>
      <c r="AK85" s="6">
        <f t="shared" si="241"/>
        <v>20250</v>
      </c>
      <c r="AL85" s="6">
        <f t="shared" si="242"/>
        <v>5250</v>
      </c>
      <c r="AM85" s="5">
        <v>0</v>
      </c>
      <c r="AN85" s="32">
        <f t="shared" si="243"/>
        <v>210</v>
      </c>
      <c r="AO85" s="32">
        <f t="shared" si="234"/>
        <v>0</v>
      </c>
      <c r="AP85" s="4">
        <v>46189</v>
      </c>
      <c r="AQ85" s="4">
        <v>46191</v>
      </c>
      <c r="AR85" s="4">
        <v>46204</v>
      </c>
      <c r="AT85" s="6" t="str">
        <f t="shared" si="186"/>
        <v>ACTIVE</v>
      </c>
      <c r="AU85" s="6"/>
      <c r="AV85" s="6"/>
      <c r="AW85" s="6"/>
      <c r="AX85" s="6"/>
    </row>
    <row r="86" spans="1:50" ht="15.75" hidden="1">
      <c r="A86" s="35" t="str">
        <f t="shared" ref="A86:A92" si="244">IF(X86=0,"CLOSE","ACTIVE")</f>
        <v>ACTIVE</v>
      </c>
      <c r="B86" s="5" t="s">
        <v>48</v>
      </c>
      <c r="C86" s="5" t="s">
        <v>49</v>
      </c>
      <c r="D86" s="5" t="s">
        <v>50</v>
      </c>
      <c r="E86" s="5" t="s">
        <v>51</v>
      </c>
      <c r="F86" s="5" t="s">
        <v>297</v>
      </c>
      <c r="G86" s="3" t="s">
        <v>49</v>
      </c>
      <c r="H86" s="3" t="s">
        <v>341</v>
      </c>
      <c r="I86" s="3" t="s">
        <v>342</v>
      </c>
      <c r="J86" s="3">
        <v>7496866457</v>
      </c>
      <c r="K86" s="3">
        <v>20000</v>
      </c>
      <c r="L86" s="3">
        <v>1580</v>
      </c>
      <c r="M86" s="3">
        <f t="shared" si="185"/>
        <v>18420</v>
      </c>
      <c r="N86" s="3">
        <v>1000</v>
      </c>
      <c r="O86" s="29">
        <f t="shared" si="235"/>
        <v>0</v>
      </c>
      <c r="P86" s="5">
        <v>0</v>
      </c>
      <c r="Q86" s="6">
        <v>27</v>
      </c>
      <c r="R86" s="6">
        <v>7</v>
      </c>
      <c r="S86" s="6">
        <f t="shared" si="87"/>
        <v>20</v>
      </c>
      <c r="T86" s="34"/>
      <c r="U86" s="35"/>
      <c r="V86" s="35"/>
      <c r="W86" s="35">
        <f t="shared" si="165"/>
        <v>7000</v>
      </c>
      <c r="X86" s="6">
        <f t="shared" si="153"/>
        <v>20000</v>
      </c>
      <c r="Y86" s="35" t="s">
        <v>55</v>
      </c>
      <c r="Z86" s="5" t="s">
        <v>347</v>
      </c>
      <c r="AA86" s="5">
        <f t="shared" ref="AA86:AA93" si="245">P86*14</f>
        <v>0</v>
      </c>
      <c r="AB86" s="5">
        <v>0</v>
      </c>
      <c r="AC86" s="5">
        <f t="shared" ref="AC86:AC93" si="246">AA86*AB86</f>
        <v>0</v>
      </c>
      <c r="AD86" s="5">
        <f t="shared" ref="AD86:AD93" si="247">AA86</f>
        <v>0</v>
      </c>
      <c r="AE86" s="5">
        <v>0</v>
      </c>
      <c r="AF86" s="5" t="str">
        <f t="shared" ref="AF86:AF93" si="248">IF(AA86&gt;90,"YES","NO")</f>
        <v>NO</v>
      </c>
      <c r="AG86" s="5">
        <f t="shared" ref="AG86:AG93" si="249">X86+AC86</f>
        <v>20000</v>
      </c>
      <c r="AH86" s="5" t="s">
        <v>57</v>
      </c>
      <c r="AI86" s="6"/>
      <c r="AJ86" s="6"/>
      <c r="AK86" s="6">
        <f t="shared" ref="AK86:AK93" si="250">N86*Q86</f>
        <v>27000</v>
      </c>
      <c r="AL86" s="6">
        <f t="shared" ref="AL86:AL93" si="251">AK86-K86</f>
        <v>7000</v>
      </c>
      <c r="AM86" s="5">
        <v>0</v>
      </c>
      <c r="AN86" s="32">
        <f t="shared" ref="AN86:AN93" si="252">AL86/Q86</f>
        <v>259.25925925925924</v>
      </c>
      <c r="AO86" s="32">
        <f t="shared" ref="AO86:AO93" si="253">AN86*AM86</f>
        <v>0</v>
      </c>
      <c r="AP86" s="4">
        <v>46185</v>
      </c>
      <c r="AQ86" s="4">
        <v>46191</v>
      </c>
      <c r="AR86" s="4">
        <v>46204</v>
      </c>
      <c r="AT86" s="6" t="str">
        <f t="shared" si="186"/>
        <v>ACTIVE</v>
      </c>
      <c r="AU86" s="6"/>
      <c r="AV86" s="6"/>
      <c r="AW86" s="6"/>
      <c r="AX86" s="6"/>
    </row>
    <row r="87" spans="1:50" ht="15.75">
      <c r="A87" s="35" t="str">
        <f t="shared" si="244"/>
        <v>ACTIVE</v>
      </c>
      <c r="B87" s="5" t="s">
        <v>48</v>
      </c>
      <c r="C87" s="5" t="s">
        <v>49</v>
      </c>
      <c r="D87" s="5" t="s">
        <v>50</v>
      </c>
      <c r="E87" s="5" t="s">
        <v>51</v>
      </c>
      <c r="F87" s="5" t="s">
        <v>297</v>
      </c>
      <c r="G87" s="3" t="s">
        <v>197</v>
      </c>
      <c r="H87" s="3" t="s">
        <v>358</v>
      </c>
      <c r="I87" s="3" t="s">
        <v>364</v>
      </c>
      <c r="J87" s="3">
        <v>9319598592</v>
      </c>
      <c r="K87" s="3">
        <v>20000</v>
      </c>
      <c r="L87" s="3">
        <v>1580</v>
      </c>
      <c r="M87" s="3">
        <f t="shared" si="185"/>
        <v>18420</v>
      </c>
      <c r="N87" s="3">
        <v>1000</v>
      </c>
      <c r="O87" s="29">
        <f t="shared" ref="O87:O93" si="254">N87*P87</f>
        <v>0</v>
      </c>
      <c r="P87" s="5">
        <v>0</v>
      </c>
      <c r="Q87" s="3">
        <v>27</v>
      </c>
      <c r="R87" s="6">
        <v>6</v>
      </c>
      <c r="S87" s="6">
        <f t="shared" si="87"/>
        <v>21</v>
      </c>
      <c r="T87" s="34"/>
      <c r="U87" s="35"/>
      <c r="V87" s="35"/>
      <c r="W87" s="35">
        <f t="shared" si="165"/>
        <v>6000</v>
      </c>
      <c r="X87" s="6">
        <f t="shared" si="153"/>
        <v>21000</v>
      </c>
      <c r="Y87" s="35" t="s">
        <v>69</v>
      </c>
      <c r="Z87" s="5" t="s">
        <v>350</v>
      </c>
      <c r="AA87" s="5">
        <f t="shared" si="245"/>
        <v>0</v>
      </c>
      <c r="AB87" s="5">
        <v>0</v>
      </c>
      <c r="AC87" s="5">
        <f t="shared" si="246"/>
        <v>0</v>
      </c>
      <c r="AD87" s="5">
        <f t="shared" si="247"/>
        <v>0</v>
      </c>
      <c r="AE87" s="5">
        <v>0</v>
      </c>
      <c r="AF87" s="5" t="str">
        <f t="shared" si="248"/>
        <v>NO</v>
      </c>
      <c r="AG87" s="5">
        <f t="shared" si="249"/>
        <v>21000</v>
      </c>
      <c r="AH87" s="5" t="s">
        <v>57</v>
      </c>
      <c r="AI87" s="6"/>
      <c r="AJ87" s="6"/>
      <c r="AK87" s="6">
        <f t="shared" si="250"/>
        <v>27000</v>
      </c>
      <c r="AL87" s="6">
        <f t="shared" si="251"/>
        <v>7000</v>
      </c>
      <c r="AM87" s="5">
        <v>0</v>
      </c>
      <c r="AN87" s="32">
        <f t="shared" si="252"/>
        <v>259.25925925925924</v>
      </c>
      <c r="AO87" s="32">
        <f t="shared" si="253"/>
        <v>0</v>
      </c>
      <c r="AP87" s="4">
        <v>46195</v>
      </c>
      <c r="AQ87" s="4">
        <v>46197</v>
      </c>
      <c r="AR87" s="4">
        <v>46210</v>
      </c>
      <c r="AT87" s="6" t="str">
        <f t="shared" si="186"/>
        <v>ACTIVE</v>
      </c>
      <c r="AU87" s="6"/>
      <c r="AV87" s="6"/>
      <c r="AW87" s="6"/>
      <c r="AX87" s="6"/>
    </row>
    <row r="88" spans="1:50" ht="15.75">
      <c r="A88" s="35" t="str">
        <f t="shared" si="244"/>
        <v>ACTIVE</v>
      </c>
      <c r="B88" s="5" t="s">
        <v>48</v>
      </c>
      <c r="C88" s="5" t="s">
        <v>49</v>
      </c>
      <c r="D88" s="5" t="s">
        <v>50</v>
      </c>
      <c r="E88" s="5" t="s">
        <v>51</v>
      </c>
      <c r="F88" s="5" t="s">
        <v>297</v>
      </c>
      <c r="G88" s="3" t="s">
        <v>308</v>
      </c>
      <c r="H88" s="3" t="s">
        <v>360</v>
      </c>
      <c r="I88" s="3" t="s">
        <v>365</v>
      </c>
      <c r="J88" s="3">
        <v>9582305438</v>
      </c>
      <c r="K88" s="3">
        <v>15000</v>
      </c>
      <c r="L88" s="3">
        <v>1260</v>
      </c>
      <c r="M88" s="3">
        <f t="shared" si="185"/>
        <v>13740</v>
      </c>
      <c r="N88" s="3">
        <v>810</v>
      </c>
      <c r="O88" s="29">
        <f t="shared" si="254"/>
        <v>0</v>
      </c>
      <c r="P88" s="5">
        <v>0</v>
      </c>
      <c r="Q88" s="3">
        <v>25</v>
      </c>
      <c r="R88" s="6">
        <v>6</v>
      </c>
      <c r="S88" s="6">
        <f t="shared" si="87"/>
        <v>19</v>
      </c>
      <c r="T88" s="34"/>
      <c r="U88" s="35"/>
      <c r="V88" s="35"/>
      <c r="W88" s="35">
        <f t="shared" si="165"/>
        <v>4860</v>
      </c>
      <c r="X88" s="6">
        <f t="shared" si="153"/>
        <v>15390</v>
      </c>
      <c r="Y88" s="35" t="s">
        <v>69</v>
      </c>
      <c r="Z88" s="5" t="s">
        <v>351</v>
      </c>
      <c r="AA88" s="5">
        <f t="shared" si="245"/>
        <v>0</v>
      </c>
      <c r="AB88" s="5">
        <v>0</v>
      </c>
      <c r="AC88" s="5">
        <f t="shared" si="246"/>
        <v>0</v>
      </c>
      <c r="AD88" s="5">
        <f t="shared" si="247"/>
        <v>0</v>
      </c>
      <c r="AE88" s="5">
        <v>0</v>
      </c>
      <c r="AF88" s="5" t="str">
        <f t="shared" si="248"/>
        <v>NO</v>
      </c>
      <c r="AG88" s="5">
        <f t="shared" si="249"/>
        <v>15390</v>
      </c>
      <c r="AH88" s="5" t="s">
        <v>57</v>
      </c>
      <c r="AI88" s="6"/>
      <c r="AJ88" s="6"/>
      <c r="AK88" s="6">
        <f t="shared" si="250"/>
        <v>20250</v>
      </c>
      <c r="AL88" s="6">
        <f t="shared" si="251"/>
        <v>5250</v>
      </c>
      <c r="AM88" s="5">
        <v>0</v>
      </c>
      <c r="AN88" s="32">
        <f t="shared" si="252"/>
        <v>210</v>
      </c>
      <c r="AO88" s="32">
        <f t="shared" si="253"/>
        <v>0</v>
      </c>
      <c r="AP88" s="4">
        <v>46195</v>
      </c>
      <c r="AQ88" s="4">
        <v>46197</v>
      </c>
      <c r="AR88" s="4">
        <v>46210</v>
      </c>
      <c r="AT88" s="6" t="str">
        <f t="shared" si="186"/>
        <v>ACTIVE</v>
      </c>
      <c r="AU88" s="6"/>
      <c r="AV88" s="6"/>
      <c r="AW88" s="6"/>
      <c r="AX88" s="6"/>
    </row>
    <row r="89" spans="1:50" ht="15.75">
      <c r="A89" s="35" t="str">
        <f t="shared" si="244"/>
        <v>ACTIVE</v>
      </c>
      <c r="B89" s="5" t="s">
        <v>48</v>
      </c>
      <c r="C89" s="5" t="s">
        <v>49</v>
      </c>
      <c r="D89" s="5" t="s">
        <v>50</v>
      </c>
      <c r="E89" s="5" t="s">
        <v>51</v>
      </c>
      <c r="F89" s="5" t="s">
        <v>297</v>
      </c>
      <c r="G89" s="3" t="s">
        <v>300</v>
      </c>
      <c r="H89" s="3" t="s">
        <v>359</v>
      </c>
      <c r="I89" s="3" t="s">
        <v>366</v>
      </c>
      <c r="J89" s="3">
        <v>9813880978</v>
      </c>
      <c r="K89" s="3">
        <v>15000</v>
      </c>
      <c r="L89" s="3">
        <v>1260</v>
      </c>
      <c r="M89" s="3">
        <f t="shared" si="185"/>
        <v>13740</v>
      </c>
      <c r="N89" s="3">
        <v>810</v>
      </c>
      <c r="O89" s="29">
        <f t="shared" si="254"/>
        <v>0</v>
      </c>
      <c r="P89" s="5">
        <v>0</v>
      </c>
      <c r="Q89" s="3">
        <v>25</v>
      </c>
      <c r="R89" s="6">
        <v>6</v>
      </c>
      <c r="S89" s="6">
        <f t="shared" si="87"/>
        <v>19</v>
      </c>
      <c r="T89" s="34"/>
      <c r="U89" s="35"/>
      <c r="V89" s="35"/>
      <c r="W89" s="35">
        <f t="shared" si="165"/>
        <v>4860</v>
      </c>
      <c r="X89" s="6">
        <f t="shared" si="153"/>
        <v>15390</v>
      </c>
      <c r="Y89" s="35" t="s">
        <v>69</v>
      </c>
      <c r="Z89" s="5" t="s">
        <v>352</v>
      </c>
      <c r="AA89" s="5">
        <f t="shared" si="245"/>
        <v>0</v>
      </c>
      <c r="AB89" s="5">
        <v>0</v>
      </c>
      <c r="AC89" s="5">
        <f t="shared" si="246"/>
        <v>0</v>
      </c>
      <c r="AD89" s="5">
        <f t="shared" si="247"/>
        <v>0</v>
      </c>
      <c r="AE89" s="5">
        <v>0</v>
      </c>
      <c r="AF89" s="5" t="str">
        <f t="shared" si="248"/>
        <v>NO</v>
      </c>
      <c r="AG89" s="5">
        <f t="shared" si="249"/>
        <v>15390</v>
      </c>
      <c r="AH89" s="5" t="s">
        <v>57</v>
      </c>
      <c r="AI89" s="6"/>
      <c r="AJ89" s="6"/>
      <c r="AK89" s="6">
        <f t="shared" si="250"/>
        <v>20250</v>
      </c>
      <c r="AL89" s="6">
        <f t="shared" si="251"/>
        <v>5250</v>
      </c>
      <c r="AM89" s="5">
        <v>0</v>
      </c>
      <c r="AN89" s="32">
        <f t="shared" si="252"/>
        <v>210</v>
      </c>
      <c r="AO89" s="32">
        <f t="shared" si="253"/>
        <v>0</v>
      </c>
      <c r="AP89" s="4">
        <v>46190</v>
      </c>
      <c r="AQ89" s="4">
        <v>46197</v>
      </c>
      <c r="AR89" s="4">
        <v>46210</v>
      </c>
      <c r="AT89" s="6" t="str">
        <f t="shared" si="186"/>
        <v>ACTIVE</v>
      </c>
      <c r="AU89" s="6"/>
      <c r="AV89" s="6"/>
      <c r="AW89" s="6"/>
      <c r="AX89" s="6"/>
    </row>
    <row r="90" spans="1:50" ht="15.75">
      <c r="A90" s="35" t="str">
        <f t="shared" si="244"/>
        <v>ACTIVE</v>
      </c>
      <c r="B90" s="5" t="s">
        <v>48</v>
      </c>
      <c r="C90" s="5" t="s">
        <v>49</v>
      </c>
      <c r="D90" s="5" t="s">
        <v>50</v>
      </c>
      <c r="E90" s="5" t="s">
        <v>51</v>
      </c>
      <c r="F90" s="5" t="s">
        <v>297</v>
      </c>
      <c r="G90" s="3" t="s">
        <v>308</v>
      </c>
      <c r="H90" s="3" t="s">
        <v>361</v>
      </c>
      <c r="I90" s="3" t="s">
        <v>367</v>
      </c>
      <c r="J90" s="3">
        <v>9319848440</v>
      </c>
      <c r="K90" s="3">
        <v>20000</v>
      </c>
      <c r="L90" s="3">
        <v>1580</v>
      </c>
      <c r="M90" s="3">
        <f t="shared" si="185"/>
        <v>18420</v>
      </c>
      <c r="N90" s="3">
        <v>1000</v>
      </c>
      <c r="O90" s="29">
        <f t="shared" si="254"/>
        <v>0</v>
      </c>
      <c r="P90" s="5">
        <v>0</v>
      </c>
      <c r="Q90" s="3">
        <v>27</v>
      </c>
      <c r="R90" s="6">
        <v>6</v>
      </c>
      <c r="S90" s="6">
        <f t="shared" si="87"/>
        <v>21</v>
      </c>
      <c r="T90" s="34"/>
      <c r="U90" s="35"/>
      <c r="V90" s="35"/>
      <c r="W90" s="35">
        <f t="shared" si="165"/>
        <v>6000</v>
      </c>
      <c r="X90" s="6">
        <f t="shared" si="153"/>
        <v>21000</v>
      </c>
      <c r="Y90" s="35" t="s">
        <v>69</v>
      </c>
      <c r="Z90" s="5" t="s">
        <v>353</v>
      </c>
      <c r="AA90" s="5">
        <f t="shared" si="245"/>
        <v>0</v>
      </c>
      <c r="AB90" s="5">
        <v>0</v>
      </c>
      <c r="AC90" s="5">
        <f t="shared" si="246"/>
        <v>0</v>
      </c>
      <c r="AD90" s="5">
        <f t="shared" si="247"/>
        <v>0</v>
      </c>
      <c r="AE90" s="5">
        <v>0</v>
      </c>
      <c r="AF90" s="5" t="str">
        <f t="shared" si="248"/>
        <v>NO</v>
      </c>
      <c r="AG90" s="5">
        <f t="shared" si="249"/>
        <v>21000</v>
      </c>
      <c r="AH90" s="5" t="s">
        <v>57</v>
      </c>
      <c r="AI90" s="6"/>
      <c r="AJ90" s="6"/>
      <c r="AK90" s="6">
        <f t="shared" si="250"/>
        <v>27000</v>
      </c>
      <c r="AL90" s="6">
        <f t="shared" si="251"/>
        <v>7000</v>
      </c>
      <c r="AM90" s="5">
        <v>0</v>
      </c>
      <c r="AN90" s="32">
        <f t="shared" si="252"/>
        <v>259.25925925925924</v>
      </c>
      <c r="AO90" s="32">
        <f t="shared" si="253"/>
        <v>0</v>
      </c>
      <c r="AP90" s="4">
        <v>46195</v>
      </c>
      <c r="AQ90" s="4">
        <v>46197</v>
      </c>
      <c r="AR90" s="4">
        <v>46210</v>
      </c>
      <c r="AT90" s="6" t="str">
        <f t="shared" si="186"/>
        <v>ACTIVE</v>
      </c>
      <c r="AU90" s="6"/>
      <c r="AV90" s="6"/>
      <c r="AW90" s="6"/>
      <c r="AX90" s="6"/>
    </row>
    <row r="91" spans="1:50" ht="15.75">
      <c r="A91" s="35" t="str">
        <f t="shared" si="244"/>
        <v>ACTIVE</v>
      </c>
      <c r="B91" s="5" t="s">
        <v>48</v>
      </c>
      <c r="C91" s="5" t="s">
        <v>49</v>
      </c>
      <c r="D91" s="5" t="s">
        <v>50</v>
      </c>
      <c r="E91" s="5" t="s">
        <v>51</v>
      </c>
      <c r="F91" s="5" t="s">
        <v>297</v>
      </c>
      <c r="G91" s="3" t="s">
        <v>308</v>
      </c>
      <c r="H91" s="3" t="s">
        <v>203</v>
      </c>
      <c r="I91" s="3" t="s">
        <v>368</v>
      </c>
      <c r="J91" s="3">
        <v>9389488234</v>
      </c>
      <c r="K91" s="3">
        <v>20000</v>
      </c>
      <c r="L91" s="3">
        <v>1580</v>
      </c>
      <c r="M91" s="3">
        <f t="shared" si="185"/>
        <v>18420</v>
      </c>
      <c r="N91" s="3">
        <v>1000</v>
      </c>
      <c r="O91" s="29">
        <f t="shared" si="254"/>
        <v>0</v>
      </c>
      <c r="P91" s="5">
        <v>0</v>
      </c>
      <c r="Q91" s="3">
        <v>27</v>
      </c>
      <c r="R91" s="6">
        <v>6</v>
      </c>
      <c r="S91" s="6">
        <f t="shared" si="87"/>
        <v>21</v>
      </c>
      <c r="T91" s="34"/>
      <c r="U91" s="35"/>
      <c r="V91" s="35"/>
      <c r="W91" s="35">
        <f t="shared" si="165"/>
        <v>6000</v>
      </c>
      <c r="X91" s="6">
        <f t="shared" si="153"/>
        <v>21000</v>
      </c>
      <c r="Y91" s="35" t="s">
        <v>69</v>
      </c>
      <c r="Z91" s="5" t="s">
        <v>354</v>
      </c>
      <c r="AA91" s="5">
        <f t="shared" si="245"/>
        <v>0</v>
      </c>
      <c r="AB91" s="5">
        <v>0</v>
      </c>
      <c r="AC91" s="5">
        <f t="shared" si="246"/>
        <v>0</v>
      </c>
      <c r="AD91" s="5">
        <f t="shared" si="247"/>
        <v>0</v>
      </c>
      <c r="AE91" s="5">
        <v>0</v>
      </c>
      <c r="AF91" s="5" t="str">
        <f t="shared" si="248"/>
        <v>NO</v>
      </c>
      <c r="AG91" s="5">
        <f t="shared" si="249"/>
        <v>21000</v>
      </c>
      <c r="AH91" s="5" t="s">
        <v>57</v>
      </c>
      <c r="AI91" s="6"/>
      <c r="AJ91" s="6"/>
      <c r="AK91" s="6">
        <f t="shared" si="250"/>
        <v>27000</v>
      </c>
      <c r="AL91" s="6">
        <f t="shared" si="251"/>
        <v>7000</v>
      </c>
      <c r="AM91" s="5">
        <v>0</v>
      </c>
      <c r="AN91" s="32">
        <f t="shared" si="252"/>
        <v>259.25925925925924</v>
      </c>
      <c r="AO91" s="32">
        <f t="shared" si="253"/>
        <v>0</v>
      </c>
      <c r="AP91" s="4">
        <v>46195</v>
      </c>
      <c r="AQ91" s="4">
        <v>46197</v>
      </c>
      <c r="AR91" s="4">
        <v>46210</v>
      </c>
      <c r="AT91" s="6" t="str">
        <f t="shared" si="186"/>
        <v>ACTIVE</v>
      </c>
      <c r="AU91" s="6"/>
      <c r="AV91" s="6"/>
      <c r="AW91" s="6"/>
      <c r="AX91" s="6"/>
    </row>
    <row r="92" spans="1:50" ht="15.75">
      <c r="A92" s="35" t="str">
        <f t="shared" si="244"/>
        <v>ACTIVE</v>
      </c>
      <c r="B92" s="5" t="s">
        <v>48</v>
      </c>
      <c r="C92" s="5" t="s">
        <v>49</v>
      </c>
      <c r="D92" s="5" t="s">
        <v>50</v>
      </c>
      <c r="E92" s="5" t="s">
        <v>51</v>
      </c>
      <c r="F92" s="5" t="s">
        <v>297</v>
      </c>
      <c r="G92" s="3" t="s">
        <v>308</v>
      </c>
      <c r="H92" s="3" t="s">
        <v>362</v>
      </c>
      <c r="I92" s="3" t="s">
        <v>369</v>
      </c>
      <c r="J92" s="3">
        <v>9211692359</v>
      </c>
      <c r="K92" s="3">
        <v>20000</v>
      </c>
      <c r="L92" s="3">
        <v>1580</v>
      </c>
      <c r="M92" s="3">
        <f t="shared" si="185"/>
        <v>18420</v>
      </c>
      <c r="N92" s="3">
        <v>1000</v>
      </c>
      <c r="O92" s="29">
        <f t="shared" si="254"/>
        <v>0</v>
      </c>
      <c r="P92" s="5">
        <v>0</v>
      </c>
      <c r="Q92" s="3">
        <v>27</v>
      </c>
      <c r="R92" s="6">
        <v>6</v>
      </c>
      <c r="S92" s="6">
        <f t="shared" si="87"/>
        <v>21</v>
      </c>
      <c r="T92" s="34"/>
      <c r="U92" s="35"/>
      <c r="V92" s="35"/>
      <c r="W92" s="35">
        <f t="shared" si="165"/>
        <v>6000</v>
      </c>
      <c r="X92" s="6">
        <f t="shared" si="153"/>
        <v>21000</v>
      </c>
      <c r="Y92" s="35" t="s">
        <v>69</v>
      </c>
      <c r="Z92" s="5" t="s">
        <v>355</v>
      </c>
      <c r="AA92" s="5">
        <f t="shared" si="245"/>
        <v>0</v>
      </c>
      <c r="AB92" s="5">
        <v>0</v>
      </c>
      <c r="AC92" s="5">
        <f t="shared" si="246"/>
        <v>0</v>
      </c>
      <c r="AD92" s="5">
        <f t="shared" si="247"/>
        <v>0</v>
      </c>
      <c r="AE92" s="5">
        <v>0</v>
      </c>
      <c r="AF92" s="5" t="str">
        <f t="shared" si="248"/>
        <v>NO</v>
      </c>
      <c r="AG92" s="5">
        <f t="shared" si="249"/>
        <v>21000</v>
      </c>
      <c r="AH92" s="5" t="s">
        <v>57</v>
      </c>
      <c r="AI92" s="6"/>
      <c r="AJ92" s="6"/>
      <c r="AK92" s="6">
        <f t="shared" si="250"/>
        <v>27000</v>
      </c>
      <c r="AL92" s="6">
        <f t="shared" si="251"/>
        <v>7000</v>
      </c>
      <c r="AM92" s="5">
        <v>0</v>
      </c>
      <c r="AN92" s="32">
        <f t="shared" si="252"/>
        <v>259.25925925925924</v>
      </c>
      <c r="AO92" s="32">
        <f t="shared" si="253"/>
        <v>0</v>
      </c>
      <c r="AP92" s="4">
        <v>46195</v>
      </c>
      <c r="AQ92" s="4">
        <v>46197</v>
      </c>
      <c r="AR92" s="4">
        <v>46210</v>
      </c>
      <c r="AT92" s="6" t="str">
        <f t="shared" si="186"/>
        <v>ACTIVE</v>
      </c>
      <c r="AU92" s="6"/>
      <c r="AV92" s="6"/>
      <c r="AW92" s="6"/>
      <c r="AX92" s="6"/>
    </row>
    <row r="93" spans="1:50" ht="15.75">
      <c r="A93" s="35" t="str">
        <f t="shared" ref="A93:A94" si="255">IF(X93=0,"CLOSE","ACTIVE")</f>
        <v>ACTIVE</v>
      </c>
      <c r="B93" s="5" t="s">
        <v>48</v>
      </c>
      <c r="C93" s="5" t="s">
        <v>49</v>
      </c>
      <c r="D93" s="5" t="s">
        <v>50</v>
      </c>
      <c r="E93" s="5" t="s">
        <v>51</v>
      </c>
      <c r="F93" s="5" t="s">
        <v>297</v>
      </c>
      <c r="G93" s="3" t="s">
        <v>357</v>
      </c>
      <c r="H93" s="3" t="s">
        <v>363</v>
      </c>
      <c r="I93" s="3" t="s">
        <v>68</v>
      </c>
      <c r="J93" s="3">
        <v>7027202092</v>
      </c>
      <c r="K93" s="3">
        <v>15000</v>
      </c>
      <c r="L93" s="3">
        <v>1260</v>
      </c>
      <c r="M93" s="3">
        <f t="shared" si="185"/>
        <v>13740</v>
      </c>
      <c r="N93" s="3">
        <v>810</v>
      </c>
      <c r="O93" s="29">
        <f t="shared" si="254"/>
        <v>0</v>
      </c>
      <c r="P93" s="5">
        <v>0</v>
      </c>
      <c r="Q93" s="3">
        <v>25</v>
      </c>
      <c r="R93" s="6">
        <v>6</v>
      </c>
      <c r="S93" s="6">
        <f t="shared" si="87"/>
        <v>19</v>
      </c>
      <c r="T93" s="34"/>
      <c r="U93" s="35"/>
      <c r="V93" s="35"/>
      <c r="W93" s="35">
        <f t="shared" si="165"/>
        <v>4860</v>
      </c>
      <c r="X93" s="6">
        <f t="shared" si="153"/>
        <v>15390</v>
      </c>
      <c r="Y93" s="35" t="s">
        <v>69</v>
      </c>
      <c r="Z93" s="5" t="s">
        <v>356</v>
      </c>
      <c r="AA93" s="5">
        <f t="shared" si="245"/>
        <v>0</v>
      </c>
      <c r="AB93" s="5">
        <v>0</v>
      </c>
      <c r="AC93" s="5">
        <f t="shared" si="246"/>
        <v>0</v>
      </c>
      <c r="AD93" s="5">
        <f t="shared" si="247"/>
        <v>0</v>
      </c>
      <c r="AE93" s="5">
        <v>0</v>
      </c>
      <c r="AF93" s="5" t="str">
        <f t="shared" si="248"/>
        <v>NO</v>
      </c>
      <c r="AG93" s="5">
        <f t="shared" si="249"/>
        <v>15390</v>
      </c>
      <c r="AH93" s="5" t="s">
        <v>57</v>
      </c>
      <c r="AI93" s="6"/>
      <c r="AJ93" s="6"/>
      <c r="AK93" s="6">
        <f t="shared" si="250"/>
        <v>20250</v>
      </c>
      <c r="AL93" s="6">
        <f t="shared" si="251"/>
        <v>5250</v>
      </c>
      <c r="AM93" s="5">
        <v>0</v>
      </c>
      <c r="AN93" s="32">
        <f t="shared" si="252"/>
        <v>210</v>
      </c>
      <c r="AO93" s="32">
        <f t="shared" si="253"/>
        <v>0</v>
      </c>
      <c r="AP93" s="4">
        <v>46192</v>
      </c>
      <c r="AQ93" s="4">
        <v>46197</v>
      </c>
      <c r="AR93" s="4">
        <v>46210</v>
      </c>
      <c r="AT93" s="6" t="str">
        <f t="shared" si="186"/>
        <v>ACTIVE</v>
      </c>
      <c r="AU93" s="6"/>
      <c r="AV93" s="6"/>
      <c r="AW93" s="6"/>
      <c r="AX93" s="6"/>
    </row>
    <row r="94" spans="1:50" ht="15.75">
      <c r="A94" s="35" t="str">
        <f t="shared" si="255"/>
        <v>ACTIVE</v>
      </c>
      <c r="B94" s="5" t="s">
        <v>48</v>
      </c>
      <c r="C94" s="5" t="s">
        <v>49</v>
      </c>
      <c r="D94" s="5" t="s">
        <v>50</v>
      </c>
      <c r="E94" s="5" t="s">
        <v>51</v>
      </c>
      <c r="F94" s="5" t="s">
        <v>297</v>
      </c>
      <c r="G94" s="3" t="s">
        <v>308</v>
      </c>
      <c r="H94" s="3" t="s">
        <v>373</v>
      </c>
      <c r="I94" s="3" t="s">
        <v>375</v>
      </c>
      <c r="J94" s="3">
        <v>8929770356</v>
      </c>
      <c r="K94" s="3">
        <v>20000</v>
      </c>
      <c r="L94" s="3">
        <v>1580</v>
      </c>
      <c r="M94" s="3">
        <f t="shared" si="185"/>
        <v>18420</v>
      </c>
      <c r="N94" s="3">
        <v>1000</v>
      </c>
      <c r="O94" s="29">
        <f t="shared" ref="O94:O95" si="256">N94*P94</f>
        <v>0</v>
      </c>
      <c r="P94" s="5">
        <v>0</v>
      </c>
      <c r="Q94" s="6">
        <v>27</v>
      </c>
      <c r="R94" s="6">
        <v>6</v>
      </c>
      <c r="S94" s="6">
        <f t="shared" si="87"/>
        <v>21</v>
      </c>
      <c r="T94" s="34"/>
      <c r="U94" s="35"/>
      <c r="V94" s="35"/>
      <c r="W94" s="35">
        <f t="shared" si="165"/>
        <v>6000</v>
      </c>
      <c r="X94" s="6">
        <f t="shared" si="153"/>
        <v>21000</v>
      </c>
      <c r="Y94" s="35" t="s">
        <v>69</v>
      </c>
      <c r="Z94" s="5" t="s">
        <v>370</v>
      </c>
      <c r="AA94" s="5">
        <f t="shared" ref="AA94:AA95" si="257">P94*14</f>
        <v>0</v>
      </c>
      <c r="AB94" s="5">
        <v>0</v>
      </c>
      <c r="AC94" s="5">
        <f t="shared" ref="AC94:AC95" si="258">AA94*AB94</f>
        <v>0</v>
      </c>
      <c r="AD94" s="5">
        <f t="shared" ref="AD94:AD95" si="259">AA94</f>
        <v>0</v>
      </c>
      <c r="AE94" s="5">
        <v>0</v>
      </c>
      <c r="AF94" s="5" t="str">
        <f t="shared" ref="AF94:AF95" si="260">IF(AA94&gt;90,"YES","NO")</f>
        <v>NO</v>
      </c>
      <c r="AG94" s="5">
        <f t="shared" ref="AG94:AG95" si="261">X94+AC94</f>
        <v>21000</v>
      </c>
      <c r="AH94" s="5" t="s">
        <v>57</v>
      </c>
      <c r="AI94" s="6"/>
      <c r="AJ94" s="6"/>
      <c r="AK94" s="6">
        <f t="shared" ref="AK94:AK101" si="262">N94*Q94</f>
        <v>27000</v>
      </c>
      <c r="AL94" s="6">
        <f t="shared" ref="AL94:AL101" si="263">AK94-K94</f>
        <v>7000</v>
      </c>
      <c r="AM94" s="5">
        <v>0</v>
      </c>
      <c r="AN94" s="32">
        <f t="shared" ref="AN94:AN95" si="264">AL94/Q94</f>
        <v>259.25925925925924</v>
      </c>
      <c r="AO94" s="32">
        <f t="shared" ref="AO94:AO95" si="265">AN94*AM94</f>
        <v>0</v>
      </c>
      <c r="AP94" s="4">
        <v>46195</v>
      </c>
      <c r="AQ94" s="4">
        <v>46198</v>
      </c>
      <c r="AR94" s="4">
        <v>46210</v>
      </c>
      <c r="AT94" s="6" t="str">
        <f t="shared" si="186"/>
        <v>ACTIVE</v>
      </c>
      <c r="AU94" s="6"/>
      <c r="AV94" s="6"/>
      <c r="AW94" s="6"/>
      <c r="AX94" s="6"/>
    </row>
    <row r="95" spans="1:50" ht="15.75">
      <c r="A95" s="35" t="str">
        <f t="shared" ref="A95:A101" si="266">IF(X95=0,"CLOSE","ACTIVE")</f>
        <v>ACTIVE</v>
      </c>
      <c r="B95" s="5" t="s">
        <v>48</v>
      </c>
      <c r="C95" s="5" t="s">
        <v>49</v>
      </c>
      <c r="D95" s="5" t="s">
        <v>50</v>
      </c>
      <c r="E95" s="5" t="s">
        <v>51</v>
      </c>
      <c r="F95" s="5" t="s">
        <v>297</v>
      </c>
      <c r="G95" s="3" t="s">
        <v>372</v>
      </c>
      <c r="H95" s="3" t="s">
        <v>374</v>
      </c>
      <c r="I95" s="3" t="s">
        <v>376</v>
      </c>
      <c r="J95" s="3">
        <v>9996738835</v>
      </c>
      <c r="K95" s="3">
        <v>15000</v>
      </c>
      <c r="L95" s="3">
        <v>1260</v>
      </c>
      <c r="M95" s="3">
        <f t="shared" si="185"/>
        <v>13740</v>
      </c>
      <c r="N95" s="3">
        <v>810</v>
      </c>
      <c r="O95" s="29">
        <f t="shared" si="256"/>
        <v>0</v>
      </c>
      <c r="P95" s="5">
        <v>0</v>
      </c>
      <c r="Q95" s="6">
        <v>25</v>
      </c>
      <c r="R95" s="6">
        <v>6</v>
      </c>
      <c r="S95" s="6">
        <f t="shared" si="87"/>
        <v>19</v>
      </c>
      <c r="T95" s="34"/>
      <c r="U95" s="35"/>
      <c r="V95" s="35"/>
      <c r="W95" s="35">
        <f t="shared" si="165"/>
        <v>4860</v>
      </c>
      <c r="X95" s="6">
        <f t="shared" si="153"/>
        <v>15390</v>
      </c>
      <c r="Y95" s="35" t="s">
        <v>69</v>
      </c>
      <c r="Z95" s="5" t="s">
        <v>371</v>
      </c>
      <c r="AA95" s="5">
        <f t="shared" si="257"/>
        <v>0</v>
      </c>
      <c r="AB95" s="5">
        <v>0</v>
      </c>
      <c r="AC95" s="5">
        <f t="shared" si="258"/>
        <v>0</v>
      </c>
      <c r="AD95" s="5">
        <f t="shared" si="259"/>
        <v>0</v>
      </c>
      <c r="AE95" s="5">
        <v>0</v>
      </c>
      <c r="AF95" s="5" t="str">
        <f t="shared" si="260"/>
        <v>NO</v>
      </c>
      <c r="AG95" s="5">
        <f t="shared" si="261"/>
        <v>15390</v>
      </c>
      <c r="AH95" s="5" t="s">
        <v>57</v>
      </c>
      <c r="AI95" s="6"/>
      <c r="AJ95" s="6"/>
      <c r="AK95" s="6">
        <f t="shared" si="262"/>
        <v>20250</v>
      </c>
      <c r="AL95" s="6">
        <f t="shared" si="263"/>
        <v>5250</v>
      </c>
      <c r="AM95" s="5">
        <v>0</v>
      </c>
      <c r="AN95" s="32">
        <f t="shared" si="264"/>
        <v>210</v>
      </c>
      <c r="AO95" s="32">
        <f t="shared" si="265"/>
        <v>0</v>
      </c>
      <c r="AP95" s="4">
        <v>46192</v>
      </c>
      <c r="AQ95" s="4">
        <v>46198</v>
      </c>
      <c r="AR95" s="4">
        <v>46210</v>
      </c>
      <c r="AT95" s="6" t="str">
        <f t="shared" si="186"/>
        <v>ACTIVE</v>
      </c>
      <c r="AU95" s="6"/>
      <c r="AV95" s="6"/>
      <c r="AW95" s="6"/>
      <c r="AX95" s="6"/>
    </row>
    <row r="96" spans="1:50" ht="15.75">
      <c r="A96" s="35" t="str">
        <f t="shared" si="266"/>
        <v>ACTIVE</v>
      </c>
      <c r="B96" s="5" t="s">
        <v>48</v>
      </c>
      <c r="C96" s="5" t="s">
        <v>49</v>
      </c>
      <c r="D96" s="5" t="s">
        <v>50</v>
      </c>
      <c r="E96" s="5" t="s">
        <v>51</v>
      </c>
      <c r="F96" s="5" t="s">
        <v>297</v>
      </c>
      <c r="G96" s="3" t="s">
        <v>308</v>
      </c>
      <c r="H96" s="3" t="s">
        <v>384</v>
      </c>
      <c r="I96" s="3" t="s">
        <v>390</v>
      </c>
      <c r="J96" s="3">
        <v>9311578306</v>
      </c>
      <c r="K96" s="3">
        <v>20000</v>
      </c>
      <c r="L96" s="3">
        <v>1580</v>
      </c>
      <c r="M96" s="3">
        <f t="shared" si="185"/>
        <v>18420</v>
      </c>
      <c r="N96" s="3">
        <v>1000</v>
      </c>
      <c r="O96" s="29">
        <f t="shared" ref="O96:O101" si="267">N96*P96</f>
        <v>0</v>
      </c>
      <c r="P96" s="5">
        <v>0</v>
      </c>
      <c r="Q96" s="6">
        <v>27</v>
      </c>
      <c r="R96" s="6">
        <v>6</v>
      </c>
      <c r="S96" s="6">
        <f t="shared" si="87"/>
        <v>21</v>
      </c>
      <c r="T96" s="34"/>
      <c r="U96" s="35"/>
      <c r="V96" s="35"/>
      <c r="W96" s="35">
        <f t="shared" si="165"/>
        <v>6000</v>
      </c>
      <c r="X96" s="6">
        <f t="shared" si="153"/>
        <v>21000</v>
      </c>
      <c r="Y96" s="35" t="s">
        <v>69</v>
      </c>
      <c r="Z96" s="5" t="s">
        <v>377</v>
      </c>
      <c r="AA96" s="5">
        <f t="shared" ref="AA96:AA101" si="268">P96*14</f>
        <v>0</v>
      </c>
      <c r="AB96" s="5">
        <v>0</v>
      </c>
      <c r="AC96" s="5">
        <f t="shared" ref="AC96:AC101" si="269">AA96*AB96</f>
        <v>0</v>
      </c>
      <c r="AD96" s="5">
        <f t="shared" ref="AD96:AD101" si="270">AA96</f>
        <v>0</v>
      </c>
      <c r="AE96" s="5">
        <v>0</v>
      </c>
      <c r="AF96" s="5" t="str">
        <f t="shared" ref="AF96:AF101" si="271">IF(AA96&gt;90,"YES","NO")</f>
        <v>NO</v>
      </c>
      <c r="AG96" s="5">
        <f t="shared" ref="AG96:AG101" si="272">X96+AC96</f>
        <v>21000</v>
      </c>
      <c r="AH96" s="5" t="s">
        <v>57</v>
      </c>
      <c r="AI96" s="6"/>
      <c r="AJ96" s="6"/>
      <c r="AK96" s="6">
        <f t="shared" si="262"/>
        <v>27000</v>
      </c>
      <c r="AL96" s="6">
        <f t="shared" si="263"/>
        <v>7000</v>
      </c>
      <c r="AM96" s="5">
        <v>0</v>
      </c>
      <c r="AN96" s="32">
        <f t="shared" ref="AN96:AN101" si="273">AL96/Q96</f>
        <v>259.25925925925924</v>
      </c>
      <c r="AO96" s="32">
        <f t="shared" ref="AO96:AO101" si="274">AN96*AM96</f>
        <v>0</v>
      </c>
      <c r="AP96" s="4">
        <v>46195</v>
      </c>
      <c r="AQ96" s="4">
        <v>46200</v>
      </c>
      <c r="AR96" s="4">
        <v>46210</v>
      </c>
      <c r="AT96" s="6" t="str">
        <f t="shared" si="186"/>
        <v>ACTIVE</v>
      </c>
      <c r="AU96" s="6"/>
      <c r="AV96" s="6"/>
      <c r="AW96" s="6"/>
      <c r="AX96" s="6"/>
    </row>
    <row r="97" spans="1:50" ht="15.75">
      <c r="A97" s="35" t="str">
        <f t="shared" si="266"/>
        <v>ACTIVE</v>
      </c>
      <c r="B97" s="5" t="s">
        <v>48</v>
      </c>
      <c r="C97" s="5" t="s">
        <v>49</v>
      </c>
      <c r="D97" s="5" t="s">
        <v>50</v>
      </c>
      <c r="E97" s="5" t="s">
        <v>51</v>
      </c>
      <c r="F97" s="5" t="s">
        <v>297</v>
      </c>
      <c r="G97" s="3" t="s">
        <v>308</v>
      </c>
      <c r="H97" s="3" t="s">
        <v>385</v>
      </c>
      <c r="I97" s="3" t="s">
        <v>54</v>
      </c>
      <c r="J97" s="3">
        <v>9818635674</v>
      </c>
      <c r="K97" s="3">
        <v>20000</v>
      </c>
      <c r="L97" s="3">
        <v>1580</v>
      </c>
      <c r="M97" s="3">
        <f t="shared" si="185"/>
        <v>18420</v>
      </c>
      <c r="N97" s="3">
        <v>1000</v>
      </c>
      <c r="O97" s="29">
        <f t="shared" si="267"/>
        <v>0</v>
      </c>
      <c r="P97" s="5">
        <v>0</v>
      </c>
      <c r="Q97" s="6">
        <v>27</v>
      </c>
      <c r="R97" s="6">
        <v>6</v>
      </c>
      <c r="S97" s="6">
        <f t="shared" si="87"/>
        <v>21</v>
      </c>
      <c r="T97" s="34"/>
      <c r="U97" s="35"/>
      <c r="V97" s="35"/>
      <c r="W97" s="35">
        <f t="shared" si="165"/>
        <v>6000</v>
      </c>
      <c r="X97" s="6">
        <f t="shared" si="153"/>
        <v>21000</v>
      </c>
      <c r="Y97" s="35" t="s">
        <v>69</v>
      </c>
      <c r="Z97" s="5" t="s">
        <v>378</v>
      </c>
      <c r="AA97" s="5">
        <f t="shared" si="268"/>
        <v>0</v>
      </c>
      <c r="AB97" s="5">
        <v>0</v>
      </c>
      <c r="AC97" s="5">
        <f t="shared" si="269"/>
        <v>0</v>
      </c>
      <c r="AD97" s="5">
        <f t="shared" si="270"/>
        <v>0</v>
      </c>
      <c r="AE97" s="5">
        <v>0</v>
      </c>
      <c r="AF97" s="5" t="str">
        <f t="shared" si="271"/>
        <v>NO</v>
      </c>
      <c r="AG97" s="5">
        <f t="shared" si="272"/>
        <v>21000</v>
      </c>
      <c r="AH97" s="5" t="s">
        <v>57</v>
      </c>
      <c r="AI97" s="6"/>
      <c r="AJ97" s="6"/>
      <c r="AK97" s="6">
        <f t="shared" si="262"/>
        <v>27000</v>
      </c>
      <c r="AL97" s="6">
        <f t="shared" si="263"/>
        <v>7000</v>
      </c>
      <c r="AM97" s="5">
        <v>0</v>
      </c>
      <c r="AN97" s="32">
        <f t="shared" si="273"/>
        <v>259.25925925925924</v>
      </c>
      <c r="AO97" s="32">
        <f t="shared" si="274"/>
        <v>0</v>
      </c>
      <c r="AP97" s="4">
        <v>46195</v>
      </c>
      <c r="AQ97" s="4">
        <v>46200</v>
      </c>
      <c r="AR97" s="4">
        <v>46210</v>
      </c>
      <c r="AT97" s="6" t="str">
        <f t="shared" si="186"/>
        <v>ACTIVE</v>
      </c>
      <c r="AU97" s="6"/>
      <c r="AV97" s="6"/>
      <c r="AW97" s="6"/>
      <c r="AX97" s="6"/>
    </row>
    <row r="98" spans="1:50" ht="15.75">
      <c r="A98" s="35" t="str">
        <f t="shared" si="266"/>
        <v>ACTIVE</v>
      </c>
      <c r="B98" s="5" t="s">
        <v>48</v>
      </c>
      <c r="C98" s="5" t="s">
        <v>49</v>
      </c>
      <c r="D98" s="5" t="s">
        <v>50</v>
      </c>
      <c r="E98" s="5" t="s">
        <v>51</v>
      </c>
      <c r="F98" s="5" t="s">
        <v>297</v>
      </c>
      <c r="G98" s="3" t="s">
        <v>130</v>
      </c>
      <c r="H98" s="3" t="s">
        <v>132</v>
      </c>
      <c r="I98" s="3" t="s">
        <v>391</v>
      </c>
      <c r="J98" s="3">
        <v>9728976983</v>
      </c>
      <c r="K98" s="3">
        <v>15000</v>
      </c>
      <c r="L98" s="3">
        <v>1260</v>
      </c>
      <c r="M98" s="3">
        <f t="shared" si="185"/>
        <v>13740</v>
      </c>
      <c r="N98" s="3">
        <v>810</v>
      </c>
      <c r="O98" s="29">
        <f t="shared" si="267"/>
        <v>0</v>
      </c>
      <c r="P98" s="5">
        <v>0</v>
      </c>
      <c r="Q98" s="6">
        <v>25</v>
      </c>
      <c r="R98" s="6">
        <v>6</v>
      </c>
      <c r="S98" s="6">
        <f t="shared" si="87"/>
        <v>19</v>
      </c>
      <c r="T98" s="34"/>
      <c r="U98" s="35"/>
      <c r="V98" s="35"/>
      <c r="W98" s="35">
        <f t="shared" si="165"/>
        <v>4860</v>
      </c>
      <c r="X98" s="6">
        <f t="shared" si="153"/>
        <v>15390</v>
      </c>
      <c r="Y98" s="35" t="s">
        <v>69</v>
      </c>
      <c r="Z98" s="5" t="s">
        <v>379</v>
      </c>
      <c r="AA98" s="5">
        <f t="shared" si="268"/>
        <v>0</v>
      </c>
      <c r="AB98" s="5">
        <v>0</v>
      </c>
      <c r="AC98" s="5">
        <f t="shared" si="269"/>
        <v>0</v>
      </c>
      <c r="AD98" s="5">
        <f t="shared" si="270"/>
        <v>0</v>
      </c>
      <c r="AE98" s="5">
        <v>0</v>
      </c>
      <c r="AF98" s="5" t="str">
        <f t="shared" si="271"/>
        <v>NO</v>
      </c>
      <c r="AG98" s="5">
        <f t="shared" si="272"/>
        <v>15390</v>
      </c>
      <c r="AH98" s="5" t="s">
        <v>57</v>
      </c>
      <c r="AI98" s="6"/>
      <c r="AJ98" s="6"/>
      <c r="AK98" s="6">
        <f t="shared" si="262"/>
        <v>20250</v>
      </c>
      <c r="AL98" s="6">
        <f t="shared" si="263"/>
        <v>5250</v>
      </c>
      <c r="AM98" s="5">
        <v>0</v>
      </c>
      <c r="AN98" s="32">
        <f t="shared" si="273"/>
        <v>210</v>
      </c>
      <c r="AO98" s="32">
        <f t="shared" si="274"/>
        <v>0</v>
      </c>
      <c r="AP98" s="4">
        <v>46193</v>
      </c>
      <c r="AQ98" s="4">
        <v>46200</v>
      </c>
      <c r="AR98" s="4">
        <v>46210</v>
      </c>
      <c r="AT98" s="6" t="str">
        <f t="shared" si="186"/>
        <v>ACTIVE</v>
      </c>
      <c r="AU98" s="6"/>
      <c r="AV98" s="6"/>
      <c r="AW98" s="6"/>
      <c r="AX98" s="6"/>
    </row>
    <row r="99" spans="1:50" ht="15.75">
      <c r="A99" s="35" t="str">
        <f t="shared" si="266"/>
        <v>ACTIVE</v>
      </c>
      <c r="B99" s="5" t="s">
        <v>48</v>
      </c>
      <c r="C99" s="5" t="s">
        <v>49</v>
      </c>
      <c r="D99" s="5" t="s">
        <v>50</v>
      </c>
      <c r="E99" s="5" t="s">
        <v>51</v>
      </c>
      <c r="F99" s="5" t="s">
        <v>297</v>
      </c>
      <c r="G99" s="3" t="s">
        <v>130</v>
      </c>
      <c r="H99" s="3" t="s">
        <v>386</v>
      </c>
      <c r="I99" s="3" t="s">
        <v>389</v>
      </c>
      <c r="J99" s="3">
        <v>9671616193</v>
      </c>
      <c r="K99" s="3">
        <v>15000</v>
      </c>
      <c r="L99" s="3">
        <v>1260</v>
      </c>
      <c r="M99" s="3">
        <f t="shared" si="185"/>
        <v>13740</v>
      </c>
      <c r="N99" s="3">
        <v>810</v>
      </c>
      <c r="O99" s="29">
        <f t="shared" si="267"/>
        <v>0</v>
      </c>
      <c r="P99" s="5">
        <v>0</v>
      </c>
      <c r="Q99" s="6">
        <v>25</v>
      </c>
      <c r="R99" s="6">
        <v>6</v>
      </c>
      <c r="S99" s="6">
        <f t="shared" si="87"/>
        <v>19</v>
      </c>
      <c r="T99" s="34"/>
      <c r="U99" s="35"/>
      <c r="V99" s="35"/>
      <c r="W99" s="35">
        <f t="shared" si="165"/>
        <v>4860</v>
      </c>
      <c r="X99" s="6">
        <f t="shared" si="153"/>
        <v>15390</v>
      </c>
      <c r="Y99" s="35" t="s">
        <v>69</v>
      </c>
      <c r="Z99" s="5" t="s">
        <v>380</v>
      </c>
      <c r="AA99" s="5">
        <f t="shared" si="268"/>
        <v>0</v>
      </c>
      <c r="AB99" s="5">
        <v>0</v>
      </c>
      <c r="AC99" s="5">
        <f t="shared" si="269"/>
        <v>0</v>
      </c>
      <c r="AD99" s="5">
        <f t="shared" si="270"/>
        <v>0</v>
      </c>
      <c r="AE99" s="5">
        <v>0</v>
      </c>
      <c r="AF99" s="5" t="str">
        <f t="shared" si="271"/>
        <v>NO</v>
      </c>
      <c r="AG99" s="5">
        <f t="shared" si="272"/>
        <v>15390</v>
      </c>
      <c r="AH99" s="5" t="s">
        <v>57</v>
      </c>
      <c r="AI99" s="6"/>
      <c r="AJ99" s="6"/>
      <c r="AK99" s="6">
        <f t="shared" si="262"/>
        <v>20250</v>
      </c>
      <c r="AL99" s="6">
        <f t="shared" si="263"/>
        <v>5250</v>
      </c>
      <c r="AM99" s="5">
        <v>0</v>
      </c>
      <c r="AN99" s="32">
        <f t="shared" si="273"/>
        <v>210</v>
      </c>
      <c r="AO99" s="32">
        <f t="shared" si="274"/>
        <v>0</v>
      </c>
      <c r="AP99" s="4">
        <v>46195</v>
      </c>
      <c r="AQ99" s="4">
        <v>46200</v>
      </c>
      <c r="AR99" s="4">
        <v>46210</v>
      </c>
      <c r="AT99" s="6" t="str">
        <f t="shared" si="186"/>
        <v>ACTIVE</v>
      </c>
      <c r="AU99" s="6"/>
      <c r="AV99" s="6"/>
      <c r="AW99" s="6"/>
      <c r="AX99" s="6"/>
    </row>
    <row r="100" spans="1:50" ht="15.75" hidden="1">
      <c r="A100" s="35" t="str">
        <f t="shared" si="266"/>
        <v>ACTIVE</v>
      </c>
      <c r="B100" s="5" t="s">
        <v>48</v>
      </c>
      <c r="C100" s="5" t="s">
        <v>49</v>
      </c>
      <c r="D100" s="5" t="s">
        <v>50</v>
      </c>
      <c r="E100" s="5" t="s">
        <v>51</v>
      </c>
      <c r="F100" s="5" t="s">
        <v>297</v>
      </c>
      <c r="G100" s="3" t="s">
        <v>118</v>
      </c>
      <c r="H100" s="3" t="s">
        <v>387</v>
      </c>
      <c r="I100" s="3" t="s">
        <v>388</v>
      </c>
      <c r="J100" s="3">
        <v>8307074126</v>
      </c>
      <c r="K100" s="3">
        <v>15000</v>
      </c>
      <c r="L100" s="3">
        <v>1260</v>
      </c>
      <c r="M100" s="3">
        <f t="shared" si="185"/>
        <v>13740</v>
      </c>
      <c r="N100" s="3">
        <v>810</v>
      </c>
      <c r="O100" s="29">
        <f t="shared" si="267"/>
        <v>810</v>
      </c>
      <c r="P100" s="5">
        <v>1</v>
      </c>
      <c r="Q100" s="6">
        <v>25</v>
      </c>
      <c r="R100" s="6">
        <v>5</v>
      </c>
      <c r="S100" s="6">
        <f t="shared" si="87"/>
        <v>19</v>
      </c>
      <c r="T100" s="34"/>
      <c r="U100" s="35"/>
      <c r="V100" s="35"/>
      <c r="W100" s="35">
        <f t="shared" si="165"/>
        <v>4050</v>
      </c>
      <c r="X100" s="6">
        <f t="shared" si="153"/>
        <v>16200</v>
      </c>
      <c r="Y100" s="35" t="s">
        <v>55</v>
      </c>
      <c r="Z100" s="5" t="s">
        <v>381</v>
      </c>
      <c r="AA100" s="5">
        <f t="shared" si="268"/>
        <v>14</v>
      </c>
      <c r="AB100" s="5">
        <v>0</v>
      </c>
      <c r="AC100" s="5">
        <f t="shared" si="269"/>
        <v>0</v>
      </c>
      <c r="AD100" s="5">
        <f t="shared" si="270"/>
        <v>14</v>
      </c>
      <c r="AE100" s="5">
        <v>0</v>
      </c>
      <c r="AF100" s="5" t="str">
        <f t="shared" si="271"/>
        <v>NO</v>
      </c>
      <c r="AG100" s="5">
        <f t="shared" si="272"/>
        <v>16200</v>
      </c>
      <c r="AH100" s="5" t="s">
        <v>57</v>
      </c>
      <c r="AI100" s="6"/>
      <c r="AJ100" s="6"/>
      <c r="AK100" s="6">
        <f t="shared" si="262"/>
        <v>20250</v>
      </c>
      <c r="AL100" s="6">
        <f t="shared" si="263"/>
        <v>5250</v>
      </c>
      <c r="AM100" s="5">
        <v>0</v>
      </c>
      <c r="AN100" s="32">
        <f t="shared" si="273"/>
        <v>210</v>
      </c>
      <c r="AO100" s="32">
        <f t="shared" si="274"/>
        <v>0</v>
      </c>
      <c r="AP100" s="4">
        <v>46197</v>
      </c>
      <c r="AQ100" s="4">
        <v>46200</v>
      </c>
      <c r="AR100" s="4">
        <v>46211</v>
      </c>
      <c r="AT100" s="6" t="str">
        <f t="shared" si="186"/>
        <v>ACTIVE</v>
      </c>
      <c r="AU100" s="6"/>
      <c r="AV100" s="6"/>
      <c r="AW100" s="6"/>
      <c r="AX100" s="6"/>
    </row>
    <row r="101" spans="1:50" ht="15.75" hidden="1">
      <c r="A101" s="35" t="str">
        <f t="shared" si="266"/>
        <v>ACTIVE</v>
      </c>
      <c r="B101" s="5" t="s">
        <v>48</v>
      </c>
      <c r="C101" s="5" t="s">
        <v>49</v>
      </c>
      <c r="D101" s="5" t="s">
        <v>50</v>
      </c>
      <c r="E101" s="5" t="s">
        <v>51</v>
      </c>
      <c r="F101" s="5" t="s">
        <v>297</v>
      </c>
      <c r="G101" s="3" t="s">
        <v>383</v>
      </c>
      <c r="H101" s="3" t="s">
        <v>215</v>
      </c>
      <c r="I101" s="3" t="s">
        <v>375</v>
      </c>
      <c r="J101" s="3">
        <v>9813268064</v>
      </c>
      <c r="K101" s="3">
        <v>20000</v>
      </c>
      <c r="L101" s="3">
        <v>1580</v>
      </c>
      <c r="M101" s="3">
        <f t="shared" si="185"/>
        <v>18420</v>
      </c>
      <c r="N101" s="3">
        <v>1000</v>
      </c>
      <c r="O101" s="29">
        <f t="shared" si="267"/>
        <v>0</v>
      </c>
      <c r="P101" s="5">
        <v>0</v>
      </c>
      <c r="Q101" s="6">
        <v>27</v>
      </c>
      <c r="R101" s="6">
        <v>6</v>
      </c>
      <c r="S101" s="6">
        <f t="shared" si="87"/>
        <v>21</v>
      </c>
      <c r="T101" s="34"/>
      <c r="U101" s="35"/>
      <c r="V101" s="35"/>
      <c r="W101" s="35">
        <f t="shared" si="165"/>
        <v>6000</v>
      </c>
      <c r="X101" s="6">
        <f t="shared" si="153"/>
        <v>21000</v>
      </c>
      <c r="Y101" s="35" t="s">
        <v>55</v>
      </c>
      <c r="Z101" s="5" t="s">
        <v>382</v>
      </c>
      <c r="AA101" s="5">
        <f t="shared" si="268"/>
        <v>0</v>
      </c>
      <c r="AB101" s="5">
        <v>0</v>
      </c>
      <c r="AC101" s="5">
        <f t="shared" si="269"/>
        <v>0</v>
      </c>
      <c r="AD101" s="5">
        <f t="shared" si="270"/>
        <v>0</v>
      </c>
      <c r="AE101" s="5">
        <v>0</v>
      </c>
      <c r="AF101" s="5" t="str">
        <f t="shared" si="271"/>
        <v>NO</v>
      </c>
      <c r="AG101" s="5">
        <f t="shared" si="272"/>
        <v>21000</v>
      </c>
      <c r="AH101" s="5" t="s">
        <v>57</v>
      </c>
      <c r="AI101" s="6"/>
      <c r="AJ101" s="6"/>
      <c r="AK101" s="6">
        <f t="shared" si="262"/>
        <v>27000</v>
      </c>
      <c r="AL101" s="6">
        <f t="shared" si="263"/>
        <v>7000</v>
      </c>
      <c r="AM101" s="5">
        <v>0</v>
      </c>
      <c r="AN101" s="32">
        <f t="shared" si="273"/>
        <v>259.25925925925924</v>
      </c>
      <c r="AO101" s="32">
        <f t="shared" si="274"/>
        <v>0</v>
      </c>
      <c r="AP101" s="4">
        <v>46199</v>
      </c>
      <c r="AQ101" s="4">
        <v>46200</v>
      </c>
      <c r="AR101" s="4">
        <v>46211</v>
      </c>
      <c r="AT101" s="6" t="str">
        <f t="shared" si="186"/>
        <v>ACTIVE</v>
      </c>
      <c r="AU101" s="6"/>
      <c r="AV101" s="6"/>
      <c r="AW101" s="6"/>
      <c r="AX101" s="6"/>
    </row>
    <row r="102" spans="1:50" ht="15.75" hidden="1">
      <c r="A102" s="35" t="str">
        <f t="shared" ref="A102" si="275">IF(X102=0,"CLOSE","ACTIVE")</f>
        <v>ACTIVE</v>
      </c>
      <c r="B102" s="5" t="s">
        <v>48</v>
      </c>
      <c r="C102" s="5" t="s">
        <v>49</v>
      </c>
      <c r="D102" s="5" t="s">
        <v>50</v>
      </c>
      <c r="E102" s="5" t="s">
        <v>51</v>
      </c>
      <c r="F102" s="5" t="s">
        <v>297</v>
      </c>
      <c r="G102" s="3" t="s">
        <v>394</v>
      </c>
      <c r="H102" s="3" t="s">
        <v>71</v>
      </c>
      <c r="I102" s="3" t="s">
        <v>393</v>
      </c>
      <c r="J102" s="3">
        <v>8505872401</v>
      </c>
      <c r="K102" s="3">
        <v>20000</v>
      </c>
      <c r="L102" s="3">
        <v>1580</v>
      </c>
      <c r="M102" s="3">
        <f t="shared" si="185"/>
        <v>18420</v>
      </c>
      <c r="N102" s="3">
        <v>1000</v>
      </c>
      <c r="O102" s="29">
        <f t="shared" ref="O102" si="276">N102*P102</f>
        <v>0</v>
      </c>
      <c r="P102" s="5">
        <v>0</v>
      </c>
      <c r="Q102" s="6">
        <v>27</v>
      </c>
      <c r="R102" s="6">
        <v>5</v>
      </c>
      <c r="S102" s="6">
        <f t="shared" si="87"/>
        <v>22</v>
      </c>
      <c r="T102" s="34"/>
      <c r="U102" s="35"/>
      <c r="V102" s="35"/>
      <c r="W102" s="35">
        <f t="shared" si="165"/>
        <v>5000</v>
      </c>
      <c r="X102" s="6">
        <f t="shared" si="153"/>
        <v>22000</v>
      </c>
      <c r="Y102" s="35" t="s">
        <v>55</v>
      </c>
      <c r="Z102" s="5" t="s">
        <v>392</v>
      </c>
      <c r="AA102" s="5">
        <f t="shared" ref="AA102" si="277">P102*14</f>
        <v>0</v>
      </c>
      <c r="AB102" s="5">
        <v>0</v>
      </c>
      <c r="AC102" s="5">
        <f t="shared" ref="AC102" si="278">AA102*AB102</f>
        <v>0</v>
      </c>
      <c r="AD102" s="5">
        <f t="shared" ref="AD102" si="279">AA102</f>
        <v>0</v>
      </c>
      <c r="AE102" s="5">
        <v>0</v>
      </c>
      <c r="AF102" s="5" t="str">
        <f t="shared" ref="AF102" si="280">IF(AA102&gt;90,"YES","NO")</f>
        <v>NO</v>
      </c>
      <c r="AG102" s="5">
        <f t="shared" ref="AG102" si="281">X102+AC102</f>
        <v>22000</v>
      </c>
      <c r="AH102" s="5" t="s">
        <v>57</v>
      </c>
      <c r="AI102" s="6"/>
      <c r="AJ102" s="6"/>
      <c r="AK102" s="6">
        <f t="shared" ref="AK102" si="282">N102*Q102</f>
        <v>27000</v>
      </c>
      <c r="AL102" s="6">
        <f t="shared" ref="AL102" si="283">AK102-K102</f>
        <v>7000</v>
      </c>
      <c r="AM102" s="5">
        <v>0</v>
      </c>
      <c r="AN102" s="32">
        <f t="shared" ref="AN102" si="284">AL102/Q102</f>
        <v>259.25925925925924</v>
      </c>
      <c r="AO102" s="32">
        <f t="shared" ref="AO102" si="285">AN102*AM102</f>
        <v>0</v>
      </c>
      <c r="AP102" s="4">
        <v>46196</v>
      </c>
      <c r="AQ102" s="4">
        <v>46202</v>
      </c>
      <c r="AR102" s="4">
        <v>46218</v>
      </c>
      <c r="AT102" s="6" t="str">
        <f t="shared" si="186"/>
        <v>ACTIVE</v>
      </c>
      <c r="AU102" s="6"/>
      <c r="AV102" s="6"/>
      <c r="AW102" s="6"/>
      <c r="AX102" s="6"/>
    </row>
    <row r="103" spans="1:50" ht="15.75" hidden="1">
      <c r="A103" s="35" t="str">
        <f t="shared" ref="A103:A109" si="286">IF(X103=0,"CLOSE","ACTIVE")</f>
        <v>ACTIVE</v>
      </c>
      <c r="B103" s="5" t="s">
        <v>48</v>
      </c>
      <c r="C103" s="5" t="s">
        <v>49</v>
      </c>
      <c r="D103" s="5" t="s">
        <v>50</v>
      </c>
      <c r="E103" s="5" t="s">
        <v>51</v>
      </c>
      <c r="F103" s="5" t="s">
        <v>399</v>
      </c>
      <c r="G103" s="3" t="s">
        <v>49</v>
      </c>
      <c r="H103" s="3" t="s">
        <v>398</v>
      </c>
      <c r="I103" s="3" t="s">
        <v>140</v>
      </c>
      <c r="J103" s="3">
        <v>9671465494</v>
      </c>
      <c r="K103" s="3">
        <v>20000</v>
      </c>
      <c r="L103" s="3">
        <v>1580</v>
      </c>
      <c r="M103" s="3">
        <f>K103-L103</f>
        <v>18420</v>
      </c>
      <c r="N103" s="3">
        <v>1000</v>
      </c>
      <c r="O103" s="29">
        <f t="shared" ref="O103" si="287">N103*P103</f>
        <v>0</v>
      </c>
      <c r="P103" s="5">
        <v>0</v>
      </c>
      <c r="Q103" s="6">
        <v>27</v>
      </c>
      <c r="R103" s="6">
        <v>4</v>
      </c>
      <c r="S103" s="6">
        <f t="shared" si="87"/>
        <v>23</v>
      </c>
      <c r="T103" s="34"/>
      <c r="U103" s="35"/>
      <c r="V103" s="35"/>
      <c r="W103" s="35">
        <f t="shared" si="165"/>
        <v>4000</v>
      </c>
      <c r="X103" s="6">
        <f t="shared" si="153"/>
        <v>23000</v>
      </c>
      <c r="Y103" s="35" t="s">
        <v>55</v>
      </c>
      <c r="Z103" s="5" t="s">
        <v>397</v>
      </c>
      <c r="AA103" s="5">
        <f t="shared" ref="AA103" si="288">P103*14</f>
        <v>0</v>
      </c>
      <c r="AB103" s="5">
        <v>0</v>
      </c>
      <c r="AC103" s="5">
        <f t="shared" ref="AC103" si="289">AA103*AB103</f>
        <v>0</v>
      </c>
      <c r="AD103" s="5">
        <f t="shared" ref="AD103" si="290">AA103</f>
        <v>0</v>
      </c>
      <c r="AE103" s="5">
        <v>0</v>
      </c>
      <c r="AF103" s="5" t="str">
        <f t="shared" ref="AF103" si="291">IF(AA103&gt;90,"YES","NO")</f>
        <v>NO</v>
      </c>
      <c r="AG103" s="5">
        <f t="shared" ref="AG103" si="292">X103+AC103</f>
        <v>23000</v>
      </c>
      <c r="AH103" s="5" t="s">
        <v>57</v>
      </c>
      <c r="AI103" s="6"/>
      <c r="AJ103" s="6"/>
      <c r="AK103" s="6">
        <f t="shared" ref="AK103" si="293">N103*Q103</f>
        <v>27000</v>
      </c>
      <c r="AL103" s="6">
        <f t="shared" ref="AL103" si="294">AK103-K103</f>
        <v>7000</v>
      </c>
      <c r="AM103" s="5">
        <v>0</v>
      </c>
      <c r="AN103" s="32">
        <f t="shared" ref="AN103" si="295">AL103/Q103</f>
        <v>259.25925925925924</v>
      </c>
      <c r="AO103" s="32">
        <f t="shared" ref="AO103" si="296">AN103*AM103</f>
        <v>0</v>
      </c>
      <c r="AP103" s="4">
        <v>46205</v>
      </c>
      <c r="AQ103" s="4">
        <v>46207</v>
      </c>
      <c r="AR103" s="4">
        <v>46225</v>
      </c>
      <c r="AT103" s="6" t="str">
        <f t="shared" si="186"/>
        <v>ACTIVE</v>
      </c>
      <c r="AU103" s="6"/>
      <c r="AV103" s="6"/>
      <c r="AW103" s="6"/>
      <c r="AX103" s="6"/>
    </row>
    <row r="104" spans="1:50" ht="15.75" hidden="1">
      <c r="A104" s="35" t="str">
        <f t="shared" si="286"/>
        <v>ACTIVE</v>
      </c>
      <c r="B104" s="5" t="s">
        <v>48</v>
      </c>
      <c r="C104" s="5" t="s">
        <v>49</v>
      </c>
      <c r="D104" s="5" t="s">
        <v>50</v>
      </c>
      <c r="E104" s="5" t="s">
        <v>51</v>
      </c>
      <c r="F104" s="5" t="s">
        <v>399</v>
      </c>
      <c r="G104" s="3" t="s">
        <v>430</v>
      </c>
      <c r="H104" s="3" t="s">
        <v>301</v>
      </c>
      <c r="I104" s="3" t="s">
        <v>127</v>
      </c>
      <c r="J104" s="3">
        <v>8685920499</v>
      </c>
      <c r="K104" s="3">
        <v>15000</v>
      </c>
      <c r="L104" s="3">
        <v>1260</v>
      </c>
      <c r="M104" s="3">
        <f t="shared" ref="M104:M112" si="297">K104-L104</f>
        <v>13740</v>
      </c>
      <c r="N104" s="3">
        <v>810</v>
      </c>
      <c r="O104" s="29">
        <f t="shared" ref="O104:O110" si="298">N104*P104</f>
        <v>0</v>
      </c>
      <c r="P104" s="5">
        <v>0</v>
      </c>
      <c r="Q104" s="6">
        <v>25</v>
      </c>
      <c r="R104" s="6">
        <v>4</v>
      </c>
      <c r="S104" s="6">
        <f t="shared" si="87"/>
        <v>21</v>
      </c>
      <c r="T104" s="34"/>
      <c r="U104" s="35"/>
      <c r="V104" s="35"/>
      <c r="W104" s="35">
        <f t="shared" si="165"/>
        <v>3240</v>
      </c>
      <c r="X104" s="6">
        <f t="shared" si="153"/>
        <v>17010</v>
      </c>
      <c r="Y104" s="3" t="s">
        <v>55</v>
      </c>
      <c r="Z104" s="5" t="s">
        <v>423</v>
      </c>
      <c r="AA104" s="5">
        <f t="shared" ref="AA104:AA110" si="299">P104*14</f>
        <v>0</v>
      </c>
      <c r="AB104" s="5">
        <v>0</v>
      </c>
      <c r="AC104" s="5">
        <f t="shared" ref="AC104:AC110" si="300">AA104*AB104</f>
        <v>0</v>
      </c>
      <c r="AD104" s="5">
        <f t="shared" ref="AD104:AD110" si="301">AA104</f>
        <v>0</v>
      </c>
      <c r="AE104" s="5">
        <v>0</v>
      </c>
      <c r="AF104" s="5" t="str">
        <f t="shared" ref="AF104:AF110" si="302">IF(AA104&gt;90,"YES","NO")</f>
        <v>NO</v>
      </c>
      <c r="AG104" s="5">
        <f t="shared" ref="AG104:AG110" si="303">X104+AC104</f>
        <v>17010</v>
      </c>
      <c r="AH104" s="5" t="s">
        <v>57</v>
      </c>
      <c r="AI104" s="6"/>
      <c r="AJ104" s="6"/>
      <c r="AK104" s="6">
        <f t="shared" ref="AK104:AK110" si="304">N104*Q104</f>
        <v>20250</v>
      </c>
      <c r="AL104" s="6">
        <f t="shared" ref="AL104:AL112" si="305">AK104-K104</f>
        <v>5250</v>
      </c>
      <c r="AM104" s="5">
        <v>0</v>
      </c>
      <c r="AN104" s="32">
        <f t="shared" ref="AN104:AN110" si="306">AL104/Q104</f>
        <v>210</v>
      </c>
      <c r="AO104" s="32">
        <f t="shared" ref="AO104:AO110" si="307">AN104*AM104</f>
        <v>0</v>
      </c>
      <c r="AP104" s="4">
        <v>46209</v>
      </c>
      <c r="AQ104" s="4">
        <v>46214</v>
      </c>
      <c r="AR104" s="4">
        <v>46225</v>
      </c>
      <c r="AT104" s="6" t="str">
        <f t="shared" si="186"/>
        <v>ACTIVE</v>
      </c>
      <c r="AU104" s="6"/>
      <c r="AV104" s="6"/>
      <c r="AW104" s="6"/>
      <c r="AX104" s="6"/>
    </row>
    <row r="105" spans="1:50" ht="15.75">
      <c r="A105" s="35" t="str">
        <f t="shared" si="286"/>
        <v>ACTIVE</v>
      </c>
      <c r="B105" s="5" t="s">
        <v>48</v>
      </c>
      <c r="C105" s="5" t="s">
        <v>49</v>
      </c>
      <c r="D105" s="5" t="s">
        <v>50</v>
      </c>
      <c r="E105" s="5" t="s">
        <v>51</v>
      </c>
      <c r="F105" s="5" t="s">
        <v>399</v>
      </c>
      <c r="G105" s="3" t="s">
        <v>431</v>
      </c>
      <c r="H105" s="3" t="s">
        <v>435</v>
      </c>
      <c r="I105" s="3" t="s">
        <v>388</v>
      </c>
      <c r="J105" s="3">
        <v>9812971544</v>
      </c>
      <c r="K105" s="3">
        <v>20000</v>
      </c>
      <c r="L105" s="3">
        <v>1580</v>
      </c>
      <c r="M105" s="3">
        <f t="shared" si="297"/>
        <v>18420</v>
      </c>
      <c r="N105" s="3">
        <v>1000</v>
      </c>
      <c r="O105" s="29">
        <f t="shared" si="298"/>
        <v>0</v>
      </c>
      <c r="P105" s="5">
        <v>0</v>
      </c>
      <c r="Q105" s="6">
        <v>27</v>
      </c>
      <c r="R105" s="6">
        <v>4</v>
      </c>
      <c r="S105" s="6">
        <f t="shared" si="87"/>
        <v>23</v>
      </c>
      <c r="T105" s="34"/>
      <c r="U105" s="35"/>
      <c r="V105" s="35"/>
      <c r="W105" s="35">
        <f t="shared" si="165"/>
        <v>4000</v>
      </c>
      <c r="X105" s="6">
        <f t="shared" si="153"/>
        <v>23000</v>
      </c>
      <c r="Y105" s="3" t="s">
        <v>69</v>
      </c>
      <c r="Z105" s="5" t="s">
        <v>424</v>
      </c>
      <c r="AA105" s="5">
        <f t="shared" si="299"/>
        <v>0</v>
      </c>
      <c r="AB105" s="5">
        <v>0</v>
      </c>
      <c r="AC105" s="5">
        <f t="shared" si="300"/>
        <v>0</v>
      </c>
      <c r="AD105" s="5">
        <f t="shared" si="301"/>
        <v>0</v>
      </c>
      <c r="AE105" s="5">
        <v>0</v>
      </c>
      <c r="AF105" s="5" t="str">
        <f t="shared" si="302"/>
        <v>NO</v>
      </c>
      <c r="AG105" s="5">
        <f t="shared" si="303"/>
        <v>23000</v>
      </c>
      <c r="AH105" s="5" t="s">
        <v>57</v>
      </c>
      <c r="AI105" s="6"/>
      <c r="AJ105" s="6"/>
      <c r="AK105" s="6">
        <f t="shared" si="304"/>
        <v>27000</v>
      </c>
      <c r="AL105" s="6">
        <f t="shared" si="305"/>
        <v>7000</v>
      </c>
      <c r="AM105" s="5">
        <v>0</v>
      </c>
      <c r="AN105" s="32">
        <f t="shared" si="306"/>
        <v>259.25925925925924</v>
      </c>
      <c r="AO105" s="32">
        <f t="shared" si="307"/>
        <v>0</v>
      </c>
      <c r="AP105" s="4">
        <v>46209</v>
      </c>
      <c r="AQ105" s="4">
        <v>46214</v>
      </c>
      <c r="AR105" s="4">
        <v>46224</v>
      </c>
      <c r="AT105" s="6" t="str">
        <f t="shared" si="186"/>
        <v>ACTIVE</v>
      </c>
      <c r="AU105" s="6"/>
      <c r="AV105" s="6"/>
      <c r="AW105" s="6"/>
      <c r="AX105" s="6"/>
    </row>
    <row r="106" spans="1:50" ht="15.75">
      <c r="A106" s="35" t="str">
        <f t="shared" si="286"/>
        <v>ACTIVE</v>
      </c>
      <c r="B106" s="5" t="s">
        <v>48</v>
      </c>
      <c r="C106" s="5" t="s">
        <v>49</v>
      </c>
      <c r="D106" s="5" t="s">
        <v>50</v>
      </c>
      <c r="E106" s="5" t="s">
        <v>51</v>
      </c>
      <c r="F106" s="5" t="s">
        <v>399</v>
      </c>
      <c r="G106" s="3" t="s">
        <v>434</v>
      </c>
      <c r="H106" s="3" t="s">
        <v>436</v>
      </c>
      <c r="I106" s="3" t="s">
        <v>439</v>
      </c>
      <c r="J106" s="3">
        <v>7027263992</v>
      </c>
      <c r="K106" s="3">
        <v>15000</v>
      </c>
      <c r="L106" s="3">
        <v>1260</v>
      </c>
      <c r="M106" s="3">
        <f t="shared" si="297"/>
        <v>13740</v>
      </c>
      <c r="N106" s="3">
        <v>810</v>
      </c>
      <c r="O106" s="29">
        <f t="shared" si="298"/>
        <v>0</v>
      </c>
      <c r="P106" s="5">
        <v>0</v>
      </c>
      <c r="Q106" s="6">
        <v>25</v>
      </c>
      <c r="R106" s="6">
        <v>4</v>
      </c>
      <c r="S106" s="6">
        <f t="shared" si="87"/>
        <v>21</v>
      </c>
      <c r="T106" s="34"/>
      <c r="U106" s="35"/>
      <c r="V106" s="35"/>
      <c r="W106" s="35">
        <f t="shared" si="165"/>
        <v>3240</v>
      </c>
      <c r="X106" s="6">
        <f t="shared" si="153"/>
        <v>17010</v>
      </c>
      <c r="Y106" s="3" t="s">
        <v>69</v>
      </c>
      <c r="Z106" s="5" t="s">
        <v>425</v>
      </c>
      <c r="AA106" s="5">
        <f t="shared" si="299"/>
        <v>0</v>
      </c>
      <c r="AB106" s="5">
        <v>0</v>
      </c>
      <c r="AC106" s="5">
        <f t="shared" si="300"/>
        <v>0</v>
      </c>
      <c r="AD106" s="5">
        <f t="shared" si="301"/>
        <v>0</v>
      </c>
      <c r="AE106" s="5">
        <v>0</v>
      </c>
      <c r="AF106" s="5" t="str">
        <f t="shared" si="302"/>
        <v>NO</v>
      </c>
      <c r="AG106" s="5">
        <f t="shared" si="303"/>
        <v>17010</v>
      </c>
      <c r="AH106" s="5" t="s">
        <v>57</v>
      </c>
      <c r="AI106" s="6"/>
      <c r="AJ106" s="6"/>
      <c r="AK106" s="6">
        <f t="shared" si="304"/>
        <v>20250</v>
      </c>
      <c r="AL106" s="6">
        <f t="shared" si="305"/>
        <v>5250</v>
      </c>
      <c r="AM106" s="5">
        <v>0</v>
      </c>
      <c r="AN106" s="32">
        <f t="shared" si="306"/>
        <v>210</v>
      </c>
      <c r="AO106" s="32">
        <f t="shared" si="307"/>
        <v>0</v>
      </c>
      <c r="AP106" s="4">
        <v>46205</v>
      </c>
      <c r="AQ106" s="4">
        <v>46214</v>
      </c>
      <c r="AR106" s="4">
        <v>46224</v>
      </c>
      <c r="AT106" s="6" t="str">
        <f t="shared" si="186"/>
        <v>ACTIVE</v>
      </c>
      <c r="AU106" s="6"/>
      <c r="AV106" s="6"/>
      <c r="AW106" s="6"/>
      <c r="AX106" s="6"/>
    </row>
    <row r="107" spans="1:50" ht="15.75">
      <c r="A107" s="35" t="str">
        <f t="shared" si="286"/>
        <v>ACTIVE</v>
      </c>
      <c r="B107" s="5" t="s">
        <v>48</v>
      </c>
      <c r="C107" s="5" t="s">
        <v>49</v>
      </c>
      <c r="D107" s="5" t="s">
        <v>50</v>
      </c>
      <c r="E107" s="5" t="s">
        <v>51</v>
      </c>
      <c r="F107" s="5" t="s">
        <v>399</v>
      </c>
      <c r="G107" s="3" t="s">
        <v>432</v>
      </c>
      <c r="H107" s="3" t="s">
        <v>71</v>
      </c>
      <c r="I107" s="3" t="s">
        <v>259</v>
      </c>
      <c r="J107" s="3">
        <v>7428815941</v>
      </c>
      <c r="K107" s="3">
        <v>15000</v>
      </c>
      <c r="L107" s="3">
        <v>1260</v>
      </c>
      <c r="M107" s="3">
        <f t="shared" si="297"/>
        <v>13740</v>
      </c>
      <c r="N107" s="3">
        <v>810</v>
      </c>
      <c r="O107" s="29">
        <f t="shared" si="298"/>
        <v>0</v>
      </c>
      <c r="P107" s="5">
        <v>0</v>
      </c>
      <c r="Q107" s="6">
        <v>25</v>
      </c>
      <c r="R107" s="6">
        <v>3</v>
      </c>
      <c r="S107" s="6">
        <f t="shared" si="87"/>
        <v>22</v>
      </c>
      <c r="T107" s="34"/>
      <c r="U107" s="35"/>
      <c r="V107" s="35"/>
      <c r="W107" s="35">
        <f t="shared" si="165"/>
        <v>2430</v>
      </c>
      <c r="X107" s="6">
        <f t="shared" si="153"/>
        <v>17820</v>
      </c>
      <c r="Y107" s="3" t="s">
        <v>69</v>
      </c>
      <c r="Z107" s="5" t="s">
        <v>426</v>
      </c>
      <c r="AA107" s="5">
        <f t="shared" si="299"/>
        <v>0</v>
      </c>
      <c r="AB107" s="5">
        <v>0</v>
      </c>
      <c r="AC107" s="5">
        <f t="shared" si="300"/>
        <v>0</v>
      </c>
      <c r="AD107" s="5">
        <f t="shared" si="301"/>
        <v>0</v>
      </c>
      <c r="AE107" s="5">
        <v>0</v>
      </c>
      <c r="AF107" s="5" t="str">
        <f t="shared" si="302"/>
        <v>NO</v>
      </c>
      <c r="AG107" s="5">
        <f t="shared" si="303"/>
        <v>17820</v>
      </c>
      <c r="AH107" s="5" t="s">
        <v>57</v>
      </c>
      <c r="AI107" s="6"/>
      <c r="AJ107" s="6"/>
      <c r="AK107" s="6">
        <f t="shared" si="304"/>
        <v>20250</v>
      </c>
      <c r="AL107" s="6">
        <f t="shared" si="305"/>
        <v>5250</v>
      </c>
      <c r="AM107" s="5">
        <v>0</v>
      </c>
      <c r="AN107" s="32">
        <f t="shared" si="306"/>
        <v>210</v>
      </c>
      <c r="AO107" s="32">
        <f t="shared" si="307"/>
        <v>0</v>
      </c>
      <c r="AP107" s="4">
        <v>46211</v>
      </c>
      <c r="AQ107" s="4">
        <v>46214</v>
      </c>
      <c r="AR107" s="4">
        <v>46231</v>
      </c>
      <c r="AT107" s="6" t="str">
        <f t="shared" si="186"/>
        <v>ACTIVE</v>
      </c>
      <c r="AU107" s="6"/>
      <c r="AV107" s="6"/>
      <c r="AW107" s="6"/>
      <c r="AX107" s="6"/>
    </row>
    <row r="108" spans="1:50" ht="15.75">
      <c r="A108" s="35" t="str">
        <f t="shared" si="286"/>
        <v>ACTIVE</v>
      </c>
      <c r="B108" s="5" t="s">
        <v>48</v>
      </c>
      <c r="C108" s="5" t="s">
        <v>49</v>
      </c>
      <c r="D108" s="5" t="s">
        <v>50</v>
      </c>
      <c r="E108" s="5" t="s">
        <v>51</v>
      </c>
      <c r="F108" s="5" t="s">
        <v>399</v>
      </c>
      <c r="G108" s="3" t="s">
        <v>433</v>
      </c>
      <c r="H108" s="3" t="s">
        <v>437</v>
      </c>
      <c r="I108" s="3" t="s">
        <v>440</v>
      </c>
      <c r="J108" s="3">
        <v>9992517804</v>
      </c>
      <c r="K108" s="3">
        <v>20000</v>
      </c>
      <c r="L108" s="3">
        <v>1580</v>
      </c>
      <c r="M108" s="3">
        <f t="shared" si="297"/>
        <v>18420</v>
      </c>
      <c r="N108" s="3">
        <v>1000</v>
      </c>
      <c r="O108" s="29">
        <f t="shared" si="298"/>
        <v>0</v>
      </c>
      <c r="P108" s="5">
        <v>0</v>
      </c>
      <c r="Q108" s="6">
        <v>27</v>
      </c>
      <c r="R108" s="6">
        <v>4</v>
      </c>
      <c r="S108" s="6">
        <f t="shared" si="87"/>
        <v>23</v>
      </c>
      <c r="T108" s="34"/>
      <c r="U108" s="35"/>
      <c r="V108" s="35"/>
      <c r="W108" s="35">
        <f t="shared" si="165"/>
        <v>4000</v>
      </c>
      <c r="X108" s="6">
        <f t="shared" si="153"/>
        <v>23000</v>
      </c>
      <c r="Y108" s="3" t="s">
        <v>69</v>
      </c>
      <c r="Z108" s="5" t="s">
        <v>427</v>
      </c>
      <c r="AA108" s="5">
        <f t="shared" si="299"/>
        <v>0</v>
      </c>
      <c r="AB108" s="5">
        <v>0</v>
      </c>
      <c r="AC108" s="5">
        <f t="shared" si="300"/>
        <v>0</v>
      </c>
      <c r="AD108" s="5">
        <f t="shared" si="301"/>
        <v>0</v>
      </c>
      <c r="AE108" s="5">
        <v>0</v>
      </c>
      <c r="AF108" s="5" t="str">
        <f t="shared" si="302"/>
        <v>NO</v>
      </c>
      <c r="AG108" s="5">
        <f t="shared" si="303"/>
        <v>23000</v>
      </c>
      <c r="AH108" s="5" t="s">
        <v>57</v>
      </c>
      <c r="AI108" s="6"/>
      <c r="AJ108" s="6"/>
      <c r="AK108" s="6">
        <f t="shared" si="304"/>
        <v>27000</v>
      </c>
      <c r="AL108" s="6">
        <f t="shared" si="305"/>
        <v>7000</v>
      </c>
      <c r="AM108" s="5">
        <v>0</v>
      </c>
      <c r="AN108" s="32">
        <f t="shared" si="306"/>
        <v>259.25925925925924</v>
      </c>
      <c r="AO108" s="32">
        <f t="shared" si="307"/>
        <v>0</v>
      </c>
      <c r="AP108" s="4">
        <v>46206</v>
      </c>
      <c r="AQ108" s="4">
        <v>46214</v>
      </c>
      <c r="AR108" s="4">
        <v>46224</v>
      </c>
      <c r="AT108" s="6" t="str">
        <f t="shared" si="186"/>
        <v>ACTIVE</v>
      </c>
      <c r="AU108" s="6"/>
      <c r="AV108" s="6"/>
      <c r="AW108" s="6"/>
      <c r="AX108" s="6"/>
    </row>
    <row r="109" spans="1:50" ht="15.75" hidden="1">
      <c r="A109" s="35" t="str">
        <f t="shared" si="286"/>
        <v>ACTIVE</v>
      </c>
      <c r="B109" s="5" t="s">
        <v>48</v>
      </c>
      <c r="C109" s="5" t="s">
        <v>49</v>
      </c>
      <c r="D109" s="5" t="s">
        <v>50</v>
      </c>
      <c r="E109" s="5" t="s">
        <v>51</v>
      </c>
      <c r="F109" s="5" t="s">
        <v>399</v>
      </c>
      <c r="G109" s="3" t="s">
        <v>118</v>
      </c>
      <c r="H109" s="3" t="s">
        <v>438</v>
      </c>
      <c r="I109" s="3" t="s">
        <v>375</v>
      </c>
      <c r="J109" s="3">
        <v>9996197698</v>
      </c>
      <c r="K109" s="3">
        <v>20000</v>
      </c>
      <c r="L109" s="3">
        <v>1580</v>
      </c>
      <c r="M109" s="3">
        <f t="shared" si="297"/>
        <v>18420</v>
      </c>
      <c r="N109" s="3">
        <v>1000</v>
      </c>
      <c r="O109" s="29">
        <f t="shared" si="298"/>
        <v>0</v>
      </c>
      <c r="P109" s="5">
        <v>0</v>
      </c>
      <c r="Q109" s="6">
        <v>27</v>
      </c>
      <c r="R109" s="6">
        <v>4</v>
      </c>
      <c r="S109" s="6">
        <f t="shared" si="87"/>
        <v>23</v>
      </c>
      <c r="T109" s="34"/>
      <c r="U109" s="35"/>
      <c r="V109" s="35"/>
      <c r="W109" s="35">
        <f t="shared" si="165"/>
        <v>4000</v>
      </c>
      <c r="X109" s="6">
        <f t="shared" si="153"/>
        <v>23000</v>
      </c>
      <c r="Y109" s="3" t="s">
        <v>55</v>
      </c>
      <c r="Z109" s="5" t="s">
        <v>428</v>
      </c>
      <c r="AA109" s="5">
        <f t="shared" si="299"/>
        <v>0</v>
      </c>
      <c r="AB109" s="5">
        <v>0</v>
      </c>
      <c r="AC109" s="5">
        <f t="shared" si="300"/>
        <v>0</v>
      </c>
      <c r="AD109" s="5">
        <f t="shared" si="301"/>
        <v>0</v>
      </c>
      <c r="AE109" s="5">
        <v>0</v>
      </c>
      <c r="AF109" s="5" t="str">
        <f t="shared" si="302"/>
        <v>NO</v>
      </c>
      <c r="AG109" s="5">
        <f t="shared" si="303"/>
        <v>23000</v>
      </c>
      <c r="AH109" s="5" t="s">
        <v>57</v>
      </c>
      <c r="AI109" s="6"/>
      <c r="AJ109" s="6"/>
      <c r="AK109" s="6">
        <f t="shared" si="304"/>
        <v>27000</v>
      </c>
      <c r="AL109" s="6">
        <f t="shared" si="305"/>
        <v>7000</v>
      </c>
      <c r="AM109" s="5">
        <v>0</v>
      </c>
      <c r="AN109" s="32">
        <f t="shared" si="306"/>
        <v>259.25925925925924</v>
      </c>
      <c r="AO109" s="32">
        <f t="shared" si="307"/>
        <v>0</v>
      </c>
      <c r="AP109" s="4">
        <v>46210</v>
      </c>
      <c r="AQ109" s="4">
        <v>46214</v>
      </c>
      <c r="AR109" s="4">
        <v>46225</v>
      </c>
      <c r="AT109" s="6" t="str">
        <f t="shared" si="186"/>
        <v>ACTIVE</v>
      </c>
      <c r="AU109" s="6"/>
      <c r="AV109" s="6"/>
      <c r="AW109" s="6"/>
      <c r="AX109" s="6"/>
    </row>
    <row r="110" spans="1:50" ht="15.75" hidden="1">
      <c r="A110" s="35" t="str">
        <f t="shared" ref="A110:A112" si="308">IF(X110=0,"CLOSE","ACTIVE")</f>
        <v>ACTIVE</v>
      </c>
      <c r="B110" s="5" t="s">
        <v>48</v>
      </c>
      <c r="C110" s="5" t="s">
        <v>49</v>
      </c>
      <c r="D110" s="5" t="s">
        <v>50</v>
      </c>
      <c r="E110" s="5" t="s">
        <v>51</v>
      </c>
      <c r="F110" s="5" t="s">
        <v>399</v>
      </c>
      <c r="G110" s="3" t="s">
        <v>197</v>
      </c>
      <c r="H110" s="3" t="s">
        <v>323</v>
      </c>
      <c r="I110" s="3" t="s">
        <v>295</v>
      </c>
      <c r="J110" s="3">
        <v>8708979195</v>
      </c>
      <c r="K110" s="3">
        <v>20000</v>
      </c>
      <c r="L110" s="3">
        <v>1580</v>
      </c>
      <c r="M110" s="3">
        <f t="shared" si="297"/>
        <v>18420</v>
      </c>
      <c r="N110" s="3">
        <v>1000</v>
      </c>
      <c r="O110" s="29">
        <f t="shared" si="298"/>
        <v>0</v>
      </c>
      <c r="P110" s="5">
        <v>0</v>
      </c>
      <c r="Q110" s="6">
        <v>27</v>
      </c>
      <c r="R110" s="6">
        <v>4</v>
      </c>
      <c r="S110" s="6">
        <f t="shared" si="87"/>
        <v>23</v>
      </c>
      <c r="T110" s="34"/>
      <c r="U110" s="35"/>
      <c r="V110" s="35"/>
      <c r="W110" s="35">
        <f t="shared" si="165"/>
        <v>4000</v>
      </c>
      <c r="X110" s="6">
        <f t="shared" si="153"/>
        <v>23000</v>
      </c>
      <c r="Y110" s="3" t="s">
        <v>55</v>
      </c>
      <c r="Z110" s="5" t="s">
        <v>429</v>
      </c>
      <c r="AA110" s="5">
        <f t="shared" si="299"/>
        <v>0</v>
      </c>
      <c r="AB110" s="5">
        <v>0</v>
      </c>
      <c r="AC110" s="5">
        <f t="shared" si="300"/>
        <v>0</v>
      </c>
      <c r="AD110" s="5">
        <f t="shared" si="301"/>
        <v>0</v>
      </c>
      <c r="AE110" s="5">
        <v>0</v>
      </c>
      <c r="AF110" s="5" t="str">
        <f t="shared" si="302"/>
        <v>NO</v>
      </c>
      <c r="AG110" s="5">
        <f t="shared" si="303"/>
        <v>23000</v>
      </c>
      <c r="AH110" s="5" t="s">
        <v>57</v>
      </c>
      <c r="AI110" s="6"/>
      <c r="AJ110" s="6"/>
      <c r="AK110" s="6">
        <f t="shared" si="304"/>
        <v>27000</v>
      </c>
      <c r="AL110" s="6">
        <f t="shared" si="305"/>
        <v>7000</v>
      </c>
      <c r="AM110" s="5">
        <v>0</v>
      </c>
      <c r="AN110" s="32">
        <f t="shared" si="306"/>
        <v>259.25925925925924</v>
      </c>
      <c r="AO110" s="32">
        <f t="shared" si="307"/>
        <v>0</v>
      </c>
      <c r="AP110" s="4">
        <v>46209</v>
      </c>
      <c r="AQ110" s="4">
        <v>46214</v>
      </c>
      <c r="AR110" s="4">
        <v>46225</v>
      </c>
      <c r="AT110" s="6" t="str">
        <f t="shared" si="186"/>
        <v>ACTIVE</v>
      </c>
      <c r="AU110" s="6"/>
      <c r="AV110" s="6"/>
      <c r="AW110" s="6"/>
      <c r="AX110" s="6"/>
    </row>
    <row r="111" spans="1:50" ht="15.75" hidden="1">
      <c r="A111" s="35" t="str">
        <f t="shared" si="308"/>
        <v>ACTIVE</v>
      </c>
      <c r="B111" s="5" t="s">
        <v>48</v>
      </c>
      <c r="C111" s="5" t="s">
        <v>49</v>
      </c>
      <c r="D111" s="5" t="s">
        <v>50</v>
      </c>
      <c r="E111" s="5" t="s">
        <v>51</v>
      </c>
      <c r="F111" s="5" t="s">
        <v>399</v>
      </c>
      <c r="G111" s="3" t="s">
        <v>447</v>
      </c>
      <c r="H111" s="3" t="s">
        <v>441</v>
      </c>
      <c r="I111" s="3" t="s">
        <v>443</v>
      </c>
      <c r="J111" s="3">
        <v>8397095261</v>
      </c>
      <c r="K111" s="3">
        <v>10000</v>
      </c>
      <c r="L111" s="3">
        <v>820</v>
      </c>
      <c r="M111" s="3">
        <f t="shared" si="297"/>
        <v>9180</v>
      </c>
      <c r="N111" s="3">
        <v>675</v>
      </c>
      <c r="O111" s="29">
        <f t="shared" ref="O111:O112" si="309">N111*P111</f>
        <v>0</v>
      </c>
      <c r="P111" s="5">
        <v>0</v>
      </c>
      <c r="Q111" s="6">
        <v>20</v>
      </c>
      <c r="R111" s="6">
        <v>3</v>
      </c>
      <c r="S111" s="6">
        <f t="shared" si="87"/>
        <v>17</v>
      </c>
      <c r="T111" s="34"/>
      <c r="U111" s="35"/>
      <c r="V111" s="35"/>
      <c r="W111" s="35">
        <f t="shared" si="165"/>
        <v>2025</v>
      </c>
      <c r="X111" s="6">
        <f t="shared" si="153"/>
        <v>11475</v>
      </c>
      <c r="Y111" s="3" t="s">
        <v>55</v>
      </c>
      <c r="Z111" s="5" t="s">
        <v>445</v>
      </c>
      <c r="AA111" s="5">
        <f t="shared" ref="AA111:AA112" si="310">P111*14</f>
        <v>0</v>
      </c>
      <c r="AB111" s="5">
        <v>0</v>
      </c>
      <c r="AC111" s="5">
        <f t="shared" ref="AC111:AC112" si="311">AA111*AB111</f>
        <v>0</v>
      </c>
      <c r="AD111" s="5">
        <f t="shared" ref="AD111:AD112" si="312">AA111</f>
        <v>0</v>
      </c>
      <c r="AE111" s="5">
        <v>0</v>
      </c>
      <c r="AF111" s="5" t="str">
        <f t="shared" ref="AF111:AF112" si="313">IF(AA111&gt;90,"YES","NO")</f>
        <v>NO</v>
      </c>
      <c r="AG111" s="5">
        <f t="shared" ref="AG111:AG112" si="314">X111+AC111</f>
        <v>11475</v>
      </c>
      <c r="AH111" s="5" t="s">
        <v>57</v>
      </c>
      <c r="AI111" s="6"/>
      <c r="AJ111" s="6"/>
      <c r="AK111" s="6">
        <f t="shared" ref="AK111:AK112" si="315">N111*Q111</f>
        <v>13500</v>
      </c>
      <c r="AL111" s="6">
        <f t="shared" si="305"/>
        <v>3500</v>
      </c>
      <c r="AM111" s="5">
        <v>0</v>
      </c>
      <c r="AN111" s="32">
        <f t="shared" ref="AN111:AN112" si="316">AL111/Q111</f>
        <v>175</v>
      </c>
      <c r="AO111" s="32">
        <f t="shared" ref="AO111:AO112" si="317">AN111*AM111</f>
        <v>0</v>
      </c>
      <c r="AP111" s="4">
        <v>46213</v>
      </c>
      <c r="AQ111" s="4">
        <v>46216</v>
      </c>
      <c r="AR111" s="4">
        <v>46232</v>
      </c>
      <c r="AT111" s="6" t="str">
        <f t="shared" si="186"/>
        <v>ACTIVE</v>
      </c>
      <c r="AU111" s="6"/>
      <c r="AV111" s="6"/>
      <c r="AW111" s="6"/>
      <c r="AX111" s="6"/>
    </row>
    <row r="112" spans="1:50" ht="15.75" hidden="1">
      <c r="A112" s="35" t="str">
        <f t="shared" si="308"/>
        <v>ACTIVE</v>
      </c>
      <c r="B112" s="5" t="s">
        <v>48</v>
      </c>
      <c r="C112" s="5" t="s">
        <v>49</v>
      </c>
      <c r="D112" s="5" t="s">
        <v>50</v>
      </c>
      <c r="E112" s="5" t="s">
        <v>51</v>
      </c>
      <c r="F112" s="5" t="s">
        <v>399</v>
      </c>
      <c r="G112" s="3" t="s">
        <v>49</v>
      </c>
      <c r="H112" s="3" t="s">
        <v>442</v>
      </c>
      <c r="I112" s="3" t="s">
        <v>444</v>
      </c>
      <c r="J112" s="3">
        <v>9728061518</v>
      </c>
      <c r="K112" s="3">
        <v>20000</v>
      </c>
      <c r="L112" s="3">
        <v>1580</v>
      </c>
      <c r="M112" s="3">
        <f t="shared" si="297"/>
        <v>18420</v>
      </c>
      <c r="N112" s="3">
        <v>1000</v>
      </c>
      <c r="O112" s="29">
        <f t="shared" si="309"/>
        <v>0</v>
      </c>
      <c r="P112" s="5">
        <v>0</v>
      </c>
      <c r="Q112" s="6">
        <v>27</v>
      </c>
      <c r="R112" s="6">
        <v>3</v>
      </c>
      <c r="S112" s="6">
        <f t="shared" si="87"/>
        <v>24</v>
      </c>
      <c r="T112" s="34"/>
      <c r="U112" s="35"/>
      <c r="V112" s="35"/>
      <c r="W112" s="35">
        <f t="shared" si="165"/>
        <v>3000</v>
      </c>
      <c r="X112" s="6">
        <f t="shared" si="153"/>
        <v>24000</v>
      </c>
      <c r="Y112" s="3" t="s">
        <v>55</v>
      </c>
      <c r="Z112" s="5" t="s">
        <v>446</v>
      </c>
      <c r="AA112" s="5">
        <f t="shared" si="310"/>
        <v>0</v>
      </c>
      <c r="AB112" s="5">
        <v>0</v>
      </c>
      <c r="AC112" s="5">
        <f t="shared" si="311"/>
        <v>0</v>
      </c>
      <c r="AD112" s="5">
        <f t="shared" si="312"/>
        <v>0</v>
      </c>
      <c r="AE112" s="5">
        <v>0</v>
      </c>
      <c r="AF112" s="5" t="str">
        <f t="shared" si="313"/>
        <v>NO</v>
      </c>
      <c r="AG112" s="5">
        <f t="shared" si="314"/>
        <v>24000</v>
      </c>
      <c r="AH112" s="5" t="s">
        <v>57</v>
      </c>
      <c r="AI112" s="6"/>
      <c r="AJ112" s="6"/>
      <c r="AK112" s="6">
        <f t="shared" si="315"/>
        <v>27000</v>
      </c>
      <c r="AL112" s="6">
        <f t="shared" si="305"/>
        <v>7000</v>
      </c>
      <c r="AM112" s="5">
        <v>0</v>
      </c>
      <c r="AN112" s="32">
        <f t="shared" si="316"/>
        <v>259.25925925925924</v>
      </c>
      <c r="AO112" s="32">
        <f t="shared" si="317"/>
        <v>0</v>
      </c>
      <c r="AP112" s="4">
        <v>46193</v>
      </c>
      <c r="AQ112" s="4">
        <v>46216</v>
      </c>
      <c r="AR112" s="4">
        <v>46232</v>
      </c>
      <c r="AT112" s="6" t="str">
        <f t="shared" si="186"/>
        <v>ACTIVE</v>
      </c>
      <c r="AU112" s="6"/>
      <c r="AV112" s="6"/>
      <c r="AW112" s="6"/>
      <c r="AX112" s="6"/>
    </row>
    <row r="113" spans="1:50" ht="15.75">
      <c r="A113" s="35" t="str">
        <f t="shared" ref="A113" si="318">IF(X113=0,"CLOSE","ACTIVE")</f>
        <v>ACTIVE</v>
      </c>
      <c r="B113" s="5" t="s">
        <v>48</v>
      </c>
      <c r="C113" s="5" t="s">
        <v>49</v>
      </c>
      <c r="D113" s="5" t="s">
        <v>50</v>
      </c>
      <c r="E113" s="5" t="s">
        <v>51</v>
      </c>
      <c r="F113" s="5" t="s">
        <v>399</v>
      </c>
      <c r="G113" s="3" t="s">
        <v>451</v>
      </c>
      <c r="H113" s="3" t="s">
        <v>132</v>
      </c>
      <c r="I113" s="3" t="s">
        <v>450</v>
      </c>
      <c r="J113" s="3">
        <v>8178071116</v>
      </c>
      <c r="K113" s="3">
        <v>20000</v>
      </c>
      <c r="L113" s="3">
        <v>1580</v>
      </c>
      <c r="M113" s="3">
        <f t="shared" ref="M113:M114" si="319">K113-L113</f>
        <v>18420</v>
      </c>
      <c r="N113" s="3">
        <v>1000</v>
      </c>
      <c r="O113" s="29">
        <f t="shared" ref="O113" si="320">N113*P113</f>
        <v>0</v>
      </c>
      <c r="P113" s="5">
        <v>0</v>
      </c>
      <c r="Q113" s="6">
        <v>27</v>
      </c>
      <c r="R113" s="6">
        <v>3</v>
      </c>
      <c r="S113" s="6">
        <f t="shared" si="87"/>
        <v>24</v>
      </c>
      <c r="T113" s="34"/>
      <c r="U113" s="35"/>
      <c r="V113" s="35"/>
      <c r="W113" s="35">
        <f t="shared" si="165"/>
        <v>3000</v>
      </c>
      <c r="X113" s="6">
        <f t="shared" si="153"/>
        <v>24000</v>
      </c>
      <c r="Y113" s="35" t="s">
        <v>69</v>
      </c>
      <c r="Z113" s="5" t="s">
        <v>449</v>
      </c>
      <c r="AA113" s="5">
        <f t="shared" ref="AA113" si="321">P113*14</f>
        <v>0</v>
      </c>
      <c r="AB113" s="5">
        <v>0</v>
      </c>
      <c r="AC113" s="5">
        <f t="shared" ref="AC113" si="322">AA113*AB113</f>
        <v>0</v>
      </c>
      <c r="AD113" s="5">
        <f t="shared" ref="AD113" si="323">AA113</f>
        <v>0</v>
      </c>
      <c r="AE113" s="5">
        <v>0</v>
      </c>
      <c r="AF113" s="5" t="str">
        <f t="shared" ref="AF113" si="324">IF(AA113&gt;90,"YES","NO")</f>
        <v>NO</v>
      </c>
      <c r="AG113" s="5">
        <f t="shared" ref="AG113" si="325">X113+AC113</f>
        <v>24000</v>
      </c>
      <c r="AH113" s="5" t="s">
        <v>57</v>
      </c>
      <c r="AI113" s="6"/>
      <c r="AJ113" s="6"/>
      <c r="AK113" s="6">
        <f t="shared" ref="AK113" si="326">N113*Q113</f>
        <v>27000</v>
      </c>
      <c r="AL113" s="6">
        <f t="shared" ref="AL113" si="327">AK113-K113</f>
        <v>7000</v>
      </c>
      <c r="AM113" s="5">
        <v>0</v>
      </c>
      <c r="AN113" s="32">
        <f t="shared" ref="AN113" si="328">AL113/Q113</f>
        <v>259.25925925925924</v>
      </c>
      <c r="AO113" s="32">
        <f t="shared" ref="AO113" si="329">AN113*AM113</f>
        <v>0</v>
      </c>
      <c r="AP113" s="4">
        <v>46213</v>
      </c>
      <c r="AQ113" s="4">
        <v>46218</v>
      </c>
      <c r="AR113" s="4">
        <v>46231</v>
      </c>
      <c r="AT113" s="6" t="str">
        <f t="shared" si="186"/>
        <v>ACTIVE</v>
      </c>
      <c r="AU113" s="6"/>
      <c r="AV113" s="6"/>
      <c r="AW113" s="6"/>
      <c r="AX113" s="6"/>
    </row>
    <row r="114" spans="1:50" ht="15.75">
      <c r="A114" s="35" t="str">
        <f t="shared" ref="A114" si="330">IF(X114=0,"CLOSE","ACTIVE")</f>
        <v>ACTIVE</v>
      </c>
      <c r="B114" s="5" t="s">
        <v>48</v>
      </c>
      <c r="C114" s="5" t="s">
        <v>49</v>
      </c>
      <c r="D114" s="5" t="s">
        <v>50</v>
      </c>
      <c r="E114" s="5" t="s">
        <v>51</v>
      </c>
      <c r="F114" s="5" t="s">
        <v>399</v>
      </c>
      <c r="G114" s="3" t="s">
        <v>453</v>
      </c>
      <c r="H114" s="3" t="s">
        <v>454</v>
      </c>
      <c r="I114" s="3" t="s">
        <v>182</v>
      </c>
      <c r="J114" s="3">
        <v>9354235940</v>
      </c>
      <c r="K114" s="3">
        <v>20000</v>
      </c>
      <c r="L114" s="3">
        <v>1580</v>
      </c>
      <c r="M114" s="3">
        <f t="shared" si="319"/>
        <v>18420</v>
      </c>
      <c r="N114" s="3">
        <v>1000</v>
      </c>
      <c r="O114" s="29">
        <f t="shared" ref="O114" si="331">N114*P114</f>
        <v>0</v>
      </c>
      <c r="P114" s="5">
        <v>0</v>
      </c>
      <c r="Q114" s="6">
        <v>27</v>
      </c>
      <c r="R114" s="6">
        <v>3</v>
      </c>
      <c r="S114" s="6">
        <f t="shared" si="87"/>
        <v>24</v>
      </c>
      <c r="T114" s="34"/>
      <c r="U114" s="35"/>
      <c r="V114" s="35"/>
      <c r="W114" s="35">
        <f t="shared" si="165"/>
        <v>3000</v>
      </c>
      <c r="X114" s="6">
        <f t="shared" si="153"/>
        <v>24000</v>
      </c>
      <c r="Y114" s="35" t="s">
        <v>69</v>
      </c>
      <c r="Z114" s="6" t="s">
        <v>452</v>
      </c>
      <c r="AA114" s="5">
        <f t="shared" ref="AA114" si="332">P114*14</f>
        <v>0</v>
      </c>
      <c r="AB114" s="5">
        <v>0</v>
      </c>
      <c r="AC114" s="5">
        <f t="shared" ref="AC114" si="333">AA114*AB114</f>
        <v>0</v>
      </c>
      <c r="AD114" s="5">
        <f t="shared" ref="AD114" si="334">AA114</f>
        <v>0</v>
      </c>
      <c r="AE114" s="5">
        <v>0</v>
      </c>
      <c r="AF114" s="5" t="str">
        <f t="shared" ref="AF114" si="335">IF(AA114&gt;90,"YES","NO")</f>
        <v>NO</v>
      </c>
      <c r="AG114" s="5">
        <f t="shared" ref="AG114" si="336">X114+AC114</f>
        <v>24000</v>
      </c>
      <c r="AH114" s="5" t="s">
        <v>57</v>
      </c>
      <c r="AI114" s="6"/>
      <c r="AJ114" s="6"/>
      <c r="AK114" s="6">
        <f t="shared" ref="AK114" si="337">N114*Q114</f>
        <v>27000</v>
      </c>
      <c r="AL114" s="6">
        <f t="shared" ref="AL114" si="338">AK114-K114</f>
        <v>7000</v>
      </c>
      <c r="AM114" s="5">
        <v>0</v>
      </c>
      <c r="AN114" s="32">
        <f t="shared" ref="AN114" si="339">AL114/Q114</f>
        <v>259.25925925925924</v>
      </c>
      <c r="AO114" s="32">
        <f t="shared" ref="AO114" si="340">AN114*AM114</f>
        <v>0</v>
      </c>
      <c r="AP114" s="4">
        <v>46213</v>
      </c>
      <c r="AQ114" s="4">
        <v>46219</v>
      </c>
      <c r="AR114" s="4">
        <v>46231</v>
      </c>
      <c r="AT114" s="6" t="str">
        <f t="shared" si="186"/>
        <v>ACTIVE</v>
      </c>
      <c r="AU114" s="6"/>
      <c r="AV114" s="6"/>
      <c r="AW114" s="6"/>
      <c r="AX114" s="6"/>
    </row>
    <row r="115" spans="1:50" ht="15.75">
      <c r="A115" s="35" t="str">
        <f t="shared" ref="A115:A123" si="341">IF(X115=0,"CLOSE","ACTIVE")</f>
        <v>ACTIVE</v>
      </c>
      <c r="B115" s="5" t="s">
        <v>48</v>
      </c>
      <c r="C115" s="5" t="s">
        <v>49</v>
      </c>
      <c r="D115" s="5" t="s">
        <v>50</v>
      </c>
      <c r="E115" s="5" t="s">
        <v>51</v>
      </c>
      <c r="F115" s="5" t="s">
        <v>399</v>
      </c>
      <c r="G115" s="3" t="s">
        <v>456</v>
      </c>
      <c r="H115" s="3" t="s">
        <v>457</v>
      </c>
      <c r="I115" s="3" t="s">
        <v>458</v>
      </c>
      <c r="J115" s="3">
        <v>9821138185</v>
      </c>
      <c r="K115" s="3">
        <v>20000</v>
      </c>
      <c r="L115" s="3">
        <v>1580</v>
      </c>
      <c r="M115" s="3">
        <f t="shared" ref="M115:M132" si="342">K115-L115</f>
        <v>18420</v>
      </c>
      <c r="N115" s="3">
        <v>1000</v>
      </c>
      <c r="O115" s="29">
        <f t="shared" ref="O115" si="343">N115*P115</f>
        <v>0</v>
      </c>
      <c r="P115" s="5">
        <v>0</v>
      </c>
      <c r="Q115" s="6">
        <v>27</v>
      </c>
      <c r="R115" s="6">
        <v>3</v>
      </c>
      <c r="S115" s="6">
        <f t="shared" ref="S115:S145" si="344">Q115-R115-P115</f>
        <v>24</v>
      </c>
      <c r="T115" s="34"/>
      <c r="U115" s="35"/>
      <c r="V115" s="35"/>
      <c r="W115" s="35">
        <f t="shared" ref="W115:W145" si="345">R115*N115+U115</f>
        <v>3000</v>
      </c>
      <c r="X115" s="6">
        <f t="shared" ref="X115:X145" si="346">N115*(P115+S115)+T115-U115</f>
        <v>24000</v>
      </c>
      <c r="Y115" s="35" t="s">
        <v>69</v>
      </c>
      <c r="Z115" s="6" t="s">
        <v>455</v>
      </c>
      <c r="AA115" s="5">
        <f t="shared" ref="AA115" si="347">P115*14</f>
        <v>0</v>
      </c>
      <c r="AB115" s="5">
        <v>0</v>
      </c>
      <c r="AC115" s="5">
        <f t="shared" ref="AC115" si="348">AA115*AB115</f>
        <v>0</v>
      </c>
      <c r="AD115" s="5">
        <f t="shared" ref="AD115" si="349">AA115</f>
        <v>0</v>
      </c>
      <c r="AE115" s="5">
        <v>0</v>
      </c>
      <c r="AF115" s="5" t="str">
        <f t="shared" ref="AF115" si="350">IF(AA115&gt;90,"YES","NO")</f>
        <v>NO</v>
      </c>
      <c r="AG115" s="5">
        <f t="shared" ref="AG115" si="351">X115+AC115</f>
        <v>24000</v>
      </c>
      <c r="AH115" s="5" t="s">
        <v>57</v>
      </c>
      <c r="AI115" s="6"/>
      <c r="AJ115" s="6"/>
      <c r="AK115" s="6">
        <f t="shared" ref="AK115" si="352">N115*Q115</f>
        <v>27000</v>
      </c>
      <c r="AL115" s="6">
        <f t="shared" ref="AL115" si="353">AK115-K115</f>
        <v>7000</v>
      </c>
      <c r="AM115" s="5">
        <v>0</v>
      </c>
      <c r="AN115" s="32">
        <f t="shared" ref="AN115" si="354">AL115/Q115</f>
        <v>259.25925925925924</v>
      </c>
      <c r="AO115" s="32">
        <f t="shared" ref="AO115" si="355">AN115*AM115</f>
        <v>0</v>
      </c>
      <c r="AP115" s="4">
        <v>46213</v>
      </c>
      <c r="AQ115" s="4">
        <v>46220</v>
      </c>
      <c r="AR115" s="4">
        <v>46231</v>
      </c>
      <c r="AT115" s="6" t="str">
        <f t="shared" ref="AT115:AT145" si="356">IF(X115=0,"CLOSE","ACTIVE")</f>
        <v>ACTIVE</v>
      </c>
      <c r="AU115" s="6"/>
      <c r="AV115" s="6"/>
      <c r="AW115" s="6"/>
      <c r="AX115" s="6"/>
    </row>
    <row r="116" spans="1:50" ht="15.75">
      <c r="A116" s="35" t="str">
        <f t="shared" si="341"/>
        <v>ACTIVE</v>
      </c>
      <c r="B116" s="5" t="s">
        <v>48</v>
      </c>
      <c r="C116" s="5" t="s">
        <v>49</v>
      </c>
      <c r="D116" s="5" t="s">
        <v>50</v>
      </c>
      <c r="E116" s="5" t="s">
        <v>51</v>
      </c>
      <c r="F116" s="5" t="s">
        <v>399</v>
      </c>
      <c r="G116" s="3" t="s">
        <v>453</v>
      </c>
      <c r="H116" s="3" t="s">
        <v>166</v>
      </c>
      <c r="I116" s="3" t="s">
        <v>472</v>
      </c>
      <c r="J116" s="3">
        <v>9910123112</v>
      </c>
      <c r="K116" s="3">
        <v>15000</v>
      </c>
      <c r="L116" s="3">
        <v>1260</v>
      </c>
      <c r="M116" s="3">
        <f t="shared" si="342"/>
        <v>13740</v>
      </c>
      <c r="N116" s="3">
        <v>810</v>
      </c>
      <c r="O116" s="29">
        <f t="shared" ref="O116:O123" si="357">N116*P116</f>
        <v>0</v>
      </c>
      <c r="P116" s="5">
        <v>0</v>
      </c>
      <c r="Q116" s="3">
        <v>25</v>
      </c>
      <c r="R116" s="6">
        <v>1</v>
      </c>
      <c r="S116" s="6">
        <f t="shared" si="344"/>
        <v>24</v>
      </c>
      <c r="T116" s="34"/>
      <c r="U116" s="35"/>
      <c r="V116" s="35"/>
      <c r="W116" s="35">
        <f t="shared" si="345"/>
        <v>810</v>
      </c>
      <c r="X116" s="6">
        <f t="shared" si="346"/>
        <v>19440</v>
      </c>
      <c r="Y116" s="3" t="s">
        <v>69</v>
      </c>
      <c r="Z116" s="6" t="s">
        <v>459</v>
      </c>
      <c r="AA116" s="5">
        <f t="shared" ref="AA116:AA123" si="358">P116*14</f>
        <v>0</v>
      </c>
      <c r="AB116" s="5">
        <v>0</v>
      </c>
      <c r="AC116" s="5">
        <f t="shared" ref="AC116:AC123" si="359">AA116*AB116</f>
        <v>0</v>
      </c>
      <c r="AD116" s="5">
        <f t="shared" ref="AD116:AD123" si="360">AA116</f>
        <v>0</v>
      </c>
      <c r="AE116" s="5">
        <v>0</v>
      </c>
      <c r="AF116" s="5" t="str">
        <f t="shared" ref="AF116:AF123" si="361">IF(AA116&gt;90,"YES","NO")</f>
        <v>NO</v>
      </c>
      <c r="AG116" s="5">
        <f t="shared" ref="AG116:AG123" si="362">X116+AC116</f>
        <v>19440</v>
      </c>
      <c r="AH116" s="5" t="s">
        <v>57</v>
      </c>
      <c r="AI116" s="6"/>
      <c r="AJ116" s="6"/>
      <c r="AK116" s="6">
        <f t="shared" ref="AK116:AK123" si="363">N116*Q116</f>
        <v>20250</v>
      </c>
      <c r="AL116" s="6">
        <f t="shared" ref="AL116:AL125" si="364">AK116-K116</f>
        <v>5250</v>
      </c>
      <c r="AM116" s="5">
        <v>0</v>
      </c>
      <c r="AN116" s="32">
        <f t="shared" ref="AN116:AN122" si="365">AL116/Q116</f>
        <v>210</v>
      </c>
      <c r="AO116" s="32">
        <f t="shared" ref="AO116:AO122" si="366">AN116*AM116</f>
        <v>0</v>
      </c>
      <c r="AP116" s="4">
        <v>46223</v>
      </c>
      <c r="AQ116" s="4">
        <v>46225</v>
      </c>
      <c r="AR116" s="4">
        <v>46245</v>
      </c>
      <c r="AT116" s="6" t="str">
        <f t="shared" si="356"/>
        <v>ACTIVE</v>
      </c>
      <c r="AU116" s="6"/>
      <c r="AV116" s="6"/>
      <c r="AW116" s="6"/>
      <c r="AX116" s="6"/>
    </row>
    <row r="117" spans="1:50" ht="15.75" hidden="1">
      <c r="A117" s="35" t="str">
        <f t="shared" si="341"/>
        <v>ACTIVE</v>
      </c>
      <c r="B117" s="5" t="s">
        <v>48</v>
      </c>
      <c r="C117" s="5" t="s">
        <v>49</v>
      </c>
      <c r="D117" s="5" t="s">
        <v>50</v>
      </c>
      <c r="E117" s="5" t="s">
        <v>51</v>
      </c>
      <c r="F117" s="5" t="s">
        <v>399</v>
      </c>
      <c r="G117" s="3" t="s">
        <v>206</v>
      </c>
      <c r="H117" s="3" t="s">
        <v>467</v>
      </c>
      <c r="I117" s="3" t="s">
        <v>470</v>
      </c>
      <c r="J117" s="3">
        <v>7027812889</v>
      </c>
      <c r="K117" s="3">
        <v>20000</v>
      </c>
      <c r="L117" s="3">
        <v>1580</v>
      </c>
      <c r="M117" s="3">
        <f t="shared" si="342"/>
        <v>18420</v>
      </c>
      <c r="N117" s="3">
        <v>1000</v>
      </c>
      <c r="O117" s="29">
        <f t="shared" si="357"/>
        <v>0</v>
      </c>
      <c r="P117" s="5">
        <v>0</v>
      </c>
      <c r="Q117" s="3">
        <v>27</v>
      </c>
      <c r="R117" s="6">
        <v>1</v>
      </c>
      <c r="S117" s="6">
        <f t="shared" si="344"/>
        <v>26</v>
      </c>
      <c r="T117" s="34"/>
      <c r="U117" s="35"/>
      <c r="V117" s="35"/>
      <c r="W117" s="35">
        <f t="shared" si="345"/>
        <v>1000</v>
      </c>
      <c r="X117" s="6">
        <f t="shared" si="346"/>
        <v>26000</v>
      </c>
      <c r="Y117" s="3" t="s">
        <v>55</v>
      </c>
      <c r="Z117" s="6" t="s">
        <v>460</v>
      </c>
      <c r="AA117" s="5">
        <f t="shared" si="358"/>
        <v>0</v>
      </c>
      <c r="AB117" s="5">
        <v>0</v>
      </c>
      <c r="AC117" s="5">
        <f t="shared" si="359"/>
        <v>0</v>
      </c>
      <c r="AD117" s="5">
        <f t="shared" si="360"/>
        <v>0</v>
      </c>
      <c r="AE117" s="5">
        <v>0</v>
      </c>
      <c r="AF117" s="5" t="str">
        <f t="shared" si="361"/>
        <v>NO</v>
      </c>
      <c r="AG117" s="5">
        <f t="shared" si="362"/>
        <v>26000</v>
      </c>
      <c r="AH117" s="5" t="s">
        <v>57</v>
      </c>
      <c r="AI117" s="6"/>
      <c r="AJ117" s="6"/>
      <c r="AK117" s="6">
        <f t="shared" si="363"/>
        <v>27000</v>
      </c>
      <c r="AL117" s="6">
        <f t="shared" si="364"/>
        <v>7000</v>
      </c>
      <c r="AM117" s="5">
        <v>0</v>
      </c>
      <c r="AN117" s="32">
        <f t="shared" si="365"/>
        <v>259.25925925925924</v>
      </c>
      <c r="AO117" s="32">
        <f t="shared" si="366"/>
        <v>0</v>
      </c>
      <c r="AP117" s="4">
        <v>46223</v>
      </c>
      <c r="AQ117" s="4">
        <v>46225</v>
      </c>
      <c r="AR117" s="4">
        <v>46246</v>
      </c>
      <c r="AT117" s="6" t="str">
        <f t="shared" si="356"/>
        <v>ACTIVE</v>
      </c>
      <c r="AU117" s="6"/>
      <c r="AV117" s="6"/>
      <c r="AW117" s="6"/>
      <c r="AX117" s="6"/>
    </row>
    <row r="118" spans="1:50" ht="15.75">
      <c r="A118" s="35" t="str">
        <f t="shared" si="341"/>
        <v>ACTIVE</v>
      </c>
      <c r="B118" s="5" t="s">
        <v>48</v>
      </c>
      <c r="C118" s="5" t="s">
        <v>49</v>
      </c>
      <c r="D118" s="5" t="s">
        <v>50</v>
      </c>
      <c r="E118" s="5" t="s">
        <v>51</v>
      </c>
      <c r="F118" s="5" t="s">
        <v>399</v>
      </c>
      <c r="G118" s="3" t="s">
        <v>430</v>
      </c>
      <c r="H118" s="3" t="s">
        <v>231</v>
      </c>
      <c r="I118" s="3" t="s">
        <v>471</v>
      </c>
      <c r="J118" s="3">
        <v>9992711616</v>
      </c>
      <c r="K118" s="3">
        <v>15000</v>
      </c>
      <c r="L118" s="3">
        <v>1260</v>
      </c>
      <c r="M118" s="3">
        <f t="shared" si="342"/>
        <v>13740</v>
      </c>
      <c r="N118" s="3">
        <v>810</v>
      </c>
      <c r="O118" s="29">
        <f t="shared" si="357"/>
        <v>0</v>
      </c>
      <c r="P118" s="5">
        <v>0</v>
      </c>
      <c r="Q118" s="3">
        <v>25</v>
      </c>
      <c r="R118" s="6">
        <v>1</v>
      </c>
      <c r="S118" s="6">
        <f t="shared" si="344"/>
        <v>24</v>
      </c>
      <c r="T118" s="34"/>
      <c r="U118" s="35"/>
      <c r="V118" s="35"/>
      <c r="W118" s="35">
        <f t="shared" si="345"/>
        <v>810</v>
      </c>
      <c r="X118" s="6">
        <f t="shared" si="346"/>
        <v>19440</v>
      </c>
      <c r="Y118" s="3" t="s">
        <v>69</v>
      </c>
      <c r="Z118" s="6" t="s">
        <v>461</v>
      </c>
      <c r="AA118" s="5">
        <f t="shared" si="358"/>
        <v>0</v>
      </c>
      <c r="AB118" s="5">
        <v>0</v>
      </c>
      <c r="AC118" s="5">
        <f t="shared" si="359"/>
        <v>0</v>
      </c>
      <c r="AD118" s="5">
        <f t="shared" si="360"/>
        <v>0</v>
      </c>
      <c r="AE118" s="5">
        <v>0</v>
      </c>
      <c r="AF118" s="5" t="str">
        <f t="shared" si="361"/>
        <v>NO</v>
      </c>
      <c r="AG118" s="5">
        <f t="shared" si="362"/>
        <v>19440</v>
      </c>
      <c r="AH118" s="5" t="s">
        <v>57</v>
      </c>
      <c r="AI118" s="6"/>
      <c r="AJ118" s="6"/>
      <c r="AK118" s="6">
        <f t="shared" si="363"/>
        <v>20250</v>
      </c>
      <c r="AL118" s="6">
        <f t="shared" si="364"/>
        <v>5250</v>
      </c>
      <c r="AM118" s="5">
        <v>0</v>
      </c>
      <c r="AN118" s="32">
        <f t="shared" si="365"/>
        <v>210</v>
      </c>
      <c r="AO118" s="32">
        <f t="shared" si="366"/>
        <v>0</v>
      </c>
      <c r="AP118" s="4">
        <v>46223</v>
      </c>
      <c r="AQ118" s="4">
        <v>46225</v>
      </c>
      <c r="AR118" s="4">
        <v>46245</v>
      </c>
      <c r="AT118" s="6" t="str">
        <f t="shared" si="356"/>
        <v>ACTIVE</v>
      </c>
      <c r="AU118" s="6"/>
      <c r="AV118" s="6"/>
      <c r="AW118" s="6"/>
      <c r="AX118" s="6"/>
    </row>
    <row r="119" spans="1:50" ht="15.75">
      <c r="A119" s="35" t="str">
        <f t="shared" si="341"/>
        <v>ACTIVE</v>
      </c>
      <c r="B119" s="5" t="s">
        <v>48</v>
      </c>
      <c r="C119" s="5" t="s">
        <v>49</v>
      </c>
      <c r="D119" s="5" t="s">
        <v>50</v>
      </c>
      <c r="E119" s="5" t="s">
        <v>51</v>
      </c>
      <c r="F119" s="5" t="s">
        <v>399</v>
      </c>
      <c r="G119" s="3" t="s">
        <v>308</v>
      </c>
      <c r="H119" s="3" t="s">
        <v>133</v>
      </c>
      <c r="I119" s="3" t="s">
        <v>473</v>
      </c>
      <c r="J119" s="3">
        <v>8178672126</v>
      </c>
      <c r="K119" s="3">
        <v>15000</v>
      </c>
      <c r="L119" s="3">
        <v>1260</v>
      </c>
      <c r="M119" s="3">
        <f t="shared" si="342"/>
        <v>13740</v>
      </c>
      <c r="N119" s="3">
        <v>810</v>
      </c>
      <c r="O119" s="29">
        <f t="shared" si="357"/>
        <v>0</v>
      </c>
      <c r="P119" s="5">
        <v>0</v>
      </c>
      <c r="Q119" s="3">
        <v>25</v>
      </c>
      <c r="R119" s="6">
        <v>1</v>
      </c>
      <c r="S119" s="6">
        <f t="shared" si="344"/>
        <v>24</v>
      </c>
      <c r="T119" s="34"/>
      <c r="U119" s="35"/>
      <c r="V119" s="35"/>
      <c r="W119" s="35">
        <f t="shared" si="345"/>
        <v>810</v>
      </c>
      <c r="X119" s="6">
        <f t="shared" si="346"/>
        <v>19440</v>
      </c>
      <c r="Y119" s="3" t="s">
        <v>69</v>
      </c>
      <c r="Z119" s="6" t="s">
        <v>462</v>
      </c>
      <c r="AA119" s="5">
        <f t="shared" si="358"/>
        <v>0</v>
      </c>
      <c r="AB119" s="5">
        <v>0</v>
      </c>
      <c r="AC119" s="5">
        <f t="shared" si="359"/>
        <v>0</v>
      </c>
      <c r="AD119" s="5">
        <f t="shared" si="360"/>
        <v>0</v>
      </c>
      <c r="AE119" s="5">
        <v>0</v>
      </c>
      <c r="AF119" s="5" t="str">
        <f t="shared" si="361"/>
        <v>NO</v>
      </c>
      <c r="AG119" s="5">
        <f t="shared" si="362"/>
        <v>19440</v>
      </c>
      <c r="AH119" s="5" t="s">
        <v>57</v>
      </c>
      <c r="AI119" s="6"/>
      <c r="AJ119" s="6"/>
      <c r="AK119" s="6">
        <f t="shared" si="363"/>
        <v>20250</v>
      </c>
      <c r="AL119" s="6">
        <f t="shared" si="364"/>
        <v>5250</v>
      </c>
      <c r="AM119" s="5">
        <v>0</v>
      </c>
      <c r="AN119" s="32">
        <f t="shared" si="365"/>
        <v>210</v>
      </c>
      <c r="AO119" s="32">
        <f t="shared" si="366"/>
        <v>0</v>
      </c>
      <c r="AP119" s="4">
        <v>46216</v>
      </c>
      <c r="AQ119" s="4">
        <v>46225</v>
      </c>
      <c r="AR119" s="4">
        <v>46245</v>
      </c>
      <c r="AT119" s="6" t="str">
        <f t="shared" si="356"/>
        <v>ACTIVE</v>
      </c>
      <c r="AU119" s="6"/>
      <c r="AV119" s="6"/>
      <c r="AW119" s="6"/>
      <c r="AX119" s="6"/>
    </row>
    <row r="120" spans="1:50" ht="15.75">
      <c r="A120" s="35" t="str">
        <f t="shared" si="341"/>
        <v>ACTIVE</v>
      </c>
      <c r="B120" s="5" t="s">
        <v>48</v>
      </c>
      <c r="C120" s="5" t="s">
        <v>49</v>
      </c>
      <c r="D120" s="5" t="s">
        <v>50</v>
      </c>
      <c r="E120" s="5" t="s">
        <v>51</v>
      </c>
      <c r="F120" s="5" t="s">
        <v>399</v>
      </c>
      <c r="G120" s="3" t="s">
        <v>453</v>
      </c>
      <c r="H120" s="3" t="s">
        <v>468</v>
      </c>
      <c r="I120" s="3" t="s">
        <v>474</v>
      </c>
      <c r="J120" s="3">
        <v>8570025549</v>
      </c>
      <c r="K120" s="3">
        <v>20000</v>
      </c>
      <c r="L120" s="3">
        <v>1580</v>
      </c>
      <c r="M120" s="3">
        <f t="shared" si="342"/>
        <v>18420</v>
      </c>
      <c r="N120" s="3">
        <v>1000</v>
      </c>
      <c r="O120" s="29">
        <f t="shared" si="357"/>
        <v>0</v>
      </c>
      <c r="P120" s="5">
        <v>0</v>
      </c>
      <c r="Q120" s="3">
        <v>27</v>
      </c>
      <c r="R120" s="6">
        <v>1</v>
      </c>
      <c r="S120" s="6">
        <f t="shared" si="344"/>
        <v>26</v>
      </c>
      <c r="T120" s="34"/>
      <c r="U120" s="35"/>
      <c r="V120" s="35"/>
      <c r="W120" s="35">
        <f t="shared" si="345"/>
        <v>1000</v>
      </c>
      <c r="X120" s="6">
        <f t="shared" si="346"/>
        <v>26000</v>
      </c>
      <c r="Y120" s="3" t="s">
        <v>69</v>
      </c>
      <c r="Z120" s="6" t="s">
        <v>463</v>
      </c>
      <c r="AA120" s="5">
        <f t="shared" si="358"/>
        <v>0</v>
      </c>
      <c r="AB120" s="5">
        <v>0</v>
      </c>
      <c r="AC120" s="5">
        <f t="shared" si="359"/>
        <v>0</v>
      </c>
      <c r="AD120" s="5">
        <f t="shared" si="360"/>
        <v>0</v>
      </c>
      <c r="AE120" s="5">
        <v>0</v>
      </c>
      <c r="AF120" s="5" t="str">
        <f t="shared" si="361"/>
        <v>NO</v>
      </c>
      <c r="AG120" s="5">
        <f t="shared" si="362"/>
        <v>26000</v>
      </c>
      <c r="AH120" s="5" t="s">
        <v>57</v>
      </c>
      <c r="AI120" s="6"/>
      <c r="AJ120" s="6"/>
      <c r="AK120" s="6">
        <f t="shared" si="363"/>
        <v>27000</v>
      </c>
      <c r="AL120" s="6">
        <f t="shared" si="364"/>
        <v>7000</v>
      </c>
      <c r="AM120" s="5">
        <v>0</v>
      </c>
      <c r="AN120" s="32">
        <f t="shared" si="365"/>
        <v>259.25925925925924</v>
      </c>
      <c r="AO120" s="32">
        <f t="shared" si="366"/>
        <v>0</v>
      </c>
      <c r="AP120" s="4">
        <v>46220</v>
      </c>
      <c r="AQ120" s="4">
        <v>46225</v>
      </c>
      <c r="AR120" s="4">
        <v>46245</v>
      </c>
      <c r="AT120" s="6" t="str">
        <f t="shared" si="356"/>
        <v>ACTIVE</v>
      </c>
      <c r="AU120" s="6"/>
      <c r="AV120" s="6"/>
      <c r="AW120" s="6"/>
      <c r="AX120" s="6"/>
    </row>
    <row r="121" spans="1:50" ht="15.75">
      <c r="A121" s="35" t="str">
        <f t="shared" si="341"/>
        <v>ACTIVE</v>
      </c>
      <c r="B121" s="5" t="s">
        <v>48</v>
      </c>
      <c r="C121" s="5" t="s">
        <v>49</v>
      </c>
      <c r="D121" s="5" t="s">
        <v>50</v>
      </c>
      <c r="E121" s="5" t="s">
        <v>51</v>
      </c>
      <c r="F121" s="5" t="s">
        <v>399</v>
      </c>
      <c r="G121" s="3" t="s">
        <v>453</v>
      </c>
      <c r="H121" s="3" t="s">
        <v>71</v>
      </c>
      <c r="I121" s="3" t="s">
        <v>475</v>
      </c>
      <c r="J121" s="3">
        <v>9728970947</v>
      </c>
      <c r="K121" s="3">
        <v>15000</v>
      </c>
      <c r="L121" s="3">
        <v>1260</v>
      </c>
      <c r="M121" s="3">
        <f t="shared" si="342"/>
        <v>13740</v>
      </c>
      <c r="N121" s="3">
        <v>810</v>
      </c>
      <c r="O121" s="29">
        <f t="shared" si="357"/>
        <v>0</v>
      </c>
      <c r="P121" s="5">
        <v>0</v>
      </c>
      <c r="Q121" s="3">
        <v>25</v>
      </c>
      <c r="R121" s="6">
        <v>1</v>
      </c>
      <c r="S121" s="6">
        <f t="shared" si="344"/>
        <v>24</v>
      </c>
      <c r="T121" s="34"/>
      <c r="U121" s="35"/>
      <c r="V121" s="35"/>
      <c r="W121" s="35">
        <f t="shared" si="345"/>
        <v>810</v>
      </c>
      <c r="X121" s="6">
        <f t="shared" si="346"/>
        <v>19440</v>
      </c>
      <c r="Y121" s="3" t="s">
        <v>69</v>
      </c>
      <c r="Z121" s="6" t="s">
        <v>464</v>
      </c>
      <c r="AA121" s="5">
        <f t="shared" si="358"/>
        <v>0</v>
      </c>
      <c r="AB121" s="5">
        <v>0</v>
      </c>
      <c r="AC121" s="5">
        <f t="shared" si="359"/>
        <v>0</v>
      </c>
      <c r="AD121" s="5">
        <f t="shared" si="360"/>
        <v>0</v>
      </c>
      <c r="AE121" s="5">
        <v>0</v>
      </c>
      <c r="AF121" s="5" t="str">
        <f t="shared" si="361"/>
        <v>NO</v>
      </c>
      <c r="AG121" s="5">
        <f t="shared" si="362"/>
        <v>19440</v>
      </c>
      <c r="AH121" s="5" t="s">
        <v>57</v>
      </c>
      <c r="AI121" s="6"/>
      <c r="AJ121" s="6"/>
      <c r="AK121" s="6">
        <f t="shared" si="363"/>
        <v>20250</v>
      </c>
      <c r="AL121" s="6">
        <f t="shared" si="364"/>
        <v>5250</v>
      </c>
      <c r="AM121" s="5">
        <v>0</v>
      </c>
      <c r="AN121" s="32">
        <f t="shared" si="365"/>
        <v>210</v>
      </c>
      <c r="AO121" s="32">
        <f t="shared" si="366"/>
        <v>0</v>
      </c>
      <c r="AP121" s="4">
        <v>46220</v>
      </c>
      <c r="AQ121" s="4">
        <v>46225</v>
      </c>
      <c r="AR121" s="4">
        <v>46245</v>
      </c>
      <c r="AT121" s="6" t="str">
        <f t="shared" si="356"/>
        <v>ACTIVE</v>
      </c>
      <c r="AU121" s="6"/>
      <c r="AV121" s="6"/>
      <c r="AW121" s="6"/>
      <c r="AX121" s="6"/>
    </row>
    <row r="122" spans="1:50" ht="15.75">
      <c r="A122" s="35" t="str">
        <f t="shared" si="341"/>
        <v>ACTIVE</v>
      </c>
      <c r="B122" s="5" t="s">
        <v>48</v>
      </c>
      <c r="C122" s="5" t="s">
        <v>49</v>
      </c>
      <c r="D122" s="5" t="s">
        <v>50</v>
      </c>
      <c r="E122" s="5" t="s">
        <v>51</v>
      </c>
      <c r="F122" s="5" t="s">
        <v>399</v>
      </c>
      <c r="G122" s="3" t="s">
        <v>225</v>
      </c>
      <c r="H122" s="3" t="s">
        <v>217</v>
      </c>
      <c r="I122" s="3" t="s">
        <v>253</v>
      </c>
      <c r="J122" s="3">
        <v>9306199188</v>
      </c>
      <c r="K122" s="3">
        <v>20000</v>
      </c>
      <c r="L122" s="3">
        <v>1580</v>
      </c>
      <c r="M122" s="3">
        <f t="shared" si="342"/>
        <v>18420</v>
      </c>
      <c r="N122" s="3">
        <v>1000</v>
      </c>
      <c r="O122" s="29">
        <f t="shared" si="357"/>
        <v>0</v>
      </c>
      <c r="P122" s="5">
        <v>0</v>
      </c>
      <c r="Q122" s="3">
        <v>27</v>
      </c>
      <c r="R122" s="6">
        <v>1</v>
      </c>
      <c r="S122" s="6">
        <f t="shared" si="344"/>
        <v>26</v>
      </c>
      <c r="T122" s="34"/>
      <c r="U122" s="35"/>
      <c r="V122" s="35"/>
      <c r="W122" s="35">
        <f t="shared" si="345"/>
        <v>1000</v>
      </c>
      <c r="X122" s="6">
        <f t="shared" si="346"/>
        <v>26000</v>
      </c>
      <c r="Y122" s="3" t="s">
        <v>69</v>
      </c>
      <c r="Z122" s="6" t="s">
        <v>465</v>
      </c>
      <c r="AA122" s="5">
        <f t="shared" si="358"/>
        <v>0</v>
      </c>
      <c r="AB122" s="5">
        <v>0</v>
      </c>
      <c r="AC122" s="5">
        <f t="shared" si="359"/>
        <v>0</v>
      </c>
      <c r="AD122" s="5">
        <f t="shared" si="360"/>
        <v>0</v>
      </c>
      <c r="AE122" s="5">
        <v>0</v>
      </c>
      <c r="AF122" s="5" t="str">
        <f t="shared" si="361"/>
        <v>NO</v>
      </c>
      <c r="AG122" s="5">
        <f t="shared" si="362"/>
        <v>26000</v>
      </c>
      <c r="AH122" s="5" t="s">
        <v>57</v>
      </c>
      <c r="AI122" s="6"/>
      <c r="AJ122" s="6"/>
      <c r="AK122" s="6">
        <f t="shared" si="363"/>
        <v>27000</v>
      </c>
      <c r="AL122" s="6">
        <f t="shared" si="364"/>
        <v>7000</v>
      </c>
      <c r="AM122" s="5">
        <v>0</v>
      </c>
      <c r="AN122" s="32">
        <f t="shared" si="365"/>
        <v>259.25925925925924</v>
      </c>
      <c r="AO122" s="32">
        <f t="shared" si="366"/>
        <v>0</v>
      </c>
      <c r="AP122" s="4">
        <v>46220</v>
      </c>
      <c r="AQ122" s="4">
        <v>46225</v>
      </c>
      <c r="AR122" s="4">
        <v>46245</v>
      </c>
      <c r="AT122" s="6" t="str">
        <f t="shared" si="356"/>
        <v>ACTIVE</v>
      </c>
      <c r="AU122" s="6"/>
      <c r="AV122" s="6"/>
      <c r="AW122" s="6"/>
      <c r="AX122" s="6"/>
    </row>
    <row r="123" spans="1:50" ht="15.75">
      <c r="A123" s="35" t="str">
        <f t="shared" si="341"/>
        <v>ACTIVE</v>
      </c>
      <c r="B123" s="5" t="s">
        <v>48</v>
      </c>
      <c r="C123" s="5" t="s">
        <v>49</v>
      </c>
      <c r="D123" s="5" t="s">
        <v>50</v>
      </c>
      <c r="E123" s="5" t="s">
        <v>51</v>
      </c>
      <c r="F123" s="5" t="s">
        <v>399</v>
      </c>
      <c r="G123" s="3" t="s">
        <v>453</v>
      </c>
      <c r="H123" s="3" t="s">
        <v>469</v>
      </c>
      <c r="I123" s="3" t="s">
        <v>476</v>
      </c>
      <c r="J123" s="3">
        <v>8059713208</v>
      </c>
      <c r="K123" s="3">
        <v>20000</v>
      </c>
      <c r="L123" s="3">
        <v>1580</v>
      </c>
      <c r="M123" s="3">
        <f t="shared" si="342"/>
        <v>18420</v>
      </c>
      <c r="N123" s="3">
        <v>1000</v>
      </c>
      <c r="O123" s="29">
        <f t="shared" si="357"/>
        <v>0</v>
      </c>
      <c r="P123" s="5">
        <v>0</v>
      </c>
      <c r="Q123" s="3">
        <v>27</v>
      </c>
      <c r="R123" s="6">
        <v>1</v>
      </c>
      <c r="S123" s="6">
        <f t="shared" si="344"/>
        <v>26</v>
      </c>
      <c r="T123" s="34"/>
      <c r="U123" s="35"/>
      <c r="V123" s="35"/>
      <c r="W123" s="35">
        <f t="shared" si="345"/>
        <v>1000</v>
      </c>
      <c r="X123" s="6">
        <f t="shared" si="346"/>
        <v>26000</v>
      </c>
      <c r="Y123" s="3" t="s">
        <v>69</v>
      </c>
      <c r="Z123" s="6" t="s">
        <v>466</v>
      </c>
      <c r="AA123" s="5">
        <f t="shared" si="358"/>
        <v>0</v>
      </c>
      <c r="AB123" s="5">
        <v>0</v>
      </c>
      <c r="AC123" s="5">
        <f t="shared" si="359"/>
        <v>0</v>
      </c>
      <c r="AD123" s="5">
        <f t="shared" si="360"/>
        <v>0</v>
      </c>
      <c r="AE123" s="5">
        <v>0</v>
      </c>
      <c r="AF123" s="5" t="str">
        <f t="shared" si="361"/>
        <v>NO</v>
      </c>
      <c r="AG123" s="5">
        <f t="shared" si="362"/>
        <v>26000</v>
      </c>
      <c r="AH123" s="5" t="s">
        <v>57</v>
      </c>
      <c r="AI123" s="6"/>
      <c r="AJ123" s="6"/>
      <c r="AK123" s="6">
        <f t="shared" si="363"/>
        <v>27000</v>
      </c>
      <c r="AL123" s="6">
        <f t="shared" si="364"/>
        <v>7000</v>
      </c>
      <c r="AM123" s="5">
        <v>0</v>
      </c>
      <c r="AN123" s="32">
        <f t="shared" ref="AN123:AN125" si="367">AL123/Q123</f>
        <v>259.25925925925924</v>
      </c>
      <c r="AO123" s="32">
        <f t="shared" ref="AO123:AO125" si="368">AN123*AM123</f>
        <v>0</v>
      </c>
      <c r="AP123" s="4">
        <v>46223</v>
      </c>
      <c r="AQ123" s="4">
        <v>46225</v>
      </c>
      <c r="AR123" s="4">
        <v>46245</v>
      </c>
      <c r="AT123" s="6" t="str">
        <f t="shared" si="356"/>
        <v>ACTIVE</v>
      </c>
      <c r="AU123" s="6"/>
      <c r="AV123" s="6"/>
      <c r="AW123" s="6"/>
      <c r="AX123" s="6"/>
    </row>
    <row r="124" spans="1:50" ht="15.75">
      <c r="A124" s="35" t="str">
        <f t="shared" ref="A124" si="369">IF(X124=0,"CLOSE","ACTIVE")</f>
        <v>ACTIVE</v>
      </c>
      <c r="B124" s="5" t="s">
        <v>48</v>
      </c>
      <c r="C124" s="5" t="s">
        <v>49</v>
      </c>
      <c r="D124" s="5" t="s">
        <v>50</v>
      </c>
      <c r="E124" s="5" t="s">
        <v>51</v>
      </c>
      <c r="F124" s="5" t="s">
        <v>399</v>
      </c>
      <c r="G124" s="3" t="s">
        <v>226</v>
      </c>
      <c r="H124" s="3" t="s">
        <v>479</v>
      </c>
      <c r="I124" s="3" t="s">
        <v>481</v>
      </c>
      <c r="J124" s="3">
        <v>7056835124</v>
      </c>
      <c r="K124" s="3">
        <v>20000</v>
      </c>
      <c r="L124" s="3">
        <v>1580</v>
      </c>
      <c r="M124" s="3">
        <f t="shared" si="342"/>
        <v>18420</v>
      </c>
      <c r="N124" s="3">
        <v>1000</v>
      </c>
      <c r="O124" s="29">
        <f t="shared" ref="O124:O125" si="370">N124*P124</f>
        <v>0</v>
      </c>
      <c r="P124" s="5">
        <v>0</v>
      </c>
      <c r="Q124" s="6">
        <v>27</v>
      </c>
      <c r="R124" s="6">
        <v>1</v>
      </c>
      <c r="S124" s="6">
        <f t="shared" si="344"/>
        <v>26</v>
      </c>
      <c r="T124" s="34"/>
      <c r="U124" s="35"/>
      <c r="V124" s="35"/>
      <c r="W124" s="35">
        <f t="shared" si="345"/>
        <v>1000</v>
      </c>
      <c r="X124" s="6">
        <f t="shared" si="346"/>
        <v>26000</v>
      </c>
      <c r="Y124" s="35" t="s">
        <v>69</v>
      </c>
      <c r="Z124" s="6" t="s">
        <v>477</v>
      </c>
      <c r="AA124" s="5">
        <f t="shared" ref="AA124:AA125" si="371">P124*14</f>
        <v>0</v>
      </c>
      <c r="AB124" s="5">
        <v>0</v>
      </c>
      <c r="AC124" s="5">
        <f t="shared" ref="AC124:AC125" si="372">AA124*AB124</f>
        <v>0</v>
      </c>
      <c r="AD124" s="5">
        <f t="shared" ref="AD124:AD125" si="373">AA124</f>
        <v>0</v>
      </c>
      <c r="AE124" s="5">
        <v>0</v>
      </c>
      <c r="AF124" s="5" t="str">
        <f t="shared" ref="AF124:AF125" si="374">IF(AA124&gt;90,"YES","NO")</f>
        <v>NO</v>
      </c>
      <c r="AG124" s="5">
        <f t="shared" ref="AG124:AG125" si="375">X124+AC124</f>
        <v>26000</v>
      </c>
      <c r="AH124" s="5" t="s">
        <v>57</v>
      </c>
      <c r="AI124" s="6"/>
      <c r="AJ124" s="6"/>
      <c r="AK124" s="6">
        <f t="shared" ref="AK124:AK125" si="376">N124*Q124</f>
        <v>27000</v>
      </c>
      <c r="AL124" s="6">
        <f t="shared" si="364"/>
        <v>7000</v>
      </c>
      <c r="AM124" s="5">
        <v>0</v>
      </c>
      <c r="AN124" s="32">
        <f t="shared" si="367"/>
        <v>259.25925925925924</v>
      </c>
      <c r="AO124" s="32">
        <f t="shared" si="368"/>
        <v>0</v>
      </c>
      <c r="AP124" s="4">
        <v>46225</v>
      </c>
      <c r="AQ124" s="4">
        <v>46227</v>
      </c>
      <c r="AR124" s="4">
        <v>46245</v>
      </c>
      <c r="AS124" s="3">
        <v>4098</v>
      </c>
      <c r="AT124" s="6" t="str">
        <f t="shared" si="356"/>
        <v>ACTIVE</v>
      </c>
      <c r="AU124" s="6"/>
      <c r="AV124" s="6"/>
      <c r="AW124" s="6"/>
      <c r="AX124" s="6"/>
    </row>
    <row r="125" spans="1:50" ht="15.75" hidden="1">
      <c r="A125" s="35" t="str">
        <f t="shared" ref="A125:A127" si="377">IF(X125=0,"CLOSE","ACTIVE")</f>
        <v>ACTIVE</v>
      </c>
      <c r="B125" s="5" t="s">
        <v>48</v>
      </c>
      <c r="C125" s="5" t="s">
        <v>49</v>
      </c>
      <c r="D125" s="5" t="s">
        <v>50</v>
      </c>
      <c r="E125" s="5" t="s">
        <v>51</v>
      </c>
      <c r="F125" s="5" t="s">
        <v>399</v>
      </c>
      <c r="G125" s="3" t="s">
        <v>430</v>
      </c>
      <c r="H125" s="3" t="s">
        <v>480</v>
      </c>
      <c r="I125" s="3" t="s">
        <v>316</v>
      </c>
      <c r="J125" s="3">
        <v>9996807585</v>
      </c>
      <c r="K125" s="3">
        <v>15000</v>
      </c>
      <c r="L125" s="3">
        <v>1260</v>
      </c>
      <c r="M125" s="3">
        <f t="shared" si="342"/>
        <v>13740</v>
      </c>
      <c r="N125" s="3">
        <v>810</v>
      </c>
      <c r="O125" s="29">
        <f t="shared" si="370"/>
        <v>0</v>
      </c>
      <c r="P125" s="5">
        <v>0</v>
      </c>
      <c r="Q125" s="6">
        <v>25</v>
      </c>
      <c r="R125" s="6">
        <v>1</v>
      </c>
      <c r="S125" s="6">
        <f t="shared" si="344"/>
        <v>24</v>
      </c>
      <c r="T125" s="34"/>
      <c r="U125" s="35"/>
      <c r="V125" s="35"/>
      <c r="W125" s="35">
        <f t="shared" si="345"/>
        <v>810</v>
      </c>
      <c r="X125" s="6">
        <f t="shared" si="346"/>
        <v>19440</v>
      </c>
      <c r="Y125" s="35" t="s">
        <v>55</v>
      </c>
      <c r="Z125" s="6" t="s">
        <v>478</v>
      </c>
      <c r="AA125" s="5">
        <f t="shared" si="371"/>
        <v>0</v>
      </c>
      <c r="AB125" s="5">
        <v>0</v>
      </c>
      <c r="AC125" s="5">
        <f t="shared" si="372"/>
        <v>0</v>
      </c>
      <c r="AD125" s="5">
        <f t="shared" si="373"/>
        <v>0</v>
      </c>
      <c r="AE125" s="5">
        <v>0</v>
      </c>
      <c r="AF125" s="5" t="str">
        <f t="shared" si="374"/>
        <v>NO</v>
      </c>
      <c r="AG125" s="5">
        <f t="shared" si="375"/>
        <v>19440</v>
      </c>
      <c r="AH125" s="5" t="s">
        <v>57</v>
      </c>
      <c r="AI125" s="6"/>
      <c r="AJ125" s="6"/>
      <c r="AK125" s="6">
        <f t="shared" si="376"/>
        <v>20250</v>
      </c>
      <c r="AL125" s="6">
        <f t="shared" si="364"/>
        <v>5250</v>
      </c>
      <c r="AM125" s="5">
        <v>0</v>
      </c>
      <c r="AN125" s="32">
        <f t="shared" si="367"/>
        <v>210</v>
      </c>
      <c r="AO125" s="32">
        <f t="shared" si="368"/>
        <v>0</v>
      </c>
      <c r="AP125" s="4">
        <v>46225</v>
      </c>
      <c r="AQ125" s="4">
        <v>46227</v>
      </c>
      <c r="AR125" s="4">
        <v>46246</v>
      </c>
      <c r="AS125" s="3">
        <v>3230</v>
      </c>
      <c r="AT125" s="6" t="str">
        <f t="shared" si="356"/>
        <v>ACTIVE</v>
      </c>
      <c r="AU125" s="6"/>
      <c r="AV125" s="6"/>
      <c r="AW125" s="6"/>
      <c r="AX125" s="6"/>
    </row>
    <row r="126" spans="1:50" ht="15.75">
      <c r="A126" s="35" t="str">
        <f t="shared" si="377"/>
        <v>ACTIVE</v>
      </c>
      <c r="B126" s="5" t="s">
        <v>48</v>
      </c>
      <c r="C126" s="5" t="s">
        <v>49</v>
      </c>
      <c r="D126" s="5" t="s">
        <v>50</v>
      </c>
      <c r="E126" s="5" t="s">
        <v>51</v>
      </c>
      <c r="F126" s="5" t="s">
        <v>399</v>
      </c>
      <c r="G126" s="3" t="s">
        <v>225</v>
      </c>
      <c r="H126" s="3" t="s">
        <v>485</v>
      </c>
      <c r="I126" s="3" t="s">
        <v>487</v>
      </c>
      <c r="J126" s="3">
        <v>9253328570</v>
      </c>
      <c r="K126" s="3">
        <v>20000</v>
      </c>
      <c r="L126" s="3">
        <v>1580</v>
      </c>
      <c r="M126" s="3">
        <f t="shared" si="342"/>
        <v>18420</v>
      </c>
      <c r="N126" s="3">
        <v>1000</v>
      </c>
      <c r="O126" s="29">
        <f t="shared" ref="O126:O127" si="378">N126*P126</f>
        <v>0</v>
      </c>
      <c r="P126" s="5">
        <v>0</v>
      </c>
      <c r="Q126" s="6">
        <v>26</v>
      </c>
      <c r="R126" s="6">
        <v>1</v>
      </c>
      <c r="S126" s="6">
        <f t="shared" si="344"/>
        <v>25</v>
      </c>
      <c r="T126" s="34"/>
      <c r="U126" s="35"/>
      <c r="V126" s="35"/>
      <c r="W126" s="35">
        <f t="shared" si="345"/>
        <v>1000</v>
      </c>
      <c r="X126" s="6">
        <f t="shared" si="346"/>
        <v>25000</v>
      </c>
      <c r="Y126" s="35" t="s">
        <v>69</v>
      </c>
      <c r="Z126" s="6" t="s">
        <v>482</v>
      </c>
      <c r="AA126" s="5">
        <f t="shared" ref="AA126:AA127" si="379">P126*14</f>
        <v>0</v>
      </c>
      <c r="AB126" s="5">
        <v>0</v>
      </c>
      <c r="AC126" s="5">
        <f t="shared" ref="AC126:AC127" si="380">AA126*AB126</f>
        <v>0</v>
      </c>
      <c r="AD126" s="5">
        <f t="shared" ref="AD126:AD127" si="381">AA126</f>
        <v>0</v>
      </c>
      <c r="AE126" s="5">
        <v>0</v>
      </c>
      <c r="AF126" s="5" t="str">
        <f t="shared" ref="AF126:AF127" si="382">IF(AA126&gt;90,"YES","NO")</f>
        <v>NO</v>
      </c>
      <c r="AG126" s="5">
        <f t="shared" ref="AG126:AG127" si="383">X126+AC126</f>
        <v>25000</v>
      </c>
      <c r="AH126" s="5" t="s">
        <v>57</v>
      </c>
      <c r="AI126" s="6"/>
      <c r="AJ126" s="6"/>
      <c r="AK126" s="6">
        <f t="shared" ref="AK126:AK127" si="384">N126*Q126</f>
        <v>26000</v>
      </c>
      <c r="AL126" s="6">
        <f t="shared" ref="AL126:AL127" si="385">AK126-K126</f>
        <v>6000</v>
      </c>
      <c r="AM126" s="5">
        <v>0</v>
      </c>
      <c r="AN126" s="32">
        <f t="shared" ref="AN126:AN127" si="386">AL126/Q126</f>
        <v>230.76923076923077</v>
      </c>
      <c r="AO126" s="32">
        <f t="shared" ref="AO126:AO127" si="387">AN126*AM126</f>
        <v>0</v>
      </c>
      <c r="AP126" s="4">
        <v>46231</v>
      </c>
      <c r="AQ126" s="4">
        <v>46231</v>
      </c>
      <c r="AR126" s="4">
        <v>46245</v>
      </c>
      <c r="AS126" s="3">
        <v>4998</v>
      </c>
      <c r="AT126" s="6" t="str">
        <f t="shared" si="356"/>
        <v>ACTIVE</v>
      </c>
      <c r="AU126" s="6"/>
      <c r="AV126" s="6"/>
      <c r="AW126" s="6"/>
      <c r="AX126" s="6"/>
    </row>
    <row r="127" spans="1:50" ht="15.75">
      <c r="A127" s="35" t="str">
        <f t="shared" si="377"/>
        <v>ACTIVE</v>
      </c>
      <c r="B127" s="5" t="s">
        <v>48</v>
      </c>
      <c r="C127" s="5" t="s">
        <v>49</v>
      </c>
      <c r="D127" s="5" t="s">
        <v>50</v>
      </c>
      <c r="E127" s="5" t="s">
        <v>51</v>
      </c>
      <c r="F127" s="5" t="s">
        <v>399</v>
      </c>
      <c r="G127" s="3" t="s">
        <v>484</v>
      </c>
      <c r="H127" s="3" t="s">
        <v>486</v>
      </c>
      <c r="I127" s="3" t="s">
        <v>240</v>
      </c>
      <c r="J127" s="3">
        <v>8955919046</v>
      </c>
      <c r="K127" s="3">
        <v>20000</v>
      </c>
      <c r="L127" s="3">
        <v>1580</v>
      </c>
      <c r="M127" s="3">
        <f t="shared" si="342"/>
        <v>18420</v>
      </c>
      <c r="N127" s="3">
        <v>1000</v>
      </c>
      <c r="O127" s="29">
        <f t="shared" si="378"/>
        <v>0</v>
      </c>
      <c r="P127" s="5">
        <v>0</v>
      </c>
      <c r="Q127" s="6">
        <v>26</v>
      </c>
      <c r="R127" s="6">
        <v>1</v>
      </c>
      <c r="S127" s="6">
        <f t="shared" si="344"/>
        <v>25</v>
      </c>
      <c r="T127" s="34"/>
      <c r="U127" s="35"/>
      <c r="V127" s="35"/>
      <c r="W127" s="35">
        <f t="shared" si="345"/>
        <v>1000</v>
      </c>
      <c r="X127" s="6">
        <f t="shared" si="346"/>
        <v>25000</v>
      </c>
      <c r="Y127" s="35" t="s">
        <v>69</v>
      </c>
      <c r="Z127" s="6" t="s">
        <v>483</v>
      </c>
      <c r="AA127" s="5">
        <f t="shared" si="379"/>
        <v>0</v>
      </c>
      <c r="AB127" s="5">
        <v>0</v>
      </c>
      <c r="AC127" s="5">
        <f t="shared" si="380"/>
        <v>0</v>
      </c>
      <c r="AD127" s="5">
        <f t="shared" si="381"/>
        <v>0</v>
      </c>
      <c r="AE127" s="5">
        <v>0</v>
      </c>
      <c r="AF127" s="5" t="str">
        <f t="shared" si="382"/>
        <v>NO</v>
      </c>
      <c r="AG127" s="5">
        <f t="shared" si="383"/>
        <v>25000</v>
      </c>
      <c r="AH127" s="5" t="s">
        <v>57</v>
      </c>
      <c r="AI127" s="6"/>
      <c r="AJ127" s="6"/>
      <c r="AK127" s="6">
        <f t="shared" si="384"/>
        <v>26000</v>
      </c>
      <c r="AL127" s="6">
        <f t="shared" si="385"/>
        <v>6000</v>
      </c>
      <c r="AM127" s="5">
        <v>0</v>
      </c>
      <c r="AN127" s="32">
        <f t="shared" si="386"/>
        <v>230.76923076923077</v>
      </c>
      <c r="AO127" s="32">
        <f t="shared" si="387"/>
        <v>0</v>
      </c>
      <c r="AP127" s="4">
        <v>46231</v>
      </c>
      <c r="AQ127" s="4">
        <v>46231</v>
      </c>
      <c r="AR127" s="4">
        <v>46245</v>
      </c>
      <c r="AS127" s="3">
        <v>6934</v>
      </c>
      <c r="AT127" s="6" t="str">
        <f t="shared" si="356"/>
        <v>ACTIVE</v>
      </c>
      <c r="AU127" s="6"/>
      <c r="AV127" s="6"/>
      <c r="AW127" s="6"/>
      <c r="AX127" s="6"/>
    </row>
    <row r="128" spans="1:50" ht="15.75" hidden="1">
      <c r="A128" s="35" t="str">
        <f t="shared" ref="A128:A129" si="388">IF(X128=0,"CLOSE","ACTIVE")</f>
        <v>ACTIVE</v>
      </c>
      <c r="B128" s="5" t="s">
        <v>48</v>
      </c>
      <c r="C128" s="5" t="s">
        <v>49</v>
      </c>
      <c r="D128" s="5" t="s">
        <v>50</v>
      </c>
      <c r="E128" s="5" t="s">
        <v>51</v>
      </c>
      <c r="F128" s="5" t="s">
        <v>399</v>
      </c>
      <c r="G128" s="3" t="s">
        <v>206</v>
      </c>
      <c r="H128" s="3" t="s">
        <v>121</v>
      </c>
      <c r="I128" s="3" t="s">
        <v>182</v>
      </c>
      <c r="J128" s="3">
        <v>9812689027</v>
      </c>
      <c r="K128" s="3">
        <v>20000</v>
      </c>
      <c r="L128" s="3">
        <v>1580</v>
      </c>
      <c r="M128" s="3">
        <f t="shared" si="342"/>
        <v>18420</v>
      </c>
      <c r="N128" s="3">
        <v>1000</v>
      </c>
      <c r="O128" s="29">
        <f t="shared" ref="O128:O130" si="389">N128*P128</f>
        <v>0</v>
      </c>
      <c r="P128" s="5">
        <v>0</v>
      </c>
      <c r="Q128" s="6">
        <v>26</v>
      </c>
      <c r="R128" s="6">
        <v>1</v>
      </c>
      <c r="S128" s="6">
        <f t="shared" si="344"/>
        <v>25</v>
      </c>
      <c r="T128" s="34"/>
      <c r="U128" s="35"/>
      <c r="V128" s="35"/>
      <c r="W128" s="35">
        <f t="shared" si="345"/>
        <v>1000</v>
      </c>
      <c r="X128" s="6">
        <f t="shared" si="346"/>
        <v>25000</v>
      </c>
      <c r="Y128" s="35" t="s">
        <v>55</v>
      </c>
      <c r="Z128" s="6" t="s">
        <v>489</v>
      </c>
      <c r="AA128" s="5">
        <f t="shared" ref="AA128:AA130" si="390">P128*14</f>
        <v>0</v>
      </c>
      <c r="AB128" s="5">
        <v>0</v>
      </c>
      <c r="AC128" s="5">
        <f t="shared" ref="AC128:AC130" si="391">AA128*AB128</f>
        <v>0</v>
      </c>
      <c r="AD128" s="5">
        <f t="shared" ref="AD128:AD130" si="392">AA128</f>
        <v>0</v>
      </c>
      <c r="AE128" s="5">
        <v>0</v>
      </c>
      <c r="AF128" s="5" t="str">
        <f t="shared" ref="AF128:AF130" si="393">IF(AA128&gt;90,"YES","NO")</f>
        <v>NO</v>
      </c>
      <c r="AG128" s="5">
        <f t="shared" ref="AG128:AG130" si="394">X128+AC128</f>
        <v>25000</v>
      </c>
      <c r="AH128" s="5" t="s">
        <v>57</v>
      </c>
      <c r="AI128" s="6"/>
      <c r="AJ128" s="6"/>
      <c r="AK128" s="6">
        <f t="shared" ref="AK128:AK130" si="395">N128*Q128</f>
        <v>26000</v>
      </c>
      <c r="AL128" s="6">
        <f t="shared" ref="AL128:AL130" si="396">AK128-K128</f>
        <v>6000</v>
      </c>
      <c r="AM128" s="5">
        <v>0</v>
      </c>
      <c r="AN128" s="32">
        <f t="shared" ref="AN128:AN130" si="397">AL128/Q128</f>
        <v>230.76923076923077</v>
      </c>
      <c r="AO128" s="32">
        <f t="shared" ref="AO128:AO130" si="398">AN128*AM128</f>
        <v>0</v>
      </c>
      <c r="AP128" s="4">
        <v>46223</v>
      </c>
      <c r="AQ128" s="4">
        <v>46233</v>
      </c>
      <c r="AR128" s="4">
        <v>46246</v>
      </c>
      <c r="AS128" s="3">
        <v>2737</v>
      </c>
      <c r="AT128" s="6" t="str">
        <f t="shared" si="356"/>
        <v>ACTIVE</v>
      </c>
      <c r="AU128" s="6"/>
      <c r="AV128" s="6"/>
      <c r="AW128" s="6"/>
      <c r="AX128" s="6"/>
    </row>
    <row r="129" spans="1:50" ht="15.75">
      <c r="A129" s="35" t="str">
        <f t="shared" si="388"/>
        <v>ACTIVE</v>
      </c>
      <c r="B129" s="5" t="s">
        <v>48</v>
      </c>
      <c r="C129" s="5" t="s">
        <v>49</v>
      </c>
      <c r="D129" s="5" t="s">
        <v>50</v>
      </c>
      <c r="E129" s="5" t="s">
        <v>51</v>
      </c>
      <c r="F129" s="5" t="s">
        <v>399</v>
      </c>
      <c r="G129" s="3" t="s">
        <v>492</v>
      </c>
      <c r="H129" s="3" t="s">
        <v>323</v>
      </c>
      <c r="I129" s="3" t="s">
        <v>494</v>
      </c>
      <c r="J129" s="3">
        <v>8607616916</v>
      </c>
      <c r="K129" s="3">
        <v>15000</v>
      </c>
      <c r="L129" s="3">
        <v>1260</v>
      </c>
      <c r="M129" s="3">
        <f t="shared" si="342"/>
        <v>13740</v>
      </c>
      <c r="N129" s="3">
        <v>810</v>
      </c>
      <c r="O129" s="29">
        <f t="shared" si="389"/>
        <v>0</v>
      </c>
      <c r="P129" s="5">
        <v>0</v>
      </c>
      <c r="Q129" s="6">
        <v>25</v>
      </c>
      <c r="R129" s="6">
        <v>1</v>
      </c>
      <c r="S129" s="6">
        <f t="shared" si="344"/>
        <v>24</v>
      </c>
      <c r="T129" s="34"/>
      <c r="U129" s="35"/>
      <c r="V129" s="35"/>
      <c r="W129" s="35">
        <f t="shared" si="345"/>
        <v>810</v>
      </c>
      <c r="X129" s="6">
        <f t="shared" si="346"/>
        <v>19440</v>
      </c>
      <c r="Y129" s="35" t="s">
        <v>69</v>
      </c>
      <c r="Z129" s="6" t="s">
        <v>490</v>
      </c>
      <c r="AA129" s="5">
        <f t="shared" si="390"/>
        <v>0</v>
      </c>
      <c r="AB129" s="5">
        <v>0</v>
      </c>
      <c r="AC129" s="5">
        <f t="shared" si="391"/>
        <v>0</v>
      </c>
      <c r="AD129" s="5">
        <f t="shared" si="392"/>
        <v>0</v>
      </c>
      <c r="AE129" s="5">
        <v>0</v>
      </c>
      <c r="AF129" s="5" t="str">
        <f t="shared" si="393"/>
        <v>NO</v>
      </c>
      <c r="AG129" s="5">
        <f t="shared" si="394"/>
        <v>19440</v>
      </c>
      <c r="AH129" s="5" t="s">
        <v>57</v>
      </c>
      <c r="AI129" s="6"/>
      <c r="AJ129" s="6"/>
      <c r="AK129" s="6">
        <f t="shared" si="395"/>
        <v>20250</v>
      </c>
      <c r="AL129" s="6">
        <f t="shared" si="396"/>
        <v>5250</v>
      </c>
      <c r="AM129" s="5">
        <v>0</v>
      </c>
      <c r="AN129" s="32">
        <f t="shared" si="397"/>
        <v>210</v>
      </c>
      <c r="AO129" s="32">
        <f t="shared" si="398"/>
        <v>0</v>
      </c>
      <c r="AP129" s="4">
        <v>46231</v>
      </c>
      <c r="AQ129" s="4">
        <v>46233</v>
      </c>
      <c r="AR129" s="4">
        <v>46245</v>
      </c>
      <c r="AS129" s="3">
        <v>996</v>
      </c>
      <c r="AT129" s="6" t="str">
        <f t="shared" si="356"/>
        <v>ACTIVE</v>
      </c>
      <c r="AU129" s="6"/>
      <c r="AV129" s="6"/>
      <c r="AW129" s="6"/>
      <c r="AX129" s="6"/>
    </row>
    <row r="130" spans="1:50" ht="15.75" hidden="1">
      <c r="A130" s="35" t="str">
        <f t="shared" ref="A130:A132" si="399">IF(X130=0,"CLOSE","ACTIVE")</f>
        <v>ACTIVE</v>
      </c>
      <c r="B130" s="5" t="s">
        <v>48</v>
      </c>
      <c r="C130" s="5" t="s">
        <v>49</v>
      </c>
      <c r="D130" s="5" t="s">
        <v>50</v>
      </c>
      <c r="E130" s="5" t="s">
        <v>51</v>
      </c>
      <c r="F130" s="5" t="s">
        <v>399</v>
      </c>
      <c r="G130" s="3" t="s">
        <v>197</v>
      </c>
      <c r="H130" s="3" t="s">
        <v>493</v>
      </c>
      <c r="I130" s="3" t="s">
        <v>495</v>
      </c>
      <c r="J130" s="3">
        <v>9991020938</v>
      </c>
      <c r="K130" s="3">
        <v>20000</v>
      </c>
      <c r="L130" s="3">
        <v>1580</v>
      </c>
      <c r="M130" s="3">
        <f t="shared" si="342"/>
        <v>18420</v>
      </c>
      <c r="N130" s="3">
        <v>1000</v>
      </c>
      <c r="O130" s="29">
        <f t="shared" si="389"/>
        <v>0</v>
      </c>
      <c r="P130" s="5">
        <v>0</v>
      </c>
      <c r="Q130" s="6">
        <v>26</v>
      </c>
      <c r="R130" s="6">
        <v>1</v>
      </c>
      <c r="S130" s="6">
        <f t="shared" si="344"/>
        <v>25</v>
      </c>
      <c r="T130" s="34"/>
      <c r="U130" s="35"/>
      <c r="V130" s="35"/>
      <c r="W130" s="35">
        <f t="shared" si="345"/>
        <v>1000</v>
      </c>
      <c r="X130" s="6">
        <f t="shared" si="346"/>
        <v>25000</v>
      </c>
      <c r="Y130" s="35" t="s">
        <v>55</v>
      </c>
      <c r="Z130" s="6" t="s">
        <v>491</v>
      </c>
      <c r="AA130" s="5">
        <f t="shared" si="390"/>
        <v>0</v>
      </c>
      <c r="AB130" s="5">
        <v>0</v>
      </c>
      <c r="AC130" s="5">
        <f t="shared" si="391"/>
        <v>0</v>
      </c>
      <c r="AD130" s="5">
        <f t="shared" si="392"/>
        <v>0</v>
      </c>
      <c r="AE130" s="5">
        <v>0</v>
      </c>
      <c r="AF130" s="5" t="str">
        <f t="shared" si="393"/>
        <v>NO</v>
      </c>
      <c r="AG130" s="5">
        <f t="shared" si="394"/>
        <v>25000</v>
      </c>
      <c r="AH130" s="5" t="s">
        <v>57</v>
      </c>
      <c r="AI130" s="6"/>
      <c r="AJ130" s="6"/>
      <c r="AK130" s="6">
        <f t="shared" si="395"/>
        <v>26000</v>
      </c>
      <c r="AL130" s="6">
        <f t="shared" si="396"/>
        <v>6000</v>
      </c>
      <c r="AM130" s="5">
        <v>0</v>
      </c>
      <c r="AN130" s="32">
        <f t="shared" si="397"/>
        <v>230.76923076923077</v>
      </c>
      <c r="AO130" s="32">
        <f t="shared" si="398"/>
        <v>0</v>
      </c>
      <c r="AP130" s="4">
        <v>46225</v>
      </c>
      <c r="AQ130" s="4">
        <v>46233</v>
      </c>
      <c r="AR130" s="4">
        <v>46246</v>
      </c>
      <c r="AS130" s="6">
        <v>5788</v>
      </c>
      <c r="AT130" s="6" t="str">
        <f t="shared" si="356"/>
        <v>ACTIVE</v>
      </c>
      <c r="AU130" s="6"/>
      <c r="AV130" s="6"/>
      <c r="AW130" s="6"/>
      <c r="AX130" s="6"/>
    </row>
    <row r="131" spans="1:50" ht="15.75" hidden="1">
      <c r="A131" s="35" t="str">
        <f t="shared" si="399"/>
        <v>ACTIVE</v>
      </c>
      <c r="B131" s="5" t="s">
        <v>48</v>
      </c>
      <c r="C131" s="5" t="s">
        <v>49</v>
      </c>
      <c r="D131" s="5" t="s">
        <v>50</v>
      </c>
      <c r="E131" s="5" t="s">
        <v>51</v>
      </c>
      <c r="F131" s="5" t="s">
        <v>399</v>
      </c>
      <c r="G131" s="3" t="s">
        <v>499</v>
      </c>
      <c r="H131" s="3" t="s">
        <v>485</v>
      </c>
      <c r="I131" s="3" t="s">
        <v>393</v>
      </c>
      <c r="J131" s="3">
        <v>9350967898</v>
      </c>
      <c r="K131" s="3">
        <v>20000</v>
      </c>
      <c r="L131" s="3">
        <v>1580</v>
      </c>
      <c r="M131" s="3">
        <f t="shared" si="342"/>
        <v>18420</v>
      </c>
      <c r="N131" s="3">
        <v>1000</v>
      </c>
      <c r="O131" s="29">
        <f t="shared" ref="O131:O132" si="400">N131*P131</f>
        <v>0</v>
      </c>
      <c r="P131" s="5">
        <v>0</v>
      </c>
      <c r="Q131" s="6">
        <v>26</v>
      </c>
      <c r="R131" s="6">
        <v>1</v>
      </c>
      <c r="S131" s="6">
        <f t="shared" si="344"/>
        <v>25</v>
      </c>
      <c r="T131" s="34"/>
      <c r="U131" s="35"/>
      <c r="V131" s="35"/>
      <c r="W131" s="35">
        <f t="shared" si="345"/>
        <v>1000</v>
      </c>
      <c r="X131" s="6">
        <f t="shared" si="346"/>
        <v>25000</v>
      </c>
      <c r="Y131" s="35" t="s">
        <v>55</v>
      </c>
      <c r="Z131" s="6" t="s">
        <v>496</v>
      </c>
      <c r="AA131" s="5">
        <f t="shared" ref="AA131:AA132" si="401">P131*14</f>
        <v>0</v>
      </c>
      <c r="AB131" s="5">
        <v>0</v>
      </c>
      <c r="AC131" s="5">
        <f t="shared" ref="AC131:AC132" si="402">AA131*AB131</f>
        <v>0</v>
      </c>
      <c r="AD131" s="5">
        <f t="shared" ref="AD131:AD132" si="403">AA131</f>
        <v>0</v>
      </c>
      <c r="AE131" s="5">
        <v>0</v>
      </c>
      <c r="AF131" s="5" t="str">
        <f t="shared" ref="AF131:AF132" si="404">IF(AA131&gt;90,"YES","NO")</f>
        <v>NO</v>
      </c>
      <c r="AG131" s="5">
        <f t="shared" ref="AG131:AG132" si="405">X131+AC131</f>
        <v>25000</v>
      </c>
      <c r="AH131" s="5" t="s">
        <v>57</v>
      </c>
      <c r="AI131" s="6"/>
      <c r="AJ131" s="6"/>
      <c r="AK131" s="6">
        <f t="shared" ref="AK131:AK132" si="406">N131*Q131</f>
        <v>26000</v>
      </c>
      <c r="AL131" s="6">
        <f t="shared" ref="AL131:AL132" si="407">AK131-K131</f>
        <v>6000</v>
      </c>
      <c r="AM131" s="5">
        <v>0</v>
      </c>
      <c r="AN131" s="32">
        <f t="shared" ref="AN131:AN132" si="408">AL131/Q131</f>
        <v>230.76923076923077</v>
      </c>
      <c r="AO131" s="32">
        <f t="shared" ref="AO131:AO132" si="409">AN131*AM131</f>
        <v>0</v>
      </c>
      <c r="AP131" s="4">
        <v>46230</v>
      </c>
      <c r="AQ131" s="4">
        <v>46234</v>
      </c>
      <c r="AR131" s="4">
        <v>46246</v>
      </c>
      <c r="AS131" s="6">
        <v>7358</v>
      </c>
      <c r="AT131" s="6" t="str">
        <f t="shared" si="356"/>
        <v>ACTIVE</v>
      </c>
      <c r="AU131" s="6"/>
      <c r="AV131" s="6"/>
      <c r="AW131" s="6"/>
      <c r="AX131" s="6"/>
    </row>
    <row r="132" spans="1:50" ht="15.75">
      <c r="A132" s="35" t="str">
        <f t="shared" si="399"/>
        <v>ACTIVE</v>
      </c>
      <c r="B132" s="5" t="s">
        <v>48</v>
      </c>
      <c r="C132" s="5" t="s">
        <v>49</v>
      </c>
      <c r="D132" s="5" t="s">
        <v>50</v>
      </c>
      <c r="E132" s="5" t="s">
        <v>51</v>
      </c>
      <c r="F132" s="5" t="s">
        <v>399</v>
      </c>
      <c r="G132" s="3" t="s">
        <v>500</v>
      </c>
      <c r="H132" s="3" t="s">
        <v>498</v>
      </c>
      <c r="I132" s="3" t="s">
        <v>316</v>
      </c>
      <c r="J132" s="3">
        <v>8930736392</v>
      </c>
      <c r="K132" s="3">
        <v>20000</v>
      </c>
      <c r="L132" s="3">
        <v>1580</v>
      </c>
      <c r="M132" s="3">
        <f t="shared" si="342"/>
        <v>18420</v>
      </c>
      <c r="N132" s="3">
        <v>1000</v>
      </c>
      <c r="O132" s="29">
        <f t="shared" si="400"/>
        <v>0</v>
      </c>
      <c r="P132" s="5">
        <v>0</v>
      </c>
      <c r="Q132" s="6">
        <v>26</v>
      </c>
      <c r="R132" s="6">
        <v>1</v>
      </c>
      <c r="S132" s="6">
        <f t="shared" si="344"/>
        <v>25</v>
      </c>
      <c r="T132" s="34"/>
      <c r="U132" s="35"/>
      <c r="V132" s="35"/>
      <c r="W132" s="35">
        <f t="shared" si="345"/>
        <v>1000</v>
      </c>
      <c r="X132" s="6">
        <f t="shared" si="346"/>
        <v>25000</v>
      </c>
      <c r="Y132" s="35" t="s">
        <v>69</v>
      </c>
      <c r="Z132" s="6" t="s">
        <v>497</v>
      </c>
      <c r="AA132" s="5">
        <f t="shared" si="401"/>
        <v>0</v>
      </c>
      <c r="AB132" s="5">
        <v>0</v>
      </c>
      <c r="AC132" s="5">
        <f t="shared" si="402"/>
        <v>0</v>
      </c>
      <c r="AD132" s="5">
        <f t="shared" si="403"/>
        <v>0</v>
      </c>
      <c r="AE132" s="5">
        <v>0</v>
      </c>
      <c r="AF132" s="5" t="str">
        <f t="shared" si="404"/>
        <v>NO</v>
      </c>
      <c r="AG132" s="5">
        <f t="shared" si="405"/>
        <v>25000</v>
      </c>
      <c r="AH132" s="5" t="s">
        <v>57</v>
      </c>
      <c r="AI132" s="6"/>
      <c r="AJ132" s="6"/>
      <c r="AK132" s="6">
        <f t="shared" si="406"/>
        <v>26000</v>
      </c>
      <c r="AL132" s="6">
        <f t="shared" si="407"/>
        <v>6000</v>
      </c>
      <c r="AM132" s="5">
        <v>0</v>
      </c>
      <c r="AN132" s="32">
        <f t="shared" si="408"/>
        <v>230.76923076923077</v>
      </c>
      <c r="AO132" s="32">
        <f t="shared" si="409"/>
        <v>0</v>
      </c>
      <c r="AP132" s="4">
        <v>46230</v>
      </c>
      <c r="AQ132" s="4">
        <v>46234</v>
      </c>
      <c r="AR132" s="4">
        <v>46245</v>
      </c>
      <c r="AS132" s="6"/>
      <c r="AT132" s="6" t="str">
        <f t="shared" si="356"/>
        <v>ACTIVE</v>
      </c>
      <c r="AU132" s="6"/>
      <c r="AV132" s="6"/>
      <c r="AW132" s="6"/>
      <c r="AX132" s="6"/>
    </row>
    <row r="133" spans="1:50" ht="15.75">
      <c r="A133" s="35" t="str">
        <f t="shared" ref="A133:A137" si="410">IF(X133=0,"CLOSE","ACTIVE")</f>
        <v>ACTIVE</v>
      </c>
      <c r="B133" s="5" t="s">
        <v>48</v>
      </c>
      <c r="C133" s="5" t="s">
        <v>49</v>
      </c>
      <c r="D133" s="5" t="s">
        <v>50</v>
      </c>
      <c r="E133" s="5" t="s">
        <v>51</v>
      </c>
      <c r="F133" s="5" t="s">
        <v>518</v>
      </c>
      <c r="G133" s="3" t="s">
        <v>505</v>
      </c>
      <c r="H133" s="3" t="s">
        <v>83</v>
      </c>
      <c r="I133" s="3" t="s">
        <v>443</v>
      </c>
      <c r="J133" s="3">
        <v>8595468423</v>
      </c>
      <c r="K133" s="3">
        <v>20000</v>
      </c>
      <c r="L133" s="3">
        <v>1580</v>
      </c>
      <c r="M133" s="3">
        <f>K133-L133</f>
        <v>18420</v>
      </c>
      <c r="N133" s="3">
        <v>1000</v>
      </c>
      <c r="O133" s="29">
        <f t="shared" ref="O133:O137" si="411">N133*P133</f>
        <v>0</v>
      </c>
      <c r="P133" s="5">
        <v>0</v>
      </c>
      <c r="Q133" s="6">
        <v>26</v>
      </c>
      <c r="R133" s="6">
        <v>1</v>
      </c>
      <c r="S133" s="6">
        <f t="shared" si="344"/>
        <v>25</v>
      </c>
      <c r="T133" s="34"/>
      <c r="U133" s="35"/>
      <c r="V133" s="35"/>
      <c r="W133" s="35">
        <f t="shared" si="345"/>
        <v>1000</v>
      </c>
      <c r="X133" s="6">
        <f t="shared" si="346"/>
        <v>25000</v>
      </c>
      <c r="Y133" s="3" t="s">
        <v>69</v>
      </c>
      <c r="Z133" s="6" t="s">
        <v>503</v>
      </c>
      <c r="AA133" s="5">
        <f t="shared" ref="AA133:AA137" si="412">P133*14</f>
        <v>0</v>
      </c>
      <c r="AB133" s="5">
        <v>0</v>
      </c>
      <c r="AC133" s="5">
        <f t="shared" ref="AC133:AC137" si="413">AA133*AB133</f>
        <v>0</v>
      </c>
      <c r="AD133" s="5">
        <f t="shared" ref="AD133:AD137" si="414">AA133</f>
        <v>0</v>
      </c>
      <c r="AE133" s="5">
        <v>0</v>
      </c>
      <c r="AF133" s="5" t="str">
        <f t="shared" ref="AF133:AF137" si="415">IF(AA133&gt;90,"YES","NO")</f>
        <v>NO</v>
      </c>
      <c r="AG133" s="5">
        <f t="shared" ref="AG133:AG137" si="416">X133+AC133</f>
        <v>25000</v>
      </c>
      <c r="AH133" s="5" t="s">
        <v>57</v>
      </c>
      <c r="AI133" s="6"/>
      <c r="AJ133" s="6"/>
      <c r="AK133" s="6">
        <f t="shared" ref="AK133:AK137" si="417">N133*Q133</f>
        <v>26000</v>
      </c>
      <c r="AL133" s="6">
        <f t="shared" ref="AL133:AL137" si="418">AK133-K133</f>
        <v>6000</v>
      </c>
      <c r="AM133" s="5">
        <v>0</v>
      </c>
      <c r="AN133" s="32">
        <f t="shared" ref="AN133:AN137" si="419">AL133/Q133</f>
        <v>230.76923076923077</v>
      </c>
      <c r="AO133" s="32">
        <f t="shared" ref="AO133:AO137" si="420">AN133*AM133</f>
        <v>0</v>
      </c>
      <c r="AP133" s="4">
        <v>46231</v>
      </c>
      <c r="AQ133" s="4">
        <v>46239</v>
      </c>
      <c r="AR133" s="4">
        <v>46245</v>
      </c>
      <c r="AS133" s="3">
        <v>6775</v>
      </c>
      <c r="AT133" s="6" t="str">
        <f t="shared" si="356"/>
        <v>ACTIVE</v>
      </c>
      <c r="AU133" s="6"/>
      <c r="AV133" s="6"/>
      <c r="AW133" s="6"/>
      <c r="AX133" s="6"/>
    </row>
    <row r="134" spans="1:50" ht="15.75" hidden="1">
      <c r="A134" s="35" t="str">
        <f t="shared" si="410"/>
        <v>ACTIVE</v>
      </c>
      <c r="B134" s="5" t="s">
        <v>48</v>
      </c>
      <c r="C134" s="5" t="s">
        <v>49</v>
      </c>
      <c r="D134" s="5" t="s">
        <v>50</v>
      </c>
      <c r="E134" s="5" t="s">
        <v>51</v>
      </c>
      <c r="F134" s="5" t="s">
        <v>518</v>
      </c>
      <c r="G134" s="3" t="s">
        <v>206</v>
      </c>
      <c r="H134" s="3" t="s">
        <v>506</v>
      </c>
      <c r="I134" s="3" t="s">
        <v>507</v>
      </c>
      <c r="J134" s="3">
        <v>9813259251</v>
      </c>
      <c r="K134" s="3">
        <v>20000</v>
      </c>
      <c r="L134" s="3">
        <v>1580</v>
      </c>
      <c r="M134" s="3">
        <f>K134-L134</f>
        <v>18420</v>
      </c>
      <c r="N134" s="3">
        <v>1000</v>
      </c>
      <c r="O134" s="29">
        <f t="shared" si="411"/>
        <v>0</v>
      </c>
      <c r="P134" s="5">
        <v>0</v>
      </c>
      <c r="Q134" s="6">
        <v>26</v>
      </c>
      <c r="R134" s="6">
        <v>0</v>
      </c>
      <c r="S134" s="6">
        <f t="shared" si="344"/>
        <v>26</v>
      </c>
      <c r="T134" s="34"/>
      <c r="U134" s="35"/>
      <c r="V134" s="35"/>
      <c r="W134" s="35">
        <f t="shared" si="345"/>
        <v>0</v>
      </c>
      <c r="X134" s="6">
        <f t="shared" si="346"/>
        <v>26000</v>
      </c>
      <c r="Y134" s="3" t="s">
        <v>55</v>
      </c>
      <c r="Z134" s="6" t="s">
        <v>504</v>
      </c>
      <c r="AA134" s="5">
        <f t="shared" si="412"/>
        <v>0</v>
      </c>
      <c r="AB134" s="5">
        <v>0</v>
      </c>
      <c r="AC134" s="5">
        <f t="shared" si="413"/>
        <v>0</v>
      </c>
      <c r="AD134" s="5">
        <f t="shared" si="414"/>
        <v>0</v>
      </c>
      <c r="AE134" s="5">
        <v>0</v>
      </c>
      <c r="AF134" s="5" t="str">
        <f t="shared" si="415"/>
        <v>NO</v>
      </c>
      <c r="AG134" s="5">
        <f t="shared" si="416"/>
        <v>26000</v>
      </c>
      <c r="AH134" s="5" t="s">
        <v>57</v>
      </c>
      <c r="AI134" s="6"/>
      <c r="AJ134" s="6"/>
      <c r="AK134" s="6">
        <f t="shared" si="417"/>
        <v>26000</v>
      </c>
      <c r="AL134" s="6">
        <f t="shared" si="418"/>
        <v>6000</v>
      </c>
      <c r="AM134" s="5">
        <v>0</v>
      </c>
      <c r="AN134" s="32">
        <f t="shared" si="419"/>
        <v>230.76923076923077</v>
      </c>
      <c r="AO134" s="32">
        <f t="shared" si="420"/>
        <v>0</v>
      </c>
      <c r="AP134" s="4">
        <v>46230</v>
      </c>
      <c r="AQ134" s="4">
        <v>46239</v>
      </c>
      <c r="AR134" s="4">
        <v>46253</v>
      </c>
      <c r="AS134" s="3">
        <v>7203</v>
      </c>
      <c r="AT134" s="6" t="str">
        <f t="shared" si="356"/>
        <v>ACTIVE</v>
      </c>
      <c r="AU134" s="6"/>
      <c r="AV134" s="6"/>
      <c r="AW134" s="6"/>
      <c r="AX134" s="6"/>
    </row>
    <row r="135" spans="1:50" ht="15.75">
      <c r="A135" s="35" t="str">
        <f t="shared" si="410"/>
        <v>ACTIVE</v>
      </c>
      <c r="B135" s="5" t="s">
        <v>48</v>
      </c>
      <c r="C135" s="5" t="s">
        <v>49</v>
      </c>
      <c r="D135" s="5" t="s">
        <v>50</v>
      </c>
      <c r="E135" s="5" t="s">
        <v>51</v>
      </c>
      <c r="F135" s="5" t="s">
        <v>518</v>
      </c>
      <c r="G135" s="3" t="s">
        <v>505</v>
      </c>
      <c r="H135" s="3" t="s">
        <v>323</v>
      </c>
      <c r="I135" s="3" t="s">
        <v>515</v>
      </c>
      <c r="J135" s="3">
        <v>9728147593</v>
      </c>
      <c r="K135" s="3">
        <v>20000</v>
      </c>
      <c r="L135" s="3">
        <v>1580</v>
      </c>
      <c r="M135" s="3">
        <f t="shared" ref="M135:M145" si="421">K135-L135</f>
        <v>18420</v>
      </c>
      <c r="N135" s="3">
        <v>1000</v>
      </c>
      <c r="O135" s="29">
        <f t="shared" si="411"/>
        <v>0</v>
      </c>
      <c r="P135" s="5">
        <v>0</v>
      </c>
      <c r="Q135" s="6">
        <v>26</v>
      </c>
      <c r="R135" s="6">
        <v>0</v>
      </c>
      <c r="S135" s="6">
        <f t="shared" si="344"/>
        <v>26</v>
      </c>
      <c r="T135" s="34"/>
      <c r="U135" s="35"/>
      <c r="V135" s="35"/>
      <c r="W135" s="35">
        <f t="shared" si="345"/>
        <v>0</v>
      </c>
      <c r="X135" s="6">
        <f t="shared" si="346"/>
        <v>26000</v>
      </c>
      <c r="Y135" s="3" t="s">
        <v>69</v>
      </c>
      <c r="Z135" s="6" t="s">
        <v>510</v>
      </c>
      <c r="AA135" s="5">
        <f t="shared" si="412"/>
        <v>0</v>
      </c>
      <c r="AB135" s="5">
        <v>0</v>
      </c>
      <c r="AC135" s="5">
        <f t="shared" si="413"/>
        <v>0</v>
      </c>
      <c r="AD135" s="5">
        <f t="shared" si="414"/>
        <v>0</v>
      </c>
      <c r="AE135" s="5">
        <v>0</v>
      </c>
      <c r="AF135" s="5" t="str">
        <f t="shared" si="415"/>
        <v>NO</v>
      </c>
      <c r="AG135" s="5">
        <f t="shared" si="416"/>
        <v>26000</v>
      </c>
      <c r="AH135" s="5" t="s">
        <v>57</v>
      </c>
      <c r="AI135" s="6"/>
      <c r="AJ135" s="6"/>
      <c r="AK135" s="6">
        <f t="shared" si="417"/>
        <v>26000</v>
      </c>
      <c r="AL135" s="6">
        <f t="shared" si="418"/>
        <v>6000</v>
      </c>
      <c r="AM135" s="5">
        <v>0</v>
      </c>
      <c r="AN135" s="32">
        <f t="shared" si="419"/>
        <v>230.76923076923077</v>
      </c>
      <c r="AO135" s="32">
        <f t="shared" si="420"/>
        <v>0</v>
      </c>
      <c r="AP135" s="4">
        <v>46239</v>
      </c>
      <c r="AQ135" s="4">
        <v>46241</v>
      </c>
      <c r="AR135" s="4">
        <v>46252</v>
      </c>
      <c r="AS135" s="3">
        <v>5833</v>
      </c>
      <c r="AT135" s="6" t="str">
        <f t="shared" si="356"/>
        <v>ACTIVE</v>
      </c>
      <c r="AU135" s="6"/>
      <c r="AV135" s="6"/>
      <c r="AW135" s="6"/>
      <c r="AX135" s="6"/>
    </row>
    <row r="136" spans="1:50" ht="15.75" hidden="1">
      <c r="A136" s="35" t="str">
        <f t="shared" si="410"/>
        <v>ACTIVE</v>
      </c>
      <c r="B136" s="5" t="s">
        <v>48</v>
      </c>
      <c r="C136" s="5" t="s">
        <v>49</v>
      </c>
      <c r="D136" s="5" t="s">
        <v>50</v>
      </c>
      <c r="E136" s="5" t="s">
        <v>51</v>
      </c>
      <c r="F136" s="5" t="s">
        <v>518</v>
      </c>
      <c r="G136" s="3" t="s">
        <v>513</v>
      </c>
      <c r="H136" s="3" t="s">
        <v>135</v>
      </c>
      <c r="I136" s="3" t="s">
        <v>516</v>
      </c>
      <c r="J136" s="3">
        <v>8818019728</v>
      </c>
      <c r="K136" s="3">
        <v>20000</v>
      </c>
      <c r="L136" s="3">
        <v>1580</v>
      </c>
      <c r="M136" s="3">
        <f t="shared" si="421"/>
        <v>18420</v>
      </c>
      <c r="N136" s="3">
        <v>1000</v>
      </c>
      <c r="O136" s="29">
        <f t="shared" si="411"/>
        <v>0</v>
      </c>
      <c r="P136" s="5">
        <v>0</v>
      </c>
      <c r="Q136" s="6">
        <v>26</v>
      </c>
      <c r="R136" s="6">
        <v>0</v>
      </c>
      <c r="S136" s="6">
        <f t="shared" si="344"/>
        <v>26</v>
      </c>
      <c r="T136" s="34"/>
      <c r="U136" s="35"/>
      <c r="V136" s="35"/>
      <c r="W136" s="35">
        <f t="shared" si="345"/>
        <v>0</v>
      </c>
      <c r="X136" s="6">
        <f t="shared" si="346"/>
        <v>26000</v>
      </c>
      <c r="Y136" s="3" t="s">
        <v>55</v>
      </c>
      <c r="Z136" s="6" t="s">
        <v>511</v>
      </c>
      <c r="AA136" s="5">
        <f t="shared" si="412"/>
        <v>0</v>
      </c>
      <c r="AB136" s="5">
        <v>0</v>
      </c>
      <c r="AC136" s="5">
        <f t="shared" si="413"/>
        <v>0</v>
      </c>
      <c r="AD136" s="5">
        <f t="shared" si="414"/>
        <v>0</v>
      </c>
      <c r="AE136" s="5">
        <v>0</v>
      </c>
      <c r="AF136" s="5" t="str">
        <f t="shared" si="415"/>
        <v>NO</v>
      </c>
      <c r="AG136" s="5">
        <f t="shared" si="416"/>
        <v>26000</v>
      </c>
      <c r="AH136" s="5" t="s">
        <v>57</v>
      </c>
      <c r="AI136" s="6"/>
      <c r="AJ136" s="6"/>
      <c r="AK136" s="6">
        <f t="shared" si="417"/>
        <v>26000</v>
      </c>
      <c r="AL136" s="6">
        <f t="shared" si="418"/>
        <v>6000</v>
      </c>
      <c r="AM136" s="5">
        <v>0</v>
      </c>
      <c r="AN136" s="32">
        <f t="shared" si="419"/>
        <v>230.76923076923077</v>
      </c>
      <c r="AO136" s="32">
        <f t="shared" si="420"/>
        <v>0</v>
      </c>
      <c r="AP136" s="4">
        <v>46239</v>
      </c>
      <c r="AQ136" s="4">
        <v>46241</v>
      </c>
      <c r="AR136" s="4">
        <v>46253</v>
      </c>
      <c r="AS136" s="3">
        <v>4821</v>
      </c>
      <c r="AT136" s="6" t="str">
        <f t="shared" si="356"/>
        <v>ACTIVE</v>
      </c>
      <c r="AU136" s="6"/>
      <c r="AV136" s="6"/>
      <c r="AW136" s="6"/>
      <c r="AX136" s="6"/>
    </row>
    <row r="137" spans="1:50" ht="15.75" hidden="1">
      <c r="A137" s="35" t="str">
        <f t="shared" si="410"/>
        <v>ACTIVE</v>
      </c>
      <c r="B137" s="5" t="s">
        <v>48</v>
      </c>
      <c r="C137" s="5" t="s">
        <v>49</v>
      </c>
      <c r="D137" s="5" t="s">
        <v>50</v>
      </c>
      <c r="E137" s="5" t="s">
        <v>51</v>
      </c>
      <c r="F137" s="5" t="s">
        <v>518</v>
      </c>
      <c r="G137" s="3" t="s">
        <v>514</v>
      </c>
      <c r="H137" s="3" t="s">
        <v>59</v>
      </c>
      <c r="I137" s="3" t="s">
        <v>517</v>
      </c>
      <c r="J137" s="3">
        <v>7082390753</v>
      </c>
      <c r="K137" s="3">
        <v>30000</v>
      </c>
      <c r="L137" s="3">
        <v>2200</v>
      </c>
      <c r="M137" s="3">
        <f t="shared" si="421"/>
        <v>27800</v>
      </c>
      <c r="N137" s="3">
        <v>1000</v>
      </c>
      <c r="O137" s="29">
        <f t="shared" si="411"/>
        <v>0</v>
      </c>
      <c r="P137" s="5">
        <v>0</v>
      </c>
      <c r="Q137" s="6">
        <v>41</v>
      </c>
      <c r="R137" s="6">
        <v>0</v>
      </c>
      <c r="S137" s="6">
        <f t="shared" si="344"/>
        <v>41</v>
      </c>
      <c r="T137" s="34"/>
      <c r="U137" s="35"/>
      <c r="V137" s="35"/>
      <c r="W137" s="35">
        <f t="shared" si="345"/>
        <v>0</v>
      </c>
      <c r="X137" s="6">
        <f t="shared" si="346"/>
        <v>41000</v>
      </c>
      <c r="Y137" s="3" t="s">
        <v>55</v>
      </c>
      <c r="Z137" s="6" t="s">
        <v>512</v>
      </c>
      <c r="AA137" s="5">
        <f t="shared" si="412"/>
        <v>0</v>
      </c>
      <c r="AB137" s="5">
        <v>0</v>
      </c>
      <c r="AC137" s="5">
        <f t="shared" si="413"/>
        <v>0</v>
      </c>
      <c r="AD137" s="5">
        <f t="shared" si="414"/>
        <v>0</v>
      </c>
      <c r="AE137" s="5">
        <v>0</v>
      </c>
      <c r="AF137" s="5" t="str">
        <f t="shared" si="415"/>
        <v>NO</v>
      </c>
      <c r="AG137" s="5">
        <f t="shared" si="416"/>
        <v>41000</v>
      </c>
      <c r="AH137" s="5" t="s">
        <v>57</v>
      </c>
      <c r="AI137" s="6"/>
      <c r="AJ137" s="6"/>
      <c r="AK137" s="6">
        <f t="shared" si="417"/>
        <v>41000</v>
      </c>
      <c r="AL137" s="6">
        <f t="shared" si="418"/>
        <v>11000</v>
      </c>
      <c r="AM137" s="5">
        <v>0</v>
      </c>
      <c r="AN137" s="32">
        <f t="shared" si="419"/>
        <v>268.29268292682929</v>
      </c>
      <c r="AO137" s="32">
        <f t="shared" si="420"/>
        <v>0</v>
      </c>
      <c r="AP137" s="4">
        <v>46239</v>
      </c>
      <c r="AQ137" s="4">
        <v>46241</v>
      </c>
      <c r="AR137" s="4">
        <v>46253</v>
      </c>
      <c r="AS137" s="3">
        <v>4179</v>
      </c>
      <c r="AT137" s="6" t="str">
        <f t="shared" si="356"/>
        <v>ACTIVE</v>
      </c>
      <c r="AU137" s="6"/>
      <c r="AV137" s="6"/>
      <c r="AW137" s="6"/>
      <c r="AX137" s="6"/>
    </row>
    <row r="138" spans="1:50" ht="15.75">
      <c r="A138" s="35" t="str">
        <f t="shared" ref="A138:A145" si="422">IF(X138=0,"CLOSE","ACTIVE")</f>
        <v>ACTIVE</v>
      </c>
      <c r="B138" s="5" t="s">
        <v>48</v>
      </c>
      <c r="C138" s="5" t="s">
        <v>49</v>
      </c>
      <c r="D138" s="5" t="s">
        <v>50</v>
      </c>
      <c r="E138" s="5" t="s">
        <v>51</v>
      </c>
      <c r="F138" s="5" t="s">
        <v>518</v>
      </c>
      <c r="G138" s="3" t="s">
        <v>513</v>
      </c>
      <c r="H138" s="3" t="s">
        <v>520</v>
      </c>
      <c r="I138" s="3" t="s">
        <v>440</v>
      </c>
      <c r="J138" s="3">
        <v>8901271849</v>
      </c>
      <c r="K138" s="3">
        <v>20000</v>
      </c>
      <c r="L138" s="3">
        <v>1580</v>
      </c>
      <c r="M138" s="3">
        <f t="shared" si="421"/>
        <v>18420</v>
      </c>
      <c r="N138" s="3">
        <v>1000</v>
      </c>
      <c r="O138" s="29">
        <f t="shared" ref="O138:O145" si="423">N138*P138</f>
        <v>0</v>
      </c>
      <c r="P138" s="5">
        <v>0</v>
      </c>
      <c r="Q138" s="3">
        <v>26</v>
      </c>
      <c r="R138" s="6">
        <v>0</v>
      </c>
      <c r="S138" s="6">
        <f t="shared" si="344"/>
        <v>26</v>
      </c>
      <c r="T138" s="34"/>
      <c r="U138" s="35"/>
      <c r="V138" s="35"/>
      <c r="W138" s="35">
        <f t="shared" si="345"/>
        <v>0</v>
      </c>
      <c r="X138" s="6">
        <f t="shared" si="346"/>
        <v>26000</v>
      </c>
      <c r="Y138" s="3" t="s">
        <v>69</v>
      </c>
      <c r="Z138" s="6" t="s">
        <v>519</v>
      </c>
      <c r="AA138" s="5">
        <f t="shared" ref="AA138:AA145" si="424">P138*14</f>
        <v>0</v>
      </c>
      <c r="AB138" s="5">
        <v>0</v>
      </c>
      <c r="AC138" s="5">
        <f t="shared" ref="AC138:AC145" si="425">AA138*AB138</f>
        <v>0</v>
      </c>
      <c r="AD138" s="5">
        <f t="shared" ref="AD138:AD145" si="426">AA138</f>
        <v>0</v>
      </c>
      <c r="AE138" s="5">
        <v>0</v>
      </c>
      <c r="AF138" s="5" t="str">
        <f t="shared" ref="AF138:AF145" si="427">IF(AA138&gt;90,"YES","NO")</f>
        <v>NO</v>
      </c>
      <c r="AG138" s="5">
        <f t="shared" ref="AG138:AG145" si="428">X138+AC138</f>
        <v>26000</v>
      </c>
      <c r="AH138" s="5" t="s">
        <v>57</v>
      </c>
      <c r="AI138" s="6"/>
      <c r="AJ138" s="6"/>
      <c r="AK138" s="6">
        <f t="shared" ref="AK138:AK145" si="429">N138*Q138</f>
        <v>26000</v>
      </c>
      <c r="AL138" s="6">
        <f t="shared" ref="AL138:AL145" si="430">AK138-K138</f>
        <v>6000</v>
      </c>
      <c r="AM138" s="5">
        <v>0</v>
      </c>
      <c r="AN138" s="32">
        <f t="shared" ref="AN138:AN145" si="431">AL138/Q138</f>
        <v>230.76923076923077</v>
      </c>
      <c r="AO138" s="32">
        <f t="shared" ref="AO138:AO145" si="432">AN138*AM138</f>
        <v>0</v>
      </c>
      <c r="AP138" s="4">
        <v>46241</v>
      </c>
      <c r="AQ138" s="4">
        <v>46246</v>
      </c>
      <c r="AR138" s="4">
        <v>46252</v>
      </c>
      <c r="AS138" s="3">
        <v>8366</v>
      </c>
      <c r="AT138" s="6" t="str">
        <f t="shared" si="356"/>
        <v>ACTIVE</v>
      </c>
      <c r="AU138" s="6"/>
      <c r="AV138" s="6"/>
      <c r="AW138" s="6"/>
      <c r="AX138" s="6"/>
    </row>
    <row r="139" spans="1:50" ht="15.75" hidden="1">
      <c r="A139" s="35" t="str">
        <f t="shared" si="422"/>
        <v>ACTIVE</v>
      </c>
      <c r="B139" s="5" t="s">
        <v>48</v>
      </c>
      <c r="C139" s="5" t="s">
        <v>49</v>
      </c>
      <c r="D139" s="5" t="s">
        <v>50</v>
      </c>
      <c r="E139" s="5" t="s">
        <v>51</v>
      </c>
      <c r="F139" s="5" t="s">
        <v>518</v>
      </c>
      <c r="G139" s="3" t="s">
        <v>49</v>
      </c>
      <c r="H139" s="3" t="s">
        <v>254</v>
      </c>
      <c r="I139" s="3" t="s">
        <v>269</v>
      </c>
      <c r="J139" s="3">
        <v>9729160317</v>
      </c>
      <c r="K139" s="3">
        <v>30000</v>
      </c>
      <c r="L139" s="3">
        <v>2200</v>
      </c>
      <c r="M139" s="3">
        <f t="shared" si="421"/>
        <v>27800</v>
      </c>
      <c r="N139" s="3">
        <v>1000</v>
      </c>
      <c r="O139" s="29">
        <f t="shared" si="423"/>
        <v>0</v>
      </c>
      <c r="P139" s="5">
        <v>0</v>
      </c>
      <c r="Q139" s="3">
        <v>41</v>
      </c>
      <c r="R139" s="6">
        <v>0</v>
      </c>
      <c r="S139" s="6">
        <f t="shared" si="344"/>
        <v>41</v>
      </c>
      <c r="T139" s="34"/>
      <c r="U139" s="35"/>
      <c r="V139" s="35"/>
      <c r="W139" s="35">
        <f t="shared" si="345"/>
        <v>0</v>
      </c>
      <c r="X139" s="6">
        <f t="shared" si="346"/>
        <v>41000</v>
      </c>
      <c r="Y139" s="3" t="s">
        <v>55</v>
      </c>
      <c r="Z139" s="6" t="s">
        <v>521</v>
      </c>
      <c r="AA139" s="5">
        <f t="shared" si="424"/>
        <v>0</v>
      </c>
      <c r="AB139" s="5">
        <v>0</v>
      </c>
      <c r="AC139" s="5">
        <f t="shared" si="425"/>
        <v>0</v>
      </c>
      <c r="AD139" s="5">
        <f t="shared" si="426"/>
        <v>0</v>
      </c>
      <c r="AE139" s="5">
        <v>0</v>
      </c>
      <c r="AF139" s="5" t="str">
        <f t="shared" si="427"/>
        <v>NO</v>
      </c>
      <c r="AG139" s="5">
        <f t="shared" si="428"/>
        <v>41000</v>
      </c>
      <c r="AH139" s="5" t="s">
        <v>57</v>
      </c>
      <c r="AI139" s="6"/>
      <c r="AJ139" s="6"/>
      <c r="AK139" s="6">
        <f t="shared" si="429"/>
        <v>41000</v>
      </c>
      <c r="AL139" s="6">
        <f t="shared" si="430"/>
        <v>11000</v>
      </c>
      <c r="AM139" s="5">
        <v>0</v>
      </c>
      <c r="AN139" s="32">
        <f t="shared" si="431"/>
        <v>268.29268292682929</v>
      </c>
      <c r="AO139" s="32">
        <f t="shared" si="432"/>
        <v>0</v>
      </c>
      <c r="AP139" s="4">
        <v>46241</v>
      </c>
      <c r="AQ139" s="4">
        <v>46248</v>
      </c>
      <c r="AR139" s="4">
        <v>46260</v>
      </c>
      <c r="AS139" s="3">
        <v>9062</v>
      </c>
      <c r="AT139" s="6" t="str">
        <f t="shared" si="356"/>
        <v>ACTIVE</v>
      </c>
      <c r="AU139" s="6"/>
      <c r="AV139" s="6"/>
      <c r="AW139" s="6"/>
      <c r="AX139" s="6"/>
    </row>
    <row r="140" spans="1:50" ht="15.75" hidden="1">
      <c r="A140" s="35" t="str">
        <f t="shared" si="422"/>
        <v>ACTIVE</v>
      </c>
      <c r="B140" s="5" t="s">
        <v>48</v>
      </c>
      <c r="C140" s="5" t="s">
        <v>49</v>
      </c>
      <c r="D140" s="5" t="s">
        <v>50</v>
      </c>
      <c r="E140" s="5" t="s">
        <v>51</v>
      </c>
      <c r="F140" s="5" t="s">
        <v>518</v>
      </c>
      <c r="G140" s="3" t="s">
        <v>66</v>
      </c>
      <c r="H140" s="3" t="s">
        <v>120</v>
      </c>
      <c r="I140" s="3" t="s">
        <v>124</v>
      </c>
      <c r="J140" s="3">
        <v>8295596976</v>
      </c>
      <c r="K140" s="3">
        <v>30000</v>
      </c>
      <c r="L140" s="3">
        <v>2200</v>
      </c>
      <c r="M140" s="3">
        <f t="shared" si="421"/>
        <v>27800</v>
      </c>
      <c r="N140" s="3">
        <v>1000</v>
      </c>
      <c r="O140" s="29">
        <f t="shared" si="423"/>
        <v>0</v>
      </c>
      <c r="P140" s="5">
        <v>0</v>
      </c>
      <c r="Q140" s="3">
        <v>41</v>
      </c>
      <c r="R140" s="6">
        <v>0</v>
      </c>
      <c r="S140" s="6">
        <f t="shared" si="344"/>
        <v>41</v>
      </c>
      <c r="T140" s="34"/>
      <c r="U140" s="35"/>
      <c r="V140" s="35"/>
      <c r="W140" s="35">
        <f t="shared" si="345"/>
        <v>0</v>
      </c>
      <c r="X140" s="6">
        <f t="shared" si="346"/>
        <v>41000</v>
      </c>
      <c r="Y140" s="3" t="s">
        <v>69</v>
      </c>
      <c r="Z140" s="6" t="s">
        <v>522</v>
      </c>
      <c r="AA140" s="5">
        <f t="shared" si="424"/>
        <v>0</v>
      </c>
      <c r="AB140" s="5">
        <v>0</v>
      </c>
      <c r="AC140" s="5">
        <f t="shared" si="425"/>
        <v>0</v>
      </c>
      <c r="AD140" s="5">
        <f t="shared" si="426"/>
        <v>0</v>
      </c>
      <c r="AE140" s="5">
        <v>0</v>
      </c>
      <c r="AF140" s="5" t="str">
        <f t="shared" si="427"/>
        <v>NO</v>
      </c>
      <c r="AG140" s="5">
        <f t="shared" si="428"/>
        <v>41000</v>
      </c>
      <c r="AH140" s="5" t="s">
        <v>57</v>
      </c>
      <c r="AI140" s="6"/>
      <c r="AJ140" s="6"/>
      <c r="AK140" s="6">
        <f t="shared" si="429"/>
        <v>41000</v>
      </c>
      <c r="AL140" s="6">
        <f t="shared" si="430"/>
        <v>11000</v>
      </c>
      <c r="AM140" s="5">
        <v>0</v>
      </c>
      <c r="AN140" s="32">
        <f t="shared" si="431"/>
        <v>268.29268292682929</v>
      </c>
      <c r="AO140" s="32">
        <f t="shared" si="432"/>
        <v>0</v>
      </c>
      <c r="AP140" s="4">
        <v>46241</v>
      </c>
      <c r="AQ140" s="4">
        <v>46248</v>
      </c>
      <c r="AR140" s="4">
        <v>46259</v>
      </c>
      <c r="AS140" s="3">
        <v>3348</v>
      </c>
      <c r="AT140" s="6" t="str">
        <f t="shared" si="356"/>
        <v>ACTIVE</v>
      </c>
      <c r="AU140" s="6"/>
      <c r="AV140" s="6"/>
      <c r="AW140" s="6"/>
      <c r="AX140" s="6"/>
    </row>
    <row r="141" spans="1:50" ht="15.75" hidden="1">
      <c r="A141" s="35" t="str">
        <f t="shared" si="422"/>
        <v>ACTIVE</v>
      </c>
      <c r="B141" s="5" t="s">
        <v>48</v>
      </c>
      <c r="C141" s="5" t="s">
        <v>49</v>
      </c>
      <c r="D141" s="5" t="s">
        <v>50</v>
      </c>
      <c r="E141" s="5" t="s">
        <v>51</v>
      </c>
      <c r="F141" s="5" t="s">
        <v>518</v>
      </c>
      <c r="G141" s="3" t="s">
        <v>206</v>
      </c>
      <c r="H141" s="3" t="s">
        <v>323</v>
      </c>
      <c r="I141" s="3" t="s">
        <v>529</v>
      </c>
      <c r="J141" s="3">
        <v>8814961361</v>
      </c>
      <c r="K141" s="3">
        <v>20000</v>
      </c>
      <c r="L141" s="3">
        <v>1580</v>
      </c>
      <c r="M141" s="3">
        <f t="shared" si="421"/>
        <v>18420</v>
      </c>
      <c r="N141" s="3">
        <v>1000</v>
      </c>
      <c r="O141" s="29">
        <f t="shared" si="423"/>
        <v>0</v>
      </c>
      <c r="P141" s="5">
        <v>0</v>
      </c>
      <c r="Q141" s="3">
        <v>26</v>
      </c>
      <c r="R141" s="6">
        <v>0</v>
      </c>
      <c r="S141" s="6">
        <f t="shared" si="344"/>
        <v>26</v>
      </c>
      <c r="T141" s="34"/>
      <c r="U141" s="35"/>
      <c r="V141" s="35"/>
      <c r="W141" s="35">
        <f t="shared" si="345"/>
        <v>0</v>
      </c>
      <c r="X141" s="6">
        <f t="shared" si="346"/>
        <v>26000</v>
      </c>
      <c r="Y141" s="3" t="s">
        <v>55</v>
      </c>
      <c r="Z141" s="6" t="s">
        <v>523</v>
      </c>
      <c r="AA141" s="5">
        <f t="shared" si="424"/>
        <v>0</v>
      </c>
      <c r="AB141" s="5">
        <v>0</v>
      </c>
      <c r="AC141" s="5">
        <f t="shared" si="425"/>
        <v>0</v>
      </c>
      <c r="AD141" s="5">
        <f t="shared" si="426"/>
        <v>0</v>
      </c>
      <c r="AE141" s="5">
        <v>0</v>
      </c>
      <c r="AF141" s="5" t="str">
        <f t="shared" si="427"/>
        <v>NO</v>
      </c>
      <c r="AG141" s="5">
        <f t="shared" si="428"/>
        <v>26000</v>
      </c>
      <c r="AH141" s="5" t="s">
        <v>57</v>
      </c>
      <c r="AI141" s="6"/>
      <c r="AJ141" s="6"/>
      <c r="AK141" s="6">
        <f t="shared" si="429"/>
        <v>26000</v>
      </c>
      <c r="AL141" s="6">
        <f t="shared" si="430"/>
        <v>6000</v>
      </c>
      <c r="AM141" s="5">
        <v>0</v>
      </c>
      <c r="AN141" s="32">
        <f t="shared" si="431"/>
        <v>230.76923076923077</v>
      </c>
      <c r="AO141" s="32">
        <f t="shared" si="432"/>
        <v>0</v>
      </c>
      <c r="AP141" s="4">
        <v>46245</v>
      </c>
      <c r="AQ141" s="4">
        <v>46248</v>
      </c>
      <c r="AR141" s="4">
        <v>46260</v>
      </c>
      <c r="AS141" s="3">
        <v>7396</v>
      </c>
      <c r="AT141" s="6" t="str">
        <f t="shared" si="356"/>
        <v>ACTIVE</v>
      </c>
      <c r="AU141" s="6"/>
      <c r="AV141" s="6"/>
      <c r="AW141" s="6"/>
      <c r="AX141" s="6"/>
    </row>
    <row r="142" spans="1:50" ht="15.75" hidden="1">
      <c r="A142" s="35" t="str">
        <f t="shared" si="422"/>
        <v>ACTIVE</v>
      </c>
      <c r="B142" s="5" t="s">
        <v>48</v>
      </c>
      <c r="C142" s="5" t="s">
        <v>49</v>
      </c>
      <c r="D142" s="5" t="s">
        <v>50</v>
      </c>
      <c r="E142" s="5" t="s">
        <v>51</v>
      </c>
      <c r="F142" s="5" t="s">
        <v>518</v>
      </c>
      <c r="G142" s="3" t="s">
        <v>505</v>
      </c>
      <c r="H142" s="3" t="s">
        <v>83</v>
      </c>
      <c r="I142" s="3" t="s">
        <v>530</v>
      </c>
      <c r="J142" s="3">
        <v>9217693482</v>
      </c>
      <c r="K142" s="3">
        <v>20000</v>
      </c>
      <c r="L142" s="3">
        <v>1580</v>
      </c>
      <c r="M142" s="3">
        <f t="shared" si="421"/>
        <v>18420</v>
      </c>
      <c r="N142" s="3">
        <v>1000</v>
      </c>
      <c r="O142" s="29">
        <f t="shared" si="423"/>
        <v>0</v>
      </c>
      <c r="P142" s="5">
        <v>0</v>
      </c>
      <c r="Q142" s="3">
        <v>26</v>
      </c>
      <c r="R142" s="6">
        <v>0</v>
      </c>
      <c r="S142" s="6">
        <f t="shared" si="344"/>
        <v>26</v>
      </c>
      <c r="T142" s="34"/>
      <c r="U142" s="35"/>
      <c r="V142" s="35"/>
      <c r="W142" s="35">
        <f t="shared" si="345"/>
        <v>0</v>
      </c>
      <c r="X142" s="6">
        <f t="shared" si="346"/>
        <v>26000</v>
      </c>
      <c r="Y142" s="3" t="s">
        <v>69</v>
      </c>
      <c r="Z142" s="6" t="s">
        <v>524</v>
      </c>
      <c r="AA142" s="5">
        <f t="shared" si="424"/>
        <v>0</v>
      </c>
      <c r="AB142" s="5">
        <v>0</v>
      </c>
      <c r="AC142" s="5">
        <f t="shared" si="425"/>
        <v>0</v>
      </c>
      <c r="AD142" s="5">
        <f t="shared" si="426"/>
        <v>0</v>
      </c>
      <c r="AE142" s="5">
        <v>0</v>
      </c>
      <c r="AF142" s="5" t="str">
        <f t="shared" si="427"/>
        <v>NO</v>
      </c>
      <c r="AG142" s="5">
        <f t="shared" si="428"/>
        <v>26000</v>
      </c>
      <c r="AH142" s="5" t="s">
        <v>57</v>
      </c>
      <c r="AI142" s="6"/>
      <c r="AJ142" s="6"/>
      <c r="AK142" s="6">
        <f t="shared" si="429"/>
        <v>26000</v>
      </c>
      <c r="AL142" s="6">
        <f t="shared" si="430"/>
        <v>6000</v>
      </c>
      <c r="AM142" s="5">
        <v>0</v>
      </c>
      <c r="AN142" s="32">
        <f t="shared" si="431"/>
        <v>230.76923076923077</v>
      </c>
      <c r="AO142" s="32">
        <f t="shared" si="432"/>
        <v>0</v>
      </c>
      <c r="AP142" s="4">
        <v>46242</v>
      </c>
      <c r="AQ142" s="4">
        <v>46248</v>
      </c>
      <c r="AR142" s="4">
        <v>46259</v>
      </c>
      <c r="AS142" s="3">
        <v>2672</v>
      </c>
      <c r="AT142" s="6" t="str">
        <f t="shared" si="356"/>
        <v>ACTIVE</v>
      </c>
      <c r="AU142" s="6"/>
      <c r="AV142" s="6"/>
      <c r="AW142" s="6"/>
      <c r="AX142" s="6"/>
    </row>
    <row r="143" spans="1:50" ht="15.75" hidden="1">
      <c r="A143" s="35" t="str">
        <f t="shared" si="422"/>
        <v>ACTIVE</v>
      </c>
      <c r="B143" s="5" t="s">
        <v>48</v>
      </c>
      <c r="C143" s="5" t="s">
        <v>49</v>
      </c>
      <c r="D143" s="5" t="s">
        <v>50</v>
      </c>
      <c r="E143" s="5" t="s">
        <v>51</v>
      </c>
      <c r="F143" s="5" t="s">
        <v>518</v>
      </c>
      <c r="G143" s="3" t="s">
        <v>171</v>
      </c>
      <c r="H143" s="3" t="s">
        <v>163</v>
      </c>
      <c r="I143" s="3" t="s">
        <v>168</v>
      </c>
      <c r="J143" s="3">
        <v>7404474940</v>
      </c>
      <c r="K143" s="3">
        <v>30000</v>
      </c>
      <c r="L143" s="3">
        <v>2200</v>
      </c>
      <c r="M143" s="3">
        <f t="shared" si="421"/>
        <v>27800</v>
      </c>
      <c r="N143" s="3">
        <v>1000</v>
      </c>
      <c r="O143" s="29">
        <f t="shared" si="423"/>
        <v>0</v>
      </c>
      <c r="P143" s="5">
        <v>0</v>
      </c>
      <c r="Q143" s="3">
        <v>41</v>
      </c>
      <c r="R143" s="6">
        <v>0</v>
      </c>
      <c r="S143" s="6">
        <f t="shared" si="344"/>
        <v>41</v>
      </c>
      <c r="T143" s="34"/>
      <c r="U143" s="35"/>
      <c r="V143" s="35"/>
      <c r="W143" s="35">
        <f t="shared" si="345"/>
        <v>0</v>
      </c>
      <c r="X143" s="6">
        <f t="shared" si="346"/>
        <v>41000</v>
      </c>
      <c r="Y143" s="3" t="s">
        <v>69</v>
      </c>
      <c r="Z143" s="6" t="s">
        <v>525</v>
      </c>
      <c r="AA143" s="5">
        <f t="shared" si="424"/>
        <v>0</v>
      </c>
      <c r="AB143" s="5">
        <v>0</v>
      </c>
      <c r="AC143" s="5">
        <f t="shared" si="425"/>
        <v>0</v>
      </c>
      <c r="AD143" s="5">
        <f t="shared" si="426"/>
        <v>0</v>
      </c>
      <c r="AE143" s="5">
        <v>0</v>
      </c>
      <c r="AF143" s="5" t="str">
        <f t="shared" si="427"/>
        <v>NO</v>
      </c>
      <c r="AG143" s="5">
        <f t="shared" si="428"/>
        <v>41000</v>
      </c>
      <c r="AH143" s="5" t="s">
        <v>57</v>
      </c>
      <c r="AI143" s="6"/>
      <c r="AJ143" s="6"/>
      <c r="AK143" s="6">
        <f t="shared" si="429"/>
        <v>41000</v>
      </c>
      <c r="AL143" s="6">
        <f t="shared" si="430"/>
        <v>11000</v>
      </c>
      <c r="AM143" s="5">
        <v>0</v>
      </c>
      <c r="AN143" s="32">
        <f t="shared" si="431"/>
        <v>268.29268292682929</v>
      </c>
      <c r="AO143" s="32">
        <f t="shared" si="432"/>
        <v>0</v>
      </c>
      <c r="AP143" s="4">
        <v>46245</v>
      </c>
      <c r="AQ143" s="4">
        <v>46248</v>
      </c>
      <c r="AR143" s="4">
        <v>46259</v>
      </c>
      <c r="AS143" s="3">
        <v>1974</v>
      </c>
      <c r="AT143" s="6" t="str">
        <f t="shared" si="356"/>
        <v>ACTIVE</v>
      </c>
      <c r="AU143" s="6"/>
      <c r="AV143" s="6"/>
      <c r="AW143" s="6"/>
      <c r="AX143" s="6"/>
    </row>
    <row r="144" spans="1:50" ht="15.75" hidden="1">
      <c r="A144" s="35" t="str">
        <f t="shared" si="422"/>
        <v>ACTIVE</v>
      </c>
      <c r="B144" s="5" t="s">
        <v>48</v>
      </c>
      <c r="C144" s="5" t="s">
        <v>49</v>
      </c>
      <c r="D144" s="5" t="s">
        <v>50</v>
      </c>
      <c r="E144" s="5" t="s">
        <v>51</v>
      </c>
      <c r="F144" s="5" t="s">
        <v>518</v>
      </c>
      <c r="G144" s="3" t="s">
        <v>66</v>
      </c>
      <c r="H144" s="3" t="s">
        <v>121</v>
      </c>
      <c r="I144" s="3" t="s">
        <v>125</v>
      </c>
      <c r="J144" s="3">
        <v>8816907186</v>
      </c>
      <c r="K144" s="3">
        <v>30000</v>
      </c>
      <c r="L144" s="3">
        <v>2200</v>
      </c>
      <c r="M144" s="3">
        <f t="shared" si="421"/>
        <v>27800</v>
      </c>
      <c r="N144" s="3">
        <v>1000</v>
      </c>
      <c r="O144" s="29">
        <f t="shared" si="423"/>
        <v>0</v>
      </c>
      <c r="P144" s="5">
        <v>0</v>
      </c>
      <c r="Q144" s="3">
        <v>41</v>
      </c>
      <c r="R144" s="6">
        <v>0</v>
      </c>
      <c r="S144" s="6">
        <f t="shared" si="344"/>
        <v>41</v>
      </c>
      <c r="T144" s="34"/>
      <c r="U144" s="35"/>
      <c r="V144" s="35"/>
      <c r="W144" s="35">
        <f t="shared" si="345"/>
        <v>0</v>
      </c>
      <c r="X144" s="6">
        <f t="shared" si="346"/>
        <v>41000</v>
      </c>
      <c r="Y144" s="3" t="s">
        <v>69</v>
      </c>
      <c r="Z144" s="6" t="s">
        <v>526</v>
      </c>
      <c r="AA144" s="5">
        <f t="shared" si="424"/>
        <v>0</v>
      </c>
      <c r="AB144" s="5">
        <v>0</v>
      </c>
      <c r="AC144" s="5">
        <f t="shared" si="425"/>
        <v>0</v>
      </c>
      <c r="AD144" s="5">
        <f t="shared" si="426"/>
        <v>0</v>
      </c>
      <c r="AE144" s="5">
        <v>0</v>
      </c>
      <c r="AF144" s="5" t="str">
        <f t="shared" si="427"/>
        <v>NO</v>
      </c>
      <c r="AG144" s="5">
        <f t="shared" si="428"/>
        <v>41000</v>
      </c>
      <c r="AH144" s="5" t="s">
        <v>57</v>
      </c>
      <c r="AI144" s="6"/>
      <c r="AJ144" s="6"/>
      <c r="AK144" s="6">
        <f t="shared" si="429"/>
        <v>41000</v>
      </c>
      <c r="AL144" s="6">
        <f t="shared" si="430"/>
        <v>11000</v>
      </c>
      <c r="AM144" s="5">
        <v>0</v>
      </c>
      <c r="AN144" s="32">
        <f t="shared" si="431"/>
        <v>268.29268292682929</v>
      </c>
      <c r="AO144" s="32">
        <f t="shared" si="432"/>
        <v>0</v>
      </c>
      <c r="AP144" s="4">
        <v>46246</v>
      </c>
      <c r="AQ144" s="4">
        <v>46248</v>
      </c>
      <c r="AR144" s="4">
        <v>46259</v>
      </c>
      <c r="AS144" s="3">
        <v>7747</v>
      </c>
      <c r="AT144" s="6" t="str">
        <f t="shared" si="356"/>
        <v>ACTIVE</v>
      </c>
      <c r="AU144" s="6"/>
      <c r="AV144" s="6"/>
      <c r="AW144" s="6"/>
      <c r="AX144" s="6"/>
    </row>
    <row r="145" spans="1:50" ht="15.75" hidden="1">
      <c r="A145" s="35" t="str">
        <f t="shared" si="422"/>
        <v>ACTIVE</v>
      </c>
      <c r="B145" s="5" t="s">
        <v>48</v>
      </c>
      <c r="C145" s="5" t="s">
        <v>49</v>
      </c>
      <c r="D145" s="5" t="s">
        <v>50</v>
      </c>
      <c r="E145" s="5" t="s">
        <v>51</v>
      </c>
      <c r="F145" s="5" t="s">
        <v>518</v>
      </c>
      <c r="G145" s="3" t="s">
        <v>66</v>
      </c>
      <c r="H145" s="3" t="s">
        <v>528</v>
      </c>
      <c r="I145" s="3" t="s">
        <v>81</v>
      </c>
      <c r="J145" s="3">
        <v>7027566795</v>
      </c>
      <c r="K145" s="3">
        <v>30000</v>
      </c>
      <c r="L145" s="3">
        <v>2200</v>
      </c>
      <c r="M145" s="3">
        <f t="shared" si="421"/>
        <v>27800</v>
      </c>
      <c r="N145" s="3">
        <v>1000</v>
      </c>
      <c r="O145" s="29">
        <f t="shared" si="423"/>
        <v>0</v>
      </c>
      <c r="P145" s="5">
        <v>0</v>
      </c>
      <c r="Q145" s="3">
        <v>41</v>
      </c>
      <c r="R145" s="6">
        <v>0</v>
      </c>
      <c r="S145" s="6">
        <f t="shared" si="344"/>
        <v>41</v>
      </c>
      <c r="T145" s="34"/>
      <c r="U145" s="35"/>
      <c r="V145" s="35"/>
      <c r="W145" s="35">
        <f t="shared" si="345"/>
        <v>0</v>
      </c>
      <c r="X145" s="6">
        <f t="shared" si="346"/>
        <v>41000</v>
      </c>
      <c r="Y145" s="3" t="s">
        <v>69</v>
      </c>
      <c r="Z145" s="6" t="s">
        <v>527</v>
      </c>
      <c r="AA145" s="5">
        <f t="shared" si="424"/>
        <v>0</v>
      </c>
      <c r="AB145" s="5">
        <v>0</v>
      </c>
      <c r="AC145" s="5">
        <f t="shared" si="425"/>
        <v>0</v>
      </c>
      <c r="AD145" s="5">
        <f t="shared" si="426"/>
        <v>0</v>
      </c>
      <c r="AE145" s="5">
        <v>0</v>
      </c>
      <c r="AF145" s="5" t="str">
        <f t="shared" si="427"/>
        <v>NO</v>
      </c>
      <c r="AG145" s="5">
        <f t="shared" si="428"/>
        <v>41000</v>
      </c>
      <c r="AH145" s="5" t="s">
        <v>57</v>
      </c>
      <c r="AI145" s="6"/>
      <c r="AJ145" s="6"/>
      <c r="AK145" s="6">
        <f t="shared" si="429"/>
        <v>41000</v>
      </c>
      <c r="AL145" s="6">
        <f t="shared" si="430"/>
        <v>11000</v>
      </c>
      <c r="AM145" s="5">
        <v>0</v>
      </c>
      <c r="AN145" s="32">
        <f t="shared" si="431"/>
        <v>268.29268292682929</v>
      </c>
      <c r="AO145" s="32">
        <f t="shared" si="432"/>
        <v>0</v>
      </c>
      <c r="AP145" s="4">
        <v>46241</v>
      </c>
      <c r="AQ145" s="4">
        <v>46248</v>
      </c>
      <c r="AR145" s="4">
        <v>46259</v>
      </c>
      <c r="AS145" s="3">
        <v>7220</v>
      </c>
      <c r="AT145" s="6" t="str">
        <f t="shared" si="356"/>
        <v>ACTIVE</v>
      </c>
      <c r="AU145" s="6"/>
      <c r="AV145" s="6"/>
      <c r="AW145" s="6"/>
      <c r="AX145" s="6"/>
    </row>
    <row r="146" spans="1:50" ht="15.75">
      <c r="A146" s="35"/>
      <c r="B146" s="5"/>
      <c r="C146" s="5"/>
      <c r="D146" s="5"/>
      <c r="E146" s="5"/>
      <c r="F146" s="5"/>
      <c r="O146" s="29"/>
      <c r="P146" s="5"/>
      <c r="Q146" s="6"/>
      <c r="R146" s="6"/>
      <c r="S146" s="6"/>
      <c r="T146" s="34"/>
      <c r="U146" s="35"/>
      <c r="V146" s="35"/>
      <c r="W146" s="35"/>
      <c r="X146" s="6"/>
      <c r="Z146" s="6"/>
      <c r="AA146" s="5"/>
      <c r="AB146" s="5"/>
      <c r="AC146" s="5"/>
      <c r="AD146" s="5"/>
      <c r="AE146" s="5"/>
      <c r="AF146" s="5"/>
      <c r="AG146" s="5"/>
      <c r="AH146" s="5"/>
      <c r="AI146" s="6"/>
      <c r="AJ146" s="6"/>
      <c r="AK146" s="6"/>
      <c r="AL146" s="6"/>
      <c r="AM146" s="5"/>
      <c r="AN146" s="32"/>
      <c r="AO146" s="32"/>
      <c r="AP146" s="4"/>
      <c r="AQ146" s="4"/>
      <c r="AR146" s="4"/>
      <c r="AT146" s="6"/>
      <c r="AU146" s="6"/>
      <c r="AV146" s="6"/>
      <c r="AW146" s="6"/>
      <c r="AX146" s="6"/>
    </row>
    <row r="147" spans="1:50" ht="15.75">
      <c r="A147" s="35"/>
      <c r="B147" s="5"/>
      <c r="C147" s="5"/>
      <c r="D147" s="5"/>
      <c r="E147" s="5"/>
      <c r="F147" s="5"/>
      <c r="O147" s="29"/>
      <c r="P147" s="5"/>
      <c r="Q147" s="6"/>
      <c r="R147" s="6"/>
      <c r="S147" s="6"/>
      <c r="T147" s="34"/>
      <c r="U147" s="35"/>
      <c r="V147" s="35"/>
      <c r="W147" s="35"/>
      <c r="X147" s="6"/>
      <c r="Y147" s="35"/>
      <c r="Z147" s="6"/>
      <c r="AA147" s="5"/>
      <c r="AB147" s="5"/>
      <c r="AC147" s="5"/>
      <c r="AD147" s="5"/>
      <c r="AE147" s="5"/>
      <c r="AF147" s="5"/>
      <c r="AG147" s="5"/>
      <c r="AH147" s="5"/>
      <c r="AI147" s="6"/>
      <c r="AJ147" s="6"/>
      <c r="AK147" s="6"/>
      <c r="AL147" s="6"/>
      <c r="AM147" s="5"/>
      <c r="AN147" s="32"/>
      <c r="AO147" s="32"/>
      <c r="AP147" s="4"/>
      <c r="AQ147" s="4"/>
      <c r="AR147" s="4"/>
      <c r="AS147" s="6"/>
      <c r="AT147" s="6"/>
      <c r="AU147" s="6"/>
      <c r="AV147" s="6"/>
      <c r="AW147" s="6"/>
      <c r="AX147" s="6"/>
    </row>
    <row r="148" spans="1:50" ht="15.75">
      <c r="A148" s="35"/>
      <c r="B148" s="5"/>
      <c r="C148" s="5"/>
      <c r="D148" s="5"/>
      <c r="E148" s="5"/>
      <c r="F148" s="5"/>
      <c r="O148" s="29"/>
      <c r="P148" s="5"/>
      <c r="Q148" s="6"/>
      <c r="R148" s="6"/>
      <c r="S148" s="6"/>
      <c r="T148" s="34"/>
      <c r="U148" s="35"/>
      <c r="V148" s="35"/>
      <c r="W148" s="35"/>
      <c r="X148" s="6"/>
      <c r="Y148" s="35"/>
      <c r="Z148" s="6"/>
      <c r="AA148" s="5"/>
      <c r="AB148" s="5"/>
      <c r="AC148" s="5"/>
      <c r="AD148" s="5"/>
      <c r="AE148" s="5"/>
      <c r="AF148" s="5"/>
      <c r="AG148" s="5"/>
      <c r="AH148" s="5"/>
      <c r="AI148" s="6"/>
      <c r="AJ148" s="6"/>
      <c r="AK148" s="6"/>
      <c r="AL148" s="6"/>
      <c r="AM148" s="5"/>
      <c r="AN148" s="32"/>
      <c r="AO148" s="32"/>
      <c r="AP148" s="4"/>
      <c r="AQ148" s="4"/>
      <c r="AR148" s="4"/>
      <c r="AS148" s="6"/>
      <c r="AT148" s="6"/>
      <c r="AU148" s="6"/>
      <c r="AV148" s="6"/>
      <c r="AW148" s="6"/>
      <c r="AX148" s="6"/>
    </row>
    <row r="149" spans="1:50" ht="15.75">
      <c r="A149" s="35"/>
      <c r="B149" s="6"/>
      <c r="C149" s="6"/>
      <c r="D149" s="6"/>
      <c r="E149" s="6"/>
      <c r="F149" s="6"/>
      <c r="G149" s="5"/>
      <c r="H149" s="5"/>
      <c r="I149" s="5"/>
      <c r="J149" s="5"/>
      <c r="K149" s="6"/>
      <c r="L149" s="6"/>
      <c r="M149" s="6"/>
      <c r="N149" s="5"/>
      <c r="O149" s="33"/>
      <c r="P149" s="6"/>
      <c r="Q149" s="6"/>
      <c r="R149" s="6"/>
      <c r="S149" s="6"/>
      <c r="T149" s="34"/>
      <c r="U149" s="35"/>
      <c r="V149" s="35"/>
      <c r="W149" s="35"/>
      <c r="X149" s="6"/>
      <c r="Y149" s="35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14"/>
      <c r="AQ149" s="14"/>
      <c r="AR149" s="14"/>
      <c r="AS149" s="6"/>
      <c r="AT149" s="6"/>
      <c r="AU149" s="6"/>
      <c r="AV149" s="6"/>
      <c r="AW149" s="6"/>
      <c r="AX149" s="6"/>
    </row>
    <row r="150" spans="1:50" ht="15.75">
      <c r="A150" s="35"/>
      <c r="B150" s="6"/>
      <c r="C150" s="6"/>
      <c r="D150" s="6"/>
      <c r="E150" s="6"/>
      <c r="F150" s="6"/>
      <c r="G150" s="5"/>
      <c r="H150" s="5"/>
      <c r="I150" s="5"/>
      <c r="J150" s="5"/>
      <c r="K150" s="6"/>
      <c r="L150" s="6"/>
      <c r="M150" s="6"/>
      <c r="N150" s="5"/>
      <c r="O150" s="33"/>
      <c r="P150" s="6"/>
      <c r="Q150" s="6"/>
      <c r="R150" s="6"/>
      <c r="S150" s="6"/>
      <c r="T150" s="34"/>
      <c r="U150" s="35"/>
      <c r="V150" s="35"/>
      <c r="W150" s="35"/>
      <c r="X150" s="6"/>
      <c r="Y150" s="35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14"/>
      <c r="AQ150" s="14"/>
      <c r="AR150" s="14"/>
      <c r="AS150" s="6"/>
      <c r="AT150" s="6"/>
      <c r="AU150" s="6"/>
      <c r="AV150" s="6"/>
      <c r="AW150" s="6"/>
      <c r="AX150" s="6"/>
    </row>
    <row r="151" spans="1:50" ht="15.75">
      <c r="A151" s="35"/>
      <c r="B151" s="6"/>
      <c r="C151" s="6"/>
      <c r="D151" s="6"/>
      <c r="E151" s="6"/>
      <c r="F151" s="6"/>
      <c r="G151" s="5"/>
      <c r="H151" s="5"/>
      <c r="I151" s="5"/>
      <c r="J151" s="5"/>
      <c r="K151" s="6"/>
      <c r="L151" s="6"/>
      <c r="M151" s="6"/>
      <c r="N151" s="5"/>
      <c r="O151" s="33"/>
      <c r="P151" s="6"/>
      <c r="Q151" s="6"/>
      <c r="R151" s="6"/>
      <c r="S151" s="6"/>
      <c r="T151" s="34"/>
      <c r="U151" s="35"/>
      <c r="V151" s="35"/>
      <c r="W151" s="35"/>
      <c r="X151" s="6"/>
      <c r="Y151" s="35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14"/>
      <c r="AQ151" s="14"/>
      <c r="AR151" s="14"/>
      <c r="AS151" s="6"/>
      <c r="AT151" s="6"/>
      <c r="AU151" s="6"/>
      <c r="AV151" s="6"/>
      <c r="AW151" s="6"/>
      <c r="AX151" s="6"/>
    </row>
    <row r="152" spans="1:50" ht="21">
      <c r="A152" s="35"/>
      <c r="B152" s="6"/>
      <c r="C152" s="6"/>
      <c r="D152" s="6"/>
      <c r="E152" s="6"/>
      <c r="F152" s="6"/>
      <c r="G152" s="5"/>
      <c r="H152" s="5"/>
      <c r="I152" s="5"/>
      <c r="J152" s="5"/>
      <c r="K152" s="96">
        <f>SUM(K3:K151)</f>
        <v>2635000</v>
      </c>
      <c r="L152" s="96">
        <f>SUM(L3:L151)</f>
        <v>211300</v>
      </c>
      <c r="M152" s="96">
        <f>SUM(M3:M151)</f>
        <v>2423700</v>
      </c>
      <c r="N152" s="5"/>
      <c r="O152" s="33"/>
      <c r="P152" s="6"/>
      <c r="Q152" s="6"/>
      <c r="R152" s="6"/>
      <c r="S152" s="6"/>
      <c r="T152" s="34"/>
      <c r="U152" s="35"/>
      <c r="V152" s="35"/>
      <c r="W152" s="96">
        <f>SUM(W3:W151)</f>
        <v>956735</v>
      </c>
      <c r="X152" s="96">
        <f>SUM(X3:X151)</f>
        <v>2548165</v>
      </c>
      <c r="Y152" s="35"/>
      <c r="Z152" s="6"/>
      <c r="AA152" s="6"/>
      <c r="AB152" s="6"/>
      <c r="AC152" s="6"/>
      <c r="AD152" s="6"/>
      <c r="AE152" s="6"/>
      <c r="AF152" s="39"/>
      <c r="AG152" s="39"/>
      <c r="AH152" s="39"/>
      <c r="AI152" s="39"/>
      <c r="AJ152" s="39"/>
      <c r="AK152" s="96">
        <f>SUM(AK3:AK151)</f>
        <v>3526500</v>
      </c>
      <c r="AL152" s="39"/>
      <c r="AM152" s="39"/>
      <c r="AN152" s="39"/>
      <c r="AO152" s="6"/>
      <c r="AP152" s="14"/>
      <c r="AQ152" s="14"/>
      <c r="AR152" s="14"/>
      <c r="AS152" s="6"/>
      <c r="AT152" s="6"/>
      <c r="AU152" s="6"/>
      <c r="AV152" s="6"/>
      <c r="AW152" s="6"/>
      <c r="AX152" s="6"/>
    </row>
    <row r="153" spans="1:50" ht="23.25">
      <c r="A153" s="35"/>
      <c r="B153" s="6"/>
      <c r="C153" s="6"/>
      <c r="D153" s="6"/>
      <c r="E153" s="6"/>
      <c r="F153" s="6"/>
      <c r="G153" s="5"/>
      <c r="H153" s="5"/>
      <c r="I153" s="5"/>
      <c r="J153" s="5"/>
      <c r="K153" s="36"/>
      <c r="L153" s="36"/>
      <c r="M153" s="36"/>
      <c r="N153" s="5"/>
      <c r="O153" s="33"/>
      <c r="P153" s="6"/>
      <c r="Q153" s="6"/>
      <c r="R153" s="6"/>
      <c r="S153" s="6"/>
      <c r="T153" s="34"/>
      <c r="U153" s="35"/>
      <c r="V153" s="35"/>
      <c r="W153" s="35"/>
      <c r="X153" s="6"/>
      <c r="Y153" s="35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14"/>
      <c r="AQ153" s="14"/>
      <c r="AR153" s="14"/>
      <c r="AS153" s="6"/>
      <c r="AT153" s="6"/>
      <c r="AU153" s="6"/>
      <c r="AV153" s="6"/>
      <c r="AW153" s="6"/>
      <c r="AX153" s="6"/>
    </row>
    <row r="154" spans="1:50" ht="15.75">
      <c r="A154" s="16"/>
      <c r="G154" s="10"/>
      <c r="H154" s="10"/>
      <c r="I154" s="10"/>
      <c r="J154" s="5"/>
      <c r="W154" s="16"/>
      <c r="Y154" s="16"/>
      <c r="AP154" s="4"/>
      <c r="AQ154" s="4"/>
      <c r="AR154" s="4"/>
    </row>
    <row r="155" spans="1:50" ht="15.75">
      <c r="A155" s="16"/>
      <c r="I155" s="10"/>
      <c r="J155" s="5"/>
      <c r="K155" s="10"/>
      <c r="L155" s="10"/>
      <c r="P155" s="10"/>
      <c r="Y155" s="16"/>
      <c r="AA155" s="16"/>
      <c r="AR155" s="4"/>
      <c r="AT155" s="4"/>
      <c r="AU155" s="4"/>
    </row>
    <row r="156" spans="1:50" ht="26.25">
      <c r="L156" s="140" t="s">
        <v>531</v>
      </c>
      <c r="M156" s="140"/>
      <c r="N156" s="140"/>
      <c r="O156" s="141"/>
      <c r="P156" s="140"/>
      <c r="Q156" s="140"/>
      <c r="R156" s="140"/>
      <c r="S156" s="140"/>
      <c r="T156" s="140"/>
    </row>
  </sheetData>
  <autoFilter ref="A2:AX145" xr:uid="{00000000-0001-0000-0000-000000000000}">
    <filterColumn colId="23">
      <filters>
        <filter val="10500"/>
        <filter val="11250"/>
        <filter val="12000"/>
        <filter val="12750"/>
        <filter val="15200"/>
        <filter val="15390"/>
        <filter val="16000"/>
        <filter val="17010"/>
        <filter val="17600"/>
        <filter val="17820"/>
        <filter val="18400"/>
        <filter val="19000"/>
        <filter val="19440"/>
        <filter val="20000"/>
        <filter val="20800"/>
        <filter val="21000"/>
        <filter val="23000"/>
        <filter val="24000"/>
        <filter val="25000"/>
        <filter val="26000"/>
        <filter val="41000"/>
        <filter val="8250"/>
      </filters>
    </filterColumn>
    <filterColumn colId="24">
      <filters>
        <filter val="TUE"/>
      </filters>
    </filterColumn>
    <filterColumn colId="43">
      <filters>
        <dateGroupItem year="2026" month="5" dateTimeGrouping="month"/>
        <dateGroupItem year="2026" month="6" dateTimeGrouping="month"/>
        <dateGroupItem year="2026" month="7" dateTimeGrouping="month"/>
        <dateGroupItem year="2026" month="8" day="11" dateTimeGrouping="day"/>
        <dateGroupItem year="2026" month="8" day="18" dateTimeGrouping="day"/>
      </filters>
    </filterColumn>
  </autoFilter>
  <mergeCells count="2">
    <mergeCell ref="A1:AX1"/>
    <mergeCell ref="L156:T156"/>
  </mergeCells>
  <phoneticPr fontId="46" type="noConversion"/>
  <conditionalFormatting sqref="AF3:AF148">
    <cfRule type="containsText" dxfId="3" priority="4" operator="containsText" text="YES">
      <formula>NOT(ISERROR(SEARCH("YES",AF3)))</formula>
    </cfRule>
  </conditionalFormatting>
  <conditionalFormatting sqref="AH3:AH148">
    <cfRule type="containsText" dxfId="2" priority="3" operator="containsText" text="YES">
      <formula>NOT(ISERROR(SEARCH("YES",AH3)))</formula>
    </cfRule>
  </conditionalFormatting>
  <conditionalFormatting sqref="AT3:AT70 A3:A81">
    <cfRule type="containsText" dxfId="1" priority="1" operator="containsText" text="CLOSE">
      <formula>NOT(ISERROR(SEARCH("CLOSE",A3)))</formula>
    </cfRule>
    <cfRule type="containsText" dxfId="0" priority="2" operator="containsText" text="ACTIVE">
      <formula>NOT(ISERROR(SEARCH("ACTIVE",A3)))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Q1468"/>
  <sheetViews>
    <sheetView tabSelected="1" topLeftCell="E1456" zoomScale="136" workbookViewId="0">
      <selection activeCell="A1391" sqref="A1391:P1468"/>
    </sheetView>
  </sheetViews>
  <sheetFormatPr defaultColWidth="9.140625" defaultRowHeight="15"/>
  <cols>
    <col min="1" max="1" width="5.42578125" customWidth="1"/>
    <col min="2" max="2" width="11.140625"/>
    <col min="3" max="3" width="11.28515625" customWidth="1"/>
    <col min="4" max="4" width="7" customWidth="1"/>
    <col min="5" max="5" width="21.7109375" customWidth="1"/>
    <col min="6" max="6" width="15.5703125" customWidth="1"/>
    <col min="7" max="7" width="16.28515625" bestFit="1" customWidth="1"/>
    <col min="8" max="8" width="13.28515625" customWidth="1"/>
    <col min="10" max="10" width="6.85546875" customWidth="1"/>
    <col min="12" max="12" width="6.5703125" customWidth="1"/>
    <col min="13" max="13" width="6" customWidth="1"/>
    <col min="15" max="16" width="9.85546875" bestFit="1" customWidth="1"/>
  </cols>
  <sheetData>
    <row r="3" spans="1:16" ht="27.75">
      <c r="A3" s="142" t="s">
        <v>102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</row>
    <row r="4" spans="1:16" ht="75">
      <c r="A4" s="1" t="s">
        <v>87</v>
      </c>
      <c r="B4" s="1" t="s">
        <v>103</v>
      </c>
      <c r="C4" s="1" t="s">
        <v>88</v>
      </c>
      <c r="D4" s="1" t="s">
        <v>104</v>
      </c>
      <c r="E4" s="1" t="s">
        <v>105</v>
      </c>
      <c r="F4" s="1" t="s">
        <v>106</v>
      </c>
      <c r="G4" s="1" t="s">
        <v>93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21</v>
      </c>
      <c r="M4" s="1" t="s">
        <v>45</v>
      </c>
      <c r="N4" s="1" t="s">
        <v>111</v>
      </c>
      <c r="O4" s="2" t="s">
        <v>112</v>
      </c>
      <c r="P4" s="1" t="s">
        <v>113</v>
      </c>
    </row>
    <row r="5" spans="1:16" ht="15.75">
      <c r="A5" s="3">
        <v>1</v>
      </c>
      <c r="B5" s="4">
        <v>46141</v>
      </c>
      <c r="C5" s="3" t="s">
        <v>51</v>
      </c>
      <c r="D5" s="5" t="s">
        <v>56</v>
      </c>
      <c r="E5" s="5" t="s">
        <v>49</v>
      </c>
      <c r="F5" s="5" t="s">
        <v>53</v>
      </c>
      <c r="G5" s="5" t="s">
        <v>54</v>
      </c>
      <c r="H5" s="5">
        <v>9416205447</v>
      </c>
      <c r="I5" s="6">
        <v>750</v>
      </c>
      <c r="J5" s="3" t="s">
        <v>109</v>
      </c>
      <c r="K5" s="6">
        <v>750</v>
      </c>
      <c r="L5" s="6"/>
      <c r="M5" s="3"/>
      <c r="N5" s="3">
        <f>K5+L5</f>
        <v>750</v>
      </c>
      <c r="O5" s="5">
        <v>19500</v>
      </c>
      <c r="P5" s="5">
        <f>O5-N5</f>
        <v>18750</v>
      </c>
    </row>
    <row r="6" spans="1:16" ht="15.75">
      <c r="A6" s="3">
        <v>2</v>
      </c>
      <c r="B6" s="4">
        <v>46141</v>
      </c>
      <c r="C6" s="3" t="s">
        <v>51</v>
      </c>
      <c r="D6" s="5" t="s">
        <v>61</v>
      </c>
      <c r="E6" s="5" t="s">
        <v>58</v>
      </c>
      <c r="F6" s="5" t="s">
        <v>59</v>
      </c>
      <c r="G6" s="5" t="s">
        <v>60</v>
      </c>
      <c r="H6" s="5">
        <v>7082390753</v>
      </c>
      <c r="I6" s="6">
        <v>750</v>
      </c>
      <c r="J6" s="3" t="s">
        <v>109</v>
      </c>
      <c r="K6" s="6">
        <v>750</v>
      </c>
      <c r="L6" s="6"/>
      <c r="M6" s="3"/>
      <c r="N6" s="3">
        <f>K6+L6</f>
        <v>750</v>
      </c>
      <c r="O6" s="5">
        <v>19500</v>
      </c>
      <c r="P6" s="5">
        <f>O6-N6</f>
        <v>18750</v>
      </c>
    </row>
    <row r="7" spans="1:16" ht="15.75">
      <c r="A7" s="3">
        <v>3</v>
      </c>
      <c r="B7" s="4">
        <v>46141</v>
      </c>
      <c r="C7" s="3" t="s">
        <v>51</v>
      </c>
      <c r="D7" s="5" t="s">
        <v>65</v>
      </c>
      <c r="E7" s="5" t="s">
        <v>62</v>
      </c>
      <c r="F7" s="5" t="s">
        <v>63</v>
      </c>
      <c r="G7" s="5" t="s">
        <v>64</v>
      </c>
      <c r="H7" s="5">
        <v>9050560127</v>
      </c>
      <c r="I7" s="6">
        <v>750</v>
      </c>
      <c r="J7" s="3" t="s">
        <v>109</v>
      </c>
      <c r="K7" s="6">
        <v>750</v>
      </c>
      <c r="L7" s="6"/>
      <c r="M7" s="3"/>
      <c r="N7" s="3">
        <f>K7+L7</f>
        <v>750</v>
      </c>
      <c r="O7" s="5">
        <v>19500</v>
      </c>
      <c r="P7" s="5">
        <f>O7-N7</f>
        <v>18750</v>
      </c>
    </row>
    <row r="8" spans="1:16" ht="15.75">
      <c r="A8" s="3">
        <v>4</v>
      </c>
      <c r="B8" s="4">
        <v>46141</v>
      </c>
      <c r="C8" s="3" t="s">
        <v>51</v>
      </c>
      <c r="D8" s="5" t="s">
        <v>76</v>
      </c>
      <c r="E8" s="5" t="s">
        <v>62</v>
      </c>
      <c r="F8" s="6" t="s">
        <v>74</v>
      </c>
      <c r="G8" s="6" t="s">
        <v>75</v>
      </c>
      <c r="H8" s="6">
        <v>8607782625</v>
      </c>
      <c r="I8" s="6">
        <v>750</v>
      </c>
      <c r="J8" s="3" t="s">
        <v>109</v>
      </c>
      <c r="K8" s="6">
        <v>750</v>
      </c>
      <c r="L8" s="6"/>
      <c r="M8" s="3"/>
      <c r="N8" s="3">
        <f>K8+L8</f>
        <v>750</v>
      </c>
      <c r="O8" s="5">
        <v>19500</v>
      </c>
      <c r="P8" s="5">
        <f>O8-N8</f>
        <v>18750</v>
      </c>
    </row>
    <row r="9" spans="1:16" ht="15.75">
      <c r="A9" s="7"/>
      <c r="B9" s="7"/>
      <c r="C9" s="8"/>
      <c r="D9" s="7"/>
      <c r="E9" s="7"/>
      <c r="F9" s="7"/>
      <c r="G9" s="7"/>
      <c r="H9" s="7"/>
      <c r="I9" s="9">
        <v>3000</v>
      </c>
      <c r="J9" s="6"/>
      <c r="K9" s="9">
        <v>3000</v>
      </c>
      <c r="L9" s="6"/>
      <c r="M9" s="6"/>
      <c r="N9" s="9">
        <v>3000</v>
      </c>
      <c r="O9" s="9">
        <f>SUM(O5:O8)</f>
        <v>78000</v>
      </c>
      <c r="P9" s="9">
        <f>SUM(P5:P8)</f>
        <v>75000</v>
      </c>
    </row>
    <row r="15" spans="1:16" ht="27.75">
      <c r="A15" s="142" t="s">
        <v>155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</row>
    <row r="16" spans="1:16" ht="75">
      <c r="A16" s="1" t="s">
        <v>87</v>
      </c>
      <c r="B16" s="1" t="s">
        <v>103</v>
      </c>
      <c r="C16" s="1" t="s">
        <v>88</v>
      </c>
      <c r="D16" s="1" t="s">
        <v>104</v>
      </c>
      <c r="E16" s="1" t="s">
        <v>105</v>
      </c>
      <c r="F16" s="1" t="s">
        <v>106</v>
      </c>
      <c r="G16" s="1" t="s">
        <v>93</v>
      </c>
      <c r="H16" s="1" t="s">
        <v>107</v>
      </c>
      <c r="I16" s="1" t="s">
        <v>108</v>
      </c>
      <c r="J16" s="1" t="s">
        <v>109</v>
      </c>
      <c r="K16" s="1" t="s">
        <v>110</v>
      </c>
      <c r="L16" s="1" t="s">
        <v>21</v>
      </c>
      <c r="M16" s="1" t="s">
        <v>45</v>
      </c>
      <c r="N16" s="1" t="s">
        <v>111</v>
      </c>
      <c r="O16" s="2" t="s">
        <v>112</v>
      </c>
      <c r="P16" s="1" t="s">
        <v>113</v>
      </c>
    </row>
    <row r="17" spans="1:16" ht="15.75">
      <c r="A17" s="3">
        <v>1</v>
      </c>
      <c r="B17" s="4">
        <v>46147</v>
      </c>
      <c r="C17" s="3" t="s">
        <v>51</v>
      </c>
      <c r="D17" s="5" t="s">
        <v>70</v>
      </c>
      <c r="E17" s="5" t="s">
        <v>66</v>
      </c>
      <c r="F17" s="5" t="s">
        <v>67</v>
      </c>
      <c r="G17" s="5" t="s">
        <v>68</v>
      </c>
      <c r="H17" s="5">
        <v>8395916139</v>
      </c>
      <c r="I17" s="5">
        <v>800</v>
      </c>
      <c r="J17" s="3" t="s">
        <v>109</v>
      </c>
      <c r="K17" s="5">
        <v>800</v>
      </c>
      <c r="L17" s="6"/>
      <c r="M17" s="3"/>
      <c r="N17" s="5">
        <v>800</v>
      </c>
      <c r="O17" s="5">
        <v>27200</v>
      </c>
      <c r="P17" s="5">
        <f>O17-N17</f>
        <v>26400</v>
      </c>
    </row>
    <row r="18" spans="1:16" ht="15.75">
      <c r="A18" s="3">
        <v>2</v>
      </c>
      <c r="B18" s="4">
        <v>46147</v>
      </c>
      <c r="C18" s="3" t="s">
        <v>51</v>
      </c>
      <c r="D18" s="5" t="s">
        <v>73</v>
      </c>
      <c r="E18" s="5" t="s">
        <v>66</v>
      </c>
      <c r="F18" s="5" t="s">
        <v>71</v>
      </c>
      <c r="G18" s="5" t="s">
        <v>72</v>
      </c>
      <c r="H18" s="5">
        <v>7289049720</v>
      </c>
      <c r="I18" s="5">
        <v>750</v>
      </c>
      <c r="J18" s="3" t="s">
        <v>109</v>
      </c>
      <c r="K18" s="5">
        <v>750</v>
      </c>
      <c r="L18" s="6"/>
      <c r="M18" s="3"/>
      <c r="N18" s="5">
        <v>750</v>
      </c>
      <c r="O18" s="5">
        <v>19500</v>
      </c>
      <c r="P18" s="5">
        <f t="shared" ref="P18:P23" si="0">O18-N18</f>
        <v>18750</v>
      </c>
    </row>
    <row r="19" spans="1:16" ht="15.75">
      <c r="A19" s="3">
        <v>3</v>
      </c>
      <c r="B19" s="4">
        <v>46147</v>
      </c>
      <c r="C19" s="3" t="s">
        <v>51</v>
      </c>
      <c r="D19" s="5" t="s">
        <v>79</v>
      </c>
      <c r="E19" s="5" t="s">
        <v>66</v>
      </c>
      <c r="F19" s="6" t="s">
        <v>77</v>
      </c>
      <c r="G19" s="6" t="s">
        <v>78</v>
      </c>
      <c r="H19" s="6">
        <v>7355817478</v>
      </c>
      <c r="I19" s="5">
        <v>750</v>
      </c>
      <c r="J19" s="3" t="s">
        <v>109</v>
      </c>
      <c r="K19" s="5">
        <v>750</v>
      </c>
      <c r="L19" s="6"/>
      <c r="M19" s="3"/>
      <c r="N19" s="5">
        <v>750</v>
      </c>
      <c r="O19" s="5">
        <v>19500</v>
      </c>
      <c r="P19" s="5">
        <f t="shared" si="0"/>
        <v>18750</v>
      </c>
    </row>
    <row r="20" spans="1:16" ht="15.75">
      <c r="A20" s="3">
        <v>4</v>
      </c>
      <c r="B20" s="4">
        <v>46147</v>
      </c>
      <c r="C20" s="3" t="s">
        <v>51</v>
      </c>
      <c r="D20" s="5" t="s">
        <v>82</v>
      </c>
      <c r="E20" s="6" t="s">
        <v>66</v>
      </c>
      <c r="F20" s="6" t="s">
        <v>80</v>
      </c>
      <c r="G20" s="6" t="s">
        <v>81</v>
      </c>
      <c r="H20" s="6">
        <v>7027566795</v>
      </c>
      <c r="I20" s="5">
        <v>800</v>
      </c>
      <c r="J20" s="3" t="s">
        <v>109</v>
      </c>
      <c r="K20" s="5">
        <v>800</v>
      </c>
      <c r="L20" s="6"/>
      <c r="M20" s="3"/>
      <c r="N20" s="5">
        <v>800</v>
      </c>
      <c r="O20" s="5">
        <v>27200</v>
      </c>
      <c r="P20" s="5">
        <f t="shared" si="0"/>
        <v>26400</v>
      </c>
    </row>
    <row r="21" spans="1:16" ht="15.75">
      <c r="A21" s="3">
        <v>5</v>
      </c>
      <c r="B21" s="4">
        <v>46147</v>
      </c>
      <c r="C21" s="3" t="s">
        <v>51</v>
      </c>
      <c r="D21" s="5" t="s">
        <v>85</v>
      </c>
      <c r="E21" s="6" t="s">
        <v>66</v>
      </c>
      <c r="F21" s="5" t="s">
        <v>83</v>
      </c>
      <c r="G21" s="5" t="s">
        <v>84</v>
      </c>
      <c r="H21" s="5">
        <v>9992825464</v>
      </c>
      <c r="I21" s="5">
        <v>800</v>
      </c>
      <c r="J21" s="6" t="s">
        <v>109</v>
      </c>
      <c r="K21" s="5">
        <v>800</v>
      </c>
      <c r="L21" s="6"/>
      <c r="M21" s="3"/>
      <c r="N21" s="5">
        <v>800</v>
      </c>
      <c r="O21" s="5">
        <v>27200</v>
      </c>
      <c r="P21" s="5">
        <f t="shared" si="0"/>
        <v>26400</v>
      </c>
    </row>
    <row r="22" spans="1:16" ht="15.75">
      <c r="A22" s="3">
        <v>6</v>
      </c>
      <c r="B22" s="4">
        <v>46147</v>
      </c>
      <c r="C22" s="3" t="s">
        <v>51</v>
      </c>
      <c r="D22" s="41" t="s">
        <v>114</v>
      </c>
      <c r="E22" s="41" t="s">
        <v>66</v>
      </c>
      <c r="F22" s="41" t="s">
        <v>120</v>
      </c>
      <c r="G22" s="41" t="s">
        <v>124</v>
      </c>
      <c r="H22" s="41">
        <v>8295596976</v>
      </c>
      <c r="I22" s="41">
        <v>750</v>
      </c>
      <c r="J22" s="7" t="s">
        <v>109</v>
      </c>
      <c r="K22" s="41">
        <v>750</v>
      </c>
      <c r="L22" s="7"/>
      <c r="M22" s="7"/>
      <c r="N22" s="41">
        <v>750</v>
      </c>
      <c r="O22" s="5">
        <v>19500</v>
      </c>
      <c r="P22" s="5">
        <f t="shared" si="0"/>
        <v>18750</v>
      </c>
    </row>
    <row r="23" spans="1:16" ht="15.75">
      <c r="A23" s="3">
        <v>7</v>
      </c>
      <c r="B23" s="4">
        <v>46147</v>
      </c>
      <c r="C23" s="3" t="s">
        <v>51</v>
      </c>
      <c r="D23" s="41" t="s">
        <v>115</v>
      </c>
      <c r="E23" s="41" t="s">
        <v>66</v>
      </c>
      <c r="F23" s="41" t="s">
        <v>121</v>
      </c>
      <c r="G23" s="41" t="s">
        <v>125</v>
      </c>
      <c r="H23" s="41">
        <v>8816907186</v>
      </c>
      <c r="I23" s="41">
        <v>750</v>
      </c>
      <c r="J23" s="7" t="s">
        <v>109</v>
      </c>
      <c r="K23" s="41">
        <v>750</v>
      </c>
      <c r="L23" s="7"/>
      <c r="M23" s="7"/>
      <c r="N23" s="41">
        <v>750</v>
      </c>
      <c r="O23" s="5">
        <v>19500</v>
      </c>
      <c r="P23" s="5">
        <f t="shared" si="0"/>
        <v>18750</v>
      </c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18.75">
      <c r="A25" s="7"/>
      <c r="B25" s="7"/>
      <c r="C25" s="7"/>
      <c r="D25" s="7"/>
      <c r="E25" s="7"/>
      <c r="F25" s="7"/>
      <c r="G25" s="7"/>
      <c r="H25" s="7"/>
      <c r="I25" s="48">
        <f>SUM(I17:I24)</f>
        <v>5400</v>
      </c>
      <c r="J25" s="48"/>
      <c r="K25" s="48">
        <f>SUM(K17:K24)</f>
        <v>5400</v>
      </c>
      <c r="L25" s="48"/>
      <c r="M25" s="48"/>
      <c r="N25" s="48">
        <f>SUM(N17:N24)</f>
        <v>5400</v>
      </c>
      <c r="O25" s="48">
        <f>SUM(O17:O24)</f>
        <v>159600</v>
      </c>
      <c r="P25" s="48">
        <f>SUM(P17:P24)</f>
        <v>154200</v>
      </c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30" spans="1:16" ht="27.75">
      <c r="A30" s="142" t="s">
        <v>102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</row>
    <row r="31" spans="1:16" ht="75">
      <c r="A31" s="1" t="s">
        <v>87</v>
      </c>
      <c r="B31" s="1" t="s">
        <v>103</v>
      </c>
      <c r="C31" s="1" t="s">
        <v>88</v>
      </c>
      <c r="D31" s="1" t="s">
        <v>104</v>
      </c>
      <c r="E31" s="1" t="s">
        <v>105</v>
      </c>
      <c r="F31" s="1" t="s">
        <v>106</v>
      </c>
      <c r="G31" s="1" t="s">
        <v>93</v>
      </c>
      <c r="H31" s="1" t="s">
        <v>107</v>
      </c>
      <c r="I31" s="1" t="s">
        <v>108</v>
      </c>
      <c r="J31" s="1" t="s">
        <v>109</v>
      </c>
      <c r="K31" s="1" t="s">
        <v>110</v>
      </c>
      <c r="L31" s="1" t="s">
        <v>21</v>
      </c>
      <c r="M31" s="1" t="s">
        <v>45</v>
      </c>
      <c r="N31" s="1" t="s">
        <v>111</v>
      </c>
      <c r="O31" s="2" t="s">
        <v>112</v>
      </c>
      <c r="P31" s="1" t="s">
        <v>113</v>
      </c>
    </row>
    <row r="32" spans="1:16" ht="15.75">
      <c r="A32" s="3">
        <v>1</v>
      </c>
      <c r="B32" s="4">
        <v>46148</v>
      </c>
      <c r="C32" s="3" t="s">
        <v>51</v>
      </c>
      <c r="D32" s="5" t="s">
        <v>56</v>
      </c>
      <c r="E32" s="5" t="s">
        <v>49</v>
      </c>
      <c r="F32" s="5" t="s">
        <v>53</v>
      </c>
      <c r="G32" s="5" t="s">
        <v>54</v>
      </c>
      <c r="H32" s="5">
        <v>9416205447</v>
      </c>
      <c r="I32" s="6">
        <v>750</v>
      </c>
      <c r="J32" s="3" t="s">
        <v>109</v>
      </c>
      <c r="K32" s="6">
        <v>750</v>
      </c>
      <c r="L32" s="6"/>
      <c r="M32" s="3"/>
      <c r="N32" s="3">
        <f>K32+L32</f>
        <v>750</v>
      </c>
      <c r="O32" s="5">
        <v>18750</v>
      </c>
      <c r="P32" s="5">
        <f>O32-N32</f>
        <v>18000</v>
      </c>
    </row>
    <row r="33" spans="1:16" ht="15.75">
      <c r="A33" s="3">
        <v>2</v>
      </c>
      <c r="B33" s="4">
        <v>46148</v>
      </c>
      <c r="C33" s="3" t="s">
        <v>51</v>
      </c>
      <c r="D33" s="5" t="s">
        <v>61</v>
      </c>
      <c r="E33" s="5" t="s">
        <v>58</v>
      </c>
      <c r="F33" s="5" t="s">
        <v>59</v>
      </c>
      <c r="G33" s="5" t="s">
        <v>60</v>
      </c>
      <c r="H33" s="5">
        <v>7082390753</v>
      </c>
      <c r="I33" s="6">
        <v>750</v>
      </c>
      <c r="J33" s="3" t="s">
        <v>109</v>
      </c>
      <c r="K33" s="6">
        <v>750</v>
      </c>
      <c r="L33" s="6"/>
      <c r="M33" s="3"/>
      <c r="N33" s="3">
        <f t="shared" ref="N33:N37" si="1">K33+L33</f>
        <v>750</v>
      </c>
      <c r="O33" s="5">
        <v>18750</v>
      </c>
      <c r="P33" s="5">
        <f t="shared" ref="P33:P37" si="2">O33-N33</f>
        <v>18000</v>
      </c>
    </row>
    <row r="34" spans="1:16" ht="15.75">
      <c r="A34" s="3">
        <v>3</v>
      </c>
      <c r="B34" s="4">
        <v>46148</v>
      </c>
      <c r="C34" s="3" t="s">
        <v>51</v>
      </c>
      <c r="D34" s="5" t="s">
        <v>65</v>
      </c>
      <c r="E34" s="5" t="s">
        <v>62</v>
      </c>
      <c r="F34" s="5" t="s">
        <v>63</v>
      </c>
      <c r="G34" s="5" t="s">
        <v>64</v>
      </c>
      <c r="H34" s="5">
        <v>9050560127</v>
      </c>
      <c r="I34" s="6">
        <v>750</v>
      </c>
      <c r="J34" s="3" t="s">
        <v>109</v>
      </c>
      <c r="K34" s="6">
        <v>750</v>
      </c>
      <c r="L34" s="6"/>
      <c r="M34" s="3"/>
      <c r="N34" s="3">
        <f t="shared" si="1"/>
        <v>750</v>
      </c>
      <c r="O34" s="5">
        <v>18750</v>
      </c>
      <c r="P34" s="5">
        <f t="shared" si="2"/>
        <v>18000</v>
      </c>
    </row>
    <row r="35" spans="1:16" ht="15.75">
      <c r="A35" s="3">
        <v>4</v>
      </c>
      <c r="B35" s="4">
        <v>46148</v>
      </c>
      <c r="C35" s="3" t="s">
        <v>51</v>
      </c>
      <c r="D35" s="5" t="s">
        <v>76</v>
      </c>
      <c r="E35" s="5" t="s">
        <v>62</v>
      </c>
      <c r="F35" s="6" t="s">
        <v>74</v>
      </c>
      <c r="G35" s="6" t="s">
        <v>75</v>
      </c>
      <c r="H35" s="6">
        <v>8607782625</v>
      </c>
      <c r="I35" s="6">
        <v>750</v>
      </c>
      <c r="J35" s="3" t="s">
        <v>109</v>
      </c>
      <c r="K35" s="6">
        <v>750</v>
      </c>
      <c r="L35" s="6"/>
      <c r="M35" s="3"/>
      <c r="N35" s="3">
        <f t="shared" si="1"/>
        <v>750</v>
      </c>
      <c r="O35" s="5">
        <v>18750</v>
      </c>
      <c r="P35" s="5">
        <f t="shared" si="2"/>
        <v>18000</v>
      </c>
    </row>
    <row r="36" spans="1:16" ht="15.75">
      <c r="A36" s="3">
        <v>5</v>
      </c>
      <c r="B36" s="4">
        <v>46148</v>
      </c>
      <c r="C36" s="3" t="s">
        <v>51</v>
      </c>
      <c r="D36" s="5" t="s">
        <v>156</v>
      </c>
      <c r="E36" s="41" t="s">
        <v>118</v>
      </c>
      <c r="F36" s="41" t="s">
        <v>122</v>
      </c>
      <c r="G36" s="41" t="s">
        <v>126</v>
      </c>
      <c r="H36" s="41">
        <v>9971164371</v>
      </c>
      <c r="I36" s="6">
        <v>750</v>
      </c>
      <c r="J36" s="3" t="s">
        <v>109</v>
      </c>
      <c r="K36" s="6">
        <v>750</v>
      </c>
      <c r="L36" s="6"/>
      <c r="M36" s="3"/>
      <c r="N36" s="3">
        <f t="shared" si="1"/>
        <v>750</v>
      </c>
      <c r="O36" s="5">
        <v>19500</v>
      </c>
      <c r="P36" s="5">
        <f t="shared" si="2"/>
        <v>18750</v>
      </c>
    </row>
    <row r="37" spans="1:16" ht="15.75">
      <c r="A37" s="3">
        <v>6</v>
      </c>
      <c r="B37" s="4">
        <v>46148</v>
      </c>
      <c r="C37" s="3" t="s">
        <v>51</v>
      </c>
      <c r="D37" s="5" t="s">
        <v>157</v>
      </c>
      <c r="E37" s="41" t="s">
        <v>119</v>
      </c>
      <c r="F37" s="41" t="s">
        <v>123</v>
      </c>
      <c r="G37" s="41" t="s">
        <v>127</v>
      </c>
      <c r="H37" s="41">
        <v>8816966347</v>
      </c>
      <c r="I37" s="6">
        <v>750</v>
      </c>
      <c r="J37" s="3" t="s">
        <v>109</v>
      </c>
      <c r="K37" s="6">
        <v>750</v>
      </c>
      <c r="L37" s="6"/>
      <c r="M37" s="3"/>
      <c r="N37" s="3">
        <f t="shared" si="1"/>
        <v>750</v>
      </c>
      <c r="O37" s="5">
        <v>19500</v>
      </c>
      <c r="P37" s="5">
        <f t="shared" si="2"/>
        <v>18750</v>
      </c>
    </row>
    <row r="38" spans="1:16" ht="15.75">
      <c r="A38" s="3"/>
      <c r="B38" s="4"/>
      <c r="C38" s="3"/>
      <c r="D38" s="5"/>
      <c r="E38" s="5"/>
      <c r="F38" s="6"/>
      <c r="G38" s="6"/>
      <c r="H38" s="6"/>
      <c r="I38" s="6"/>
      <c r="J38" s="3"/>
      <c r="K38" s="6"/>
      <c r="L38" s="6"/>
      <c r="M38" s="3"/>
      <c r="N38" s="3"/>
      <c r="O38" s="5"/>
      <c r="P38" s="5"/>
    </row>
    <row r="39" spans="1:16" ht="15.75">
      <c r="A39" s="7"/>
      <c r="B39" s="7"/>
      <c r="C39" s="8"/>
      <c r="D39" s="7"/>
      <c r="E39" s="7"/>
      <c r="F39" s="7"/>
      <c r="G39" s="7"/>
      <c r="H39" s="7"/>
      <c r="I39" s="9">
        <f>SUM(I32:I38)</f>
        <v>4500</v>
      </c>
      <c r="J39" s="6"/>
      <c r="K39" s="9">
        <f>SUM(K32:K38)</f>
        <v>4500</v>
      </c>
      <c r="L39" s="6"/>
      <c r="M39" s="6"/>
      <c r="N39" s="9">
        <f>SUM(N32:N38)</f>
        <v>4500</v>
      </c>
      <c r="O39" s="9">
        <f>SUM(O32:O38)</f>
        <v>114000</v>
      </c>
      <c r="P39" s="9">
        <f>SUM(P32:P38)</f>
        <v>109500</v>
      </c>
    </row>
    <row r="44" spans="1:16" ht="27.75">
      <c r="A44" s="142" t="s">
        <v>155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</row>
    <row r="45" spans="1:16" ht="75">
      <c r="A45" s="1" t="s">
        <v>87</v>
      </c>
      <c r="B45" s="1" t="s">
        <v>103</v>
      </c>
      <c r="C45" s="1" t="s">
        <v>88</v>
      </c>
      <c r="D45" s="1" t="s">
        <v>104</v>
      </c>
      <c r="E45" s="1" t="s">
        <v>105</v>
      </c>
      <c r="F45" s="1" t="s">
        <v>106</v>
      </c>
      <c r="G45" s="1" t="s">
        <v>93</v>
      </c>
      <c r="H45" s="1" t="s">
        <v>107</v>
      </c>
      <c r="I45" s="1" t="s">
        <v>108</v>
      </c>
      <c r="J45" s="1" t="s">
        <v>109</v>
      </c>
      <c r="K45" s="1" t="s">
        <v>110</v>
      </c>
      <c r="L45" s="1" t="s">
        <v>21</v>
      </c>
      <c r="M45" s="1" t="s">
        <v>45</v>
      </c>
      <c r="N45" s="1" t="s">
        <v>111</v>
      </c>
      <c r="O45" s="2" t="s">
        <v>112</v>
      </c>
      <c r="P45" s="1" t="s">
        <v>113</v>
      </c>
    </row>
    <row r="46" spans="1:16" ht="15.75">
      <c r="A46" s="3">
        <v>1</v>
      </c>
      <c r="B46" s="4">
        <v>46154</v>
      </c>
      <c r="C46" s="3" t="s">
        <v>51</v>
      </c>
      <c r="D46" s="5" t="s">
        <v>70</v>
      </c>
      <c r="E46" s="5" t="s">
        <v>66</v>
      </c>
      <c r="F46" s="5" t="s">
        <v>67</v>
      </c>
      <c r="G46" s="5" t="s">
        <v>68</v>
      </c>
      <c r="H46" s="5">
        <v>8395916139</v>
      </c>
      <c r="I46" s="5">
        <v>800</v>
      </c>
      <c r="J46" s="3" t="s">
        <v>109</v>
      </c>
      <c r="K46" s="5">
        <v>800</v>
      </c>
      <c r="L46" s="6"/>
      <c r="M46" s="3"/>
      <c r="N46" s="5">
        <f>K46+L46</f>
        <v>800</v>
      </c>
      <c r="O46" s="5">
        <v>26400</v>
      </c>
      <c r="P46" s="5">
        <f>O46-N46</f>
        <v>25600</v>
      </c>
    </row>
    <row r="47" spans="1:16" ht="15.75">
      <c r="A47" s="3">
        <v>2</v>
      </c>
      <c r="B47" s="4">
        <v>46154</v>
      </c>
      <c r="C47" s="3" t="s">
        <v>51</v>
      </c>
      <c r="D47" s="5" t="s">
        <v>73</v>
      </c>
      <c r="E47" s="5" t="s">
        <v>66</v>
      </c>
      <c r="F47" s="5" t="s">
        <v>71</v>
      </c>
      <c r="G47" s="5" t="s">
        <v>72</v>
      </c>
      <c r="H47" s="5">
        <v>7289049720</v>
      </c>
      <c r="I47" s="5">
        <v>750</v>
      </c>
      <c r="J47" s="3" t="s">
        <v>109</v>
      </c>
      <c r="K47" s="5">
        <v>750</v>
      </c>
      <c r="L47" s="6"/>
      <c r="M47" s="3"/>
      <c r="N47" s="5">
        <f t="shared" ref="N47:N55" si="3">K47+L47</f>
        <v>750</v>
      </c>
      <c r="O47" s="5">
        <v>18750</v>
      </c>
      <c r="P47" s="5">
        <f t="shared" ref="P47:P55" si="4">O47-N47</f>
        <v>18000</v>
      </c>
    </row>
    <row r="48" spans="1:16" ht="15.75">
      <c r="A48" s="3">
        <v>3</v>
      </c>
      <c r="B48" s="4">
        <v>46154</v>
      </c>
      <c r="C48" s="3" t="s">
        <v>51</v>
      </c>
      <c r="D48" s="5" t="s">
        <v>79</v>
      </c>
      <c r="E48" s="5" t="s">
        <v>66</v>
      </c>
      <c r="F48" s="6" t="s">
        <v>77</v>
      </c>
      <c r="G48" s="6" t="s">
        <v>78</v>
      </c>
      <c r="H48" s="6">
        <v>7355817478</v>
      </c>
      <c r="I48" s="5">
        <v>750</v>
      </c>
      <c r="J48" s="3" t="s">
        <v>109</v>
      </c>
      <c r="K48" s="5">
        <v>750</v>
      </c>
      <c r="L48" s="6"/>
      <c r="M48" s="3"/>
      <c r="N48" s="5">
        <f t="shared" si="3"/>
        <v>750</v>
      </c>
      <c r="O48" s="5">
        <v>18750</v>
      </c>
      <c r="P48" s="5">
        <f t="shared" si="4"/>
        <v>18000</v>
      </c>
    </row>
    <row r="49" spans="1:16" ht="15.75">
      <c r="A49" s="3">
        <v>4</v>
      </c>
      <c r="B49" s="4">
        <v>46154</v>
      </c>
      <c r="C49" s="3" t="s">
        <v>51</v>
      </c>
      <c r="D49" s="5" t="s">
        <v>82</v>
      </c>
      <c r="E49" s="6" t="s">
        <v>66</v>
      </c>
      <c r="F49" s="6" t="s">
        <v>80</v>
      </c>
      <c r="G49" s="6" t="s">
        <v>81</v>
      </c>
      <c r="H49" s="6">
        <v>7027566795</v>
      </c>
      <c r="I49" s="5">
        <v>800</v>
      </c>
      <c r="J49" s="3" t="s">
        <v>109</v>
      </c>
      <c r="K49" s="5">
        <v>800</v>
      </c>
      <c r="L49" s="6"/>
      <c r="M49" s="3"/>
      <c r="N49" s="5">
        <f t="shared" si="3"/>
        <v>800</v>
      </c>
      <c r="O49" s="5">
        <v>26400</v>
      </c>
      <c r="P49" s="5">
        <f t="shared" si="4"/>
        <v>25600</v>
      </c>
    </row>
    <row r="50" spans="1:16" ht="15.75">
      <c r="A50" s="3">
        <v>5</v>
      </c>
      <c r="B50" s="4">
        <v>46154</v>
      </c>
      <c r="C50" s="3" t="s">
        <v>51</v>
      </c>
      <c r="D50" s="5" t="s">
        <v>85</v>
      </c>
      <c r="E50" s="6" t="s">
        <v>66</v>
      </c>
      <c r="F50" s="5" t="s">
        <v>83</v>
      </c>
      <c r="G50" s="5" t="s">
        <v>84</v>
      </c>
      <c r="H50" s="5">
        <v>9992825464</v>
      </c>
      <c r="I50" s="5">
        <v>800</v>
      </c>
      <c r="J50" s="6" t="s">
        <v>109</v>
      </c>
      <c r="K50" s="5">
        <v>800</v>
      </c>
      <c r="L50" s="6"/>
      <c r="M50" s="3"/>
      <c r="N50" s="5">
        <f t="shared" si="3"/>
        <v>800</v>
      </c>
      <c r="O50" s="5">
        <v>26400</v>
      </c>
      <c r="P50" s="5">
        <f t="shared" si="4"/>
        <v>25600</v>
      </c>
    </row>
    <row r="51" spans="1:16" ht="15.75">
      <c r="A51" s="3">
        <v>6</v>
      </c>
      <c r="B51" s="4">
        <v>46154</v>
      </c>
      <c r="C51" s="3" t="s">
        <v>51</v>
      </c>
      <c r="D51" s="10" t="s">
        <v>114</v>
      </c>
      <c r="E51" s="10" t="s">
        <v>66</v>
      </c>
      <c r="F51" s="10" t="s">
        <v>120</v>
      </c>
      <c r="G51" s="10" t="s">
        <v>124</v>
      </c>
      <c r="H51" s="10">
        <v>8295596976</v>
      </c>
      <c r="I51" s="10">
        <v>750</v>
      </c>
      <c r="J51" s="3" t="s">
        <v>109</v>
      </c>
      <c r="K51" s="10">
        <v>750</v>
      </c>
      <c r="L51" s="3"/>
      <c r="M51" s="3"/>
      <c r="N51" s="5">
        <f t="shared" si="3"/>
        <v>750</v>
      </c>
      <c r="O51" s="5">
        <v>18750</v>
      </c>
      <c r="P51" s="5">
        <f t="shared" si="4"/>
        <v>18000</v>
      </c>
    </row>
    <row r="52" spans="1:16" ht="15.75">
      <c r="A52" s="3">
        <v>7</v>
      </c>
      <c r="B52" s="4">
        <v>46154</v>
      </c>
      <c r="C52" s="3" t="s">
        <v>51</v>
      </c>
      <c r="D52" s="10" t="s">
        <v>115</v>
      </c>
      <c r="E52" s="10" t="s">
        <v>66</v>
      </c>
      <c r="F52" s="10" t="s">
        <v>121</v>
      </c>
      <c r="G52" s="10" t="s">
        <v>125</v>
      </c>
      <c r="H52" s="10">
        <v>8816907186</v>
      </c>
      <c r="I52" s="10">
        <v>750</v>
      </c>
      <c r="J52" s="3" t="s">
        <v>109</v>
      </c>
      <c r="K52" s="10">
        <v>750</v>
      </c>
      <c r="L52" s="3"/>
      <c r="M52" s="3"/>
      <c r="N52" s="5">
        <f t="shared" si="3"/>
        <v>750</v>
      </c>
      <c r="O52" s="5">
        <v>18750</v>
      </c>
      <c r="P52" s="5">
        <f t="shared" si="4"/>
        <v>18000</v>
      </c>
    </row>
    <row r="53" spans="1:16" ht="15.75">
      <c r="A53" s="3">
        <v>8</v>
      </c>
      <c r="B53" s="4">
        <v>46154</v>
      </c>
      <c r="C53" s="3" t="s">
        <v>51</v>
      </c>
      <c r="D53" s="10" t="s">
        <v>145</v>
      </c>
      <c r="E53" s="5" t="s">
        <v>66</v>
      </c>
      <c r="F53" s="5" t="s">
        <v>83</v>
      </c>
      <c r="G53" s="5" t="s">
        <v>138</v>
      </c>
      <c r="H53" s="5">
        <v>9813610261</v>
      </c>
      <c r="I53" s="5">
        <v>800</v>
      </c>
      <c r="J53" s="3" t="s">
        <v>109</v>
      </c>
      <c r="K53" s="10">
        <v>800</v>
      </c>
      <c r="L53" s="3"/>
      <c r="M53" s="3"/>
      <c r="N53" s="5">
        <f t="shared" si="3"/>
        <v>800</v>
      </c>
      <c r="O53" s="5">
        <v>27200</v>
      </c>
      <c r="P53" s="5">
        <f t="shared" si="4"/>
        <v>26400</v>
      </c>
    </row>
    <row r="54" spans="1:16" ht="15.75">
      <c r="A54" s="3">
        <v>9</v>
      </c>
      <c r="B54" s="4">
        <v>46154</v>
      </c>
      <c r="C54" s="3" t="s">
        <v>51</v>
      </c>
      <c r="D54" s="10" t="s">
        <v>147</v>
      </c>
      <c r="E54" s="5" t="s">
        <v>129</v>
      </c>
      <c r="F54" s="5" t="s">
        <v>132</v>
      </c>
      <c r="G54" s="5" t="s">
        <v>140</v>
      </c>
      <c r="H54" s="5">
        <v>8397037924</v>
      </c>
      <c r="I54" s="5">
        <v>800</v>
      </c>
      <c r="J54" s="3" t="s">
        <v>109</v>
      </c>
      <c r="K54" s="10">
        <v>800</v>
      </c>
      <c r="L54" s="3"/>
      <c r="M54" s="3"/>
      <c r="N54" s="5">
        <f t="shared" si="3"/>
        <v>800</v>
      </c>
      <c r="O54" s="5">
        <v>27200</v>
      </c>
      <c r="P54" s="5">
        <f t="shared" si="4"/>
        <v>26400</v>
      </c>
    </row>
    <row r="55" spans="1:16" ht="15.75">
      <c r="A55" s="3">
        <v>10</v>
      </c>
      <c r="B55" s="4">
        <v>46154</v>
      </c>
      <c r="C55" s="3" t="s">
        <v>51</v>
      </c>
      <c r="D55" s="10" t="s">
        <v>151</v>
      </c>
      <c r="E55" s="5" t="s">
        <v>66</v>
      </c>
      <c r="F55" s="5" t="s">
        <v>136</v>
      </c>
      <c r="G55" s="5" t="s">
        <v>143</v>
      </c>
      <c r="H55" s="5">
        <v>9992969785</v>
      </c>
      <c r="I55" s="5">
        <v>800</v>
      </c>
      <c r="J55" s="3" t="s">
        <v>109</v>
      </c>
      <c r="K55" s="10">
        <v>800</v>
      </c>
      <c r="L55" s="3"/>
      <c r="M55" s="3"/>
      <c r="N55" s="5">
        <f t="shared" si="3"/>
        <v>800</v>
      </c>
      <c r="O55" s="5">
        <v>27200</v>
      </c>
      <c r="P55" s="5">
        <f t="shared" si="4"/>
        <v>26400</v>
      </c>
    </row>
    <row r="56" spans="1:16" ht="15.75">
      <c r="A56" s="3"/>
      <c r="B56" s="4"/>
      <c r="C56" s="3"/>
      <c r="D56" s="10"/>
      <c r="E56" s="10"/>
      <c r="F56" s="10"/>
      <c r="G56" s="10"/>
      <c r="H56" s="10"/>
      <c r="I56" s="10"/>
      <c r="J56" s="3"/>
      <c r="K56" s="10"/>
      <c r="L56" s="3"/>
      <c r="M56" s="3"/>
      <c r="N56" s="10"/>
      <c r="O56" s="5"/>
      <c r="P56" s="5"/>
    </row>
    <row r="57" spans="1:16" ht="15.75">
      <c r="A57" s="3"/>
      <c r="B57" s="4"/>
      <c r="C57" s="3"/>
      <c r="D57" s="10"/>
      <c r="E57" s="10"/>
      <c r="F57" s="10"/>
      <c r="G57" s="10"/>
      <c r="H57" s="10"/>
      <c r="I57" s="10"/>
      <c r="J57" s="3"/>
      <c r="K57" s="10"/>
      <c r="L57" s="3"/>
      <c r="M57" s="3"/>
      <c r="N57" s="10"/>
      <c r="O57" s="5"/>
      <c r="P57" s="5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8.75">
      <c r="A59" s="3"/>
      <c r="B59" s="3"/>
      <c r="C59" s="3"/>
      <c r="D59" s="3"/>
      <c r="E59" s="3"/>
      <c r="F59" s="3"/>
      <c r="G59" s="3"/>
      <c r="H59" s="3"/>
      <c r="I59" s="49">
        <f>SUM(I46:I58)</f>
        <v>7800</v>
      </c>
      <c r="J59" s="49"/>
      <c r="K59" s="49">
        <f>SUM(K46:K58)</f>
        <v>7800</v>
      </c>
      <c r="L59" s="49"/>
      <c r="M59" s="49"/>
      <c r="N59" s="49">
        <f>SUM(N46:N58)</f>
        <v>7800</v>
      </c>
      <c r="O59" s="49">
        <f>SUM(O46:O58)</f>
        <v>235800</v>
      </c>
      <c r="P59" s="49">
        <f>SUM(P46:P58)</f>
        <v>228000</v>
      </c>
    </row>
    <row r="64" spans="1:16" ht="27.75">
      <c r="A64" s="142" t="s">
        <v>102</v>
      </c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</row>
    <row r="65" spans="1:16" ht="75">
      <c r="A65" s="1" t="s">
        <v>87</v>
      </c>
      <c r="B65" s="1" t="s">
        <v>103</v>
      </c>
      <c r="C65" s="1" t="s">
        <v>88</v>
      </c>
      <c r="D65" s="1" t="s">
        <v>104</v>
      </c>
      <c r="E65" s="1" t="s">
        <v>105</v>
      </c>
      <c r="F65" s="1" t="s">
        <v>106</v>
      </c>
      <c r="G65" s="1" t="s">
        <v>93</v>
      </c>
      <c r="H65" s="1" t="s">
        <v>107</v>
      </c>
      <c r="I65" s="1" t="s">
        <v>108</v>
      </c>
      <c r="J65" s="1" t="s">
        <v>109</v>
      </c>
      <c r="K65" s="1" t="s">
        <v>110</v>
      </c>
      <c r="L65" s="1" t="s">
        <v>21</v>
      </c>
      <c r="M65" s="1" t="s">
        <v>45</v>
      </c>
      <c r="N65" s="1" t="s">
        <v>111</v>
      </c>
      <c r="O65" s="2" t="s">
        <v>112</v>
      </c>
      <c r="P65" s="1" t="s">
        <v>113</v>
      </c>
    </row>
    <row r="66" spans="1:16" ht="15.75">
      <c r="A66" s="3">
        <v>1</v>
      </c>
      <c r="B66" s="4">
        <v>46155</v>
      </c>
      <c r="C66" s="3" t="s">
        <v>51</v>
      </c>
      <c r="D66" s="5" t="s">
        <v>56</v>
      </c>
      <c r="E66" s="5" t="s">
        <v>49</v>
      </c>
      <c r="F66" s="5" t="s">
        <v>53</v>
      </c>
      <c r="G66" s="5" t="s">
        <v>54</v>
      </c>
      <c r="H66" s="5">
        <v>9416205447</v>
      </c>
      <c r="I66" s="5">
        <v>750</v>
      </c>
      <c r="J66" s="3" t="s">
        <v>109</v>
      </c>
      <c r="K66" s="5">
        <v>750</v>
      </c>
      <c r="L66" s="6"/>
      <c r="M66" s="3"/>
      <c r="N66" s="3">
        <f>K66+L66</f>
        <v>750</v>
      </c>
      <c r="O66" s="5">
        <v>18000</v>
      </c>
      <c r="P66" s="5">
        <f>O66-N66</f>
        <v>17250</v>
      </c>
    </row>
    <row r="67" spans="1:16" ht="15.75">
      <c r="A67" s="3">
        <v>2</v>
      </c>
      <c r="B67" s="4">
        <v>46155</v>
      </c>
      <c r="C67" s="3" t="s">
        <v>51</v>
      </c>
      <c r="D67" s="5" t="s">
        <v>61</v>
      </c>
      <c r="E67" s="5" t="s">
        <v>58</v>
      </c>
      <c r="F67" s="5" t="s">
        <v>59</v>
      </c>
      <c r="G67" s="5" t="s">
        <v>60</v>
      </c>
      <c r="H67" s="5">
        <v>7082390753</v>
      </c>
      <c r="I67" s="5">
        <v>750</v>
      </c>
      <c r="J67" s="3" t="s">
        <v>109</v>
      </c>
      <c r="K67" s="5">
        <v>750</v>
      </c>
      <c r="L67" s="6"/>
      <c r="M67" s="3"/>
      <c r="N67" s="3">
        <f t="shared" ref="N67:N82" si="5">K67+L67</f>
        <v>750</v>
      </c>
      <c r="O67" s="5">
        <v>18000</v>
      </c>
      <c r="P67" s="5">
        <f t="shared" ref="P67:P82" si="6">O67-N67</f>
        <v>17250</v>
      </c>
    </row>
    <row r="68" spans="1:16" ht="15.75">
      <c r="A68" s="3">
        <v>3</v>
      </c>
      <c r="B68" s="4">
        <v>46155</v>
      </c>
      <c r="C68" s="3" t="s">
        <v>51</v>
      </c>
      <c r="D68" s="5" t="s">
        <v>65</v>
      </c>
      <c r="E68" s="5" t="s">
        <v>62</v>
      </c>
      <c r="F68" s="5" t="s">
        <v>63</v>
      </c>
      <c r="G68" s="5" t="s">
        <v>64</v>
      </c>
      <c r="H68" s="5">
        <v>9050560127</v>
      </c>
      <c r="I68" s="5">
        <v>750</v>
      </c>
      <c r="J68" s="3" t="s">
        <v>109</v>
      </c>
      <c r="K68" s="5">
        <v>750</v>
      </c>
      <c r="L68" s="6"/>
      <c r="M68" s="3"/>
      <c r="N68" s="3">
        <f t="shared" si="5"/>
        <v>750</v>
      </c>
      <c r="O68" s="5">
        <v>18000</v>
      </c>
      <c r="P68" s="5">
        <f t="shared" si="6"/>
        <v>17250</v>
      </c>
    </row>
    <row r="69" spans="1:16" ht="15.75">
      <c r="A69" s="3">
        <v>4</v>
      </c>
      <c r="B69" s="4">
        <v>46155</v>
      </c>
      <c r="C69" s="3" t="s">
        <v>51</v>
      </c>
      <c r="D69" s="5" t="s">
        <v>76</v>
      </c>
      <c r="E69" s="5" t="s">
        <v>62</v>
      </c>
      <c r="F69" s="6" t="s">
        <v>74</v>
      </c>
      <c r="G69" s="6" t="s">
        <v>75</v>
      </c>
      <c r="H69" s="6">
        <v>8607782625</v>
      </c>
      <c r="I69" s="5">
        <v>750</v>
      </c>
      <c r="J69" s="3" t="s">
        <v>109</v>
      </c>
      <c r="K69" s="5">
        <v>750</v>
      </c>
      <c r="L69" s="6"/>
      <c r="M69" s="3"/>
      <c r="N69" s="3">
        <f t="shared" si="5"/>
        <v>750</v>
      </c>
      <c r="O69" s="5">
        <v>18000</v>
      </c>
      <c r="P69" s="5">
        <f t="shared" si="6"/>
        <v>17250</v>
      </c>
    </row>
    <row r="70" spans="1:16" ht="15.75">
      <c r="A70" s="3">
        <v>5</v>
      </c>
      <c r="B70" s="4">
        <v>46155</v>
      </c>
      <c r="C70" s="3" t="s">
        <v>51</v>
      </c>
      <c r="D70" s="10" t="s">
        <v>116</v>
      </c>
      <c r="E70" s="10" t="s">
        <v>118</v>
      </c>
      <c r="F70" s="10" t="s">
        <v>122</v>
      </c>
      <c r="G70" s="10" t="s">
        <v>126</v>
      </c>
      <c r="H70" s="10">
        <v>9971164371</v>
      </c>
      <c r="I70" s="10">
        <v>750</v>
      </c>
      <c r="J70" s="3" t="s">
        <v>109</v>
      </c>
      <c r="K70" s="10">
        <v>750</v>
      </c>
      <c r="L70" s="6"/>
      <c r="M70" s="3"/>
      <c r="N70" s="3">
        <f t="shared" si="5"/>
        <v>750</v>
      </c>
      <c r="O70" s="5">
        <v>18750</v>
      </c>
      <c r="P70" s="5">
        <f t="shared" si="6"/>
        <v>18000</v>
      </c>
    </row>
    <row r="71" spans="1:16" ht="15.75">
      <c r="A71" s="3">
        <v>6</v>
      </c>
      <c r="B71" s="4">
        <v>46155</v>
      </c>
      <c r="C71" s="3" t="s">
        <v>51</v>
      </c>
      <c r="D71" s="10" t="s">
        <v>117</v>
      </c>
      <c r="E71" s="10" t="s">
        <v>119</v>
      </c>
      <c r="F71" s="10" t="s">
        <v>123</v>
      </c>
      <c r="G71" s="10" t="s">
        <v>127</v>
      </c>
      <c r="H71" s="10">
        <v>8816966347</v>
      </c>
      <c r="I71" s="10">
        <v>750</v>
      </c>
      <c r="J71" s="3" t="s">
        <v>109</v>
      </c>
      <c r="K71" s="10">
        <v>750</v>
      </c>
      <c r="L71" s="6"/>
      <c r="M71" s="3"/>
      <c r="N71" s="3">
        <f t="shared" si="5"/>
        <v>750</v>
      </c>
      <c r="O71" s="5">
        <v>18750</v>
      </c>
      <c r="P71" s="5">
        <f t="shared" si="6"/>
        <v>18000</v>
      </c>
    </row>
    <row r="72" spans="1:16" ht="15.75">
      <c r="A72" s="3">
        <v>7</v>
      </c>
      <c r="B72" s="4">
        <v>46155</v>
      </c>
      <c r="C72" s="3" t="s">
        <v>51</v>
      </c>
      <c r="D72" s="10" t="s">
        <v>146</v>
      </c>
      <c r="E72" s="5" t="s">
        <v>128</v>
      </c>
      <c r="F72" s="5" t="s">
        <v>131</v>
      </c>
      <c r="G72" s="5" t="s">
        <v>139</v>
      </c>
      <c r="H72" s="5">
        <v>8295428639</v>
      </c>
      <c r="I72" s="5">
        <v>800</v>
      </c>
      <c r="J72" s="3" t="s">
        <v>109</v>
      </c>
      <c r="K72" s="5">
        <v>800</v>
      </c>
      <c r="L72" s="6"/>
      <c r="M72" s="3"/>
      <c r="N72" s="3">
        <f t="shared" si="5"/>
        <v>800</v>
      </c>
      <c r="O72" s="5">
        <v>27200</v>
      </c>
      <c r="P72" s="5">
        <f t="shared" si="6"/>
        <v>26400</v>
      </c>
    </row>
    <row r="73" spans="1:16" ht="15.75">
      <c r="A73" s="3">
        <v>8</v>
      </c>
      <c r="B73" s="4">
        <v>46155</v>
      </c>
      <c r="C73" s="3" t="s">
        <v>51</v>
      </c>
      <c r="D73" s="10" t="s">
        <v>148</v>
      </c>
      <c r="E73" s="5" t="s">
        <v>130</v>
      </c>
      <c r="F73" s="5" t="s">
        <v>133</v>
      </c>
      <c r="G73" s="5" t="s">
        <v>68</v>
      </c>
      <c r="H73" s="5">
        <v>9050180519</v>
      </c>
      <c r="I73" s="6">
        <v>750</v>
      </c>
      <c r="J73" s="3" t="s">
        <v>109</v>
      </c>
      <c r="K73" s="6">
        <v>750</v>
      </c>
      <c r="L73" s="6"/>
      <c r="M73" s="3"/>
      <c r="N73" s="3">
        <f t="shared" si="5"/>
        <v>750</v>
      </c>
      <c r="O73" s="5">
        <v>19500</v>
      </c>
      <c r="P73" s="5">
        <f t="shared" si="6"/>
        <v>18750</v>
      </c>
    </row>
    <row r="74" spans="1:16" ht="15.75">
      <c r="A74" s="3">
        <v>9</v>
      </c>
      <c r="B74" s="4">
        <v>46155</v>
      </c>
      <c r="C74" s="3" t="s">
        <v>51</v>
      </c>
      <c r="D74" s="10" t="s">
        <v>149</v>
      </c>
      <c r="E74" s="5" t="s">
        <v>119</v>
      </c>
      <c r="F74" s="5" t="s">
        <v>134</v>
      </c>
      <c r="G74" s="5" t="s">
        <v>141</v>
      </c>
      <c r="H74" s="5">
        <v>9671597235</v>
      </c>
      <c r="I74" s="5">
        <v>800</v>
      </c>
      <c r="J74" s="3" t="s">
        <v>109</v>
      </c>
      <c r="K74" s="5">
        <v>800</v>
      </c>
      <c r="L74" s="6"/>
      <c r="M74" s="3"/>
      <c r="N74" s="3">
        <f t="shared" si="5"/>
        <v>800</v>
      </c>
      <c r="O74" s="5">
        <v>27200</v>
      </c>
      <c r="P74" s="5">
        <f t="shared" si="6"/>
        <v>26400</v>
      </c>
    </row>
    <row r="75" spans="1:16" ht="15.75">
      <c r="A75" s="3">
        <v>10</v>
      </c>
      <c r="B75" s="4">
        <v>46155</v>
      </c>
      <c r="C75" s="3" t="s">
        <v>51</v>
      </c>
      <c r="D75" s="10" t="s">
        <v>150</v>
      </c>
      <c r="E75" s="5" t="s">
        <v>119</v>
      </c>
      <c r="F75" s="5" t="s">
        <v>135</v>
      </c>
      <c r="G75" s="5" t="s">
        <v>142</v>
      </c>
      <c r="H75" s="5">
        <v>9729501850</v>
      </c>
      <c r="I75" s="5">
        <v>800</v>
      </c>
      <c r="J75" s="3" t="s">
        <v>109</v>
      </c>
      <c r="K75" s="5">
        <v>800</v>
      </c>
      <c r="L75" s="6"/>
      <c r="M75" s="3"/>
      <c r="N75" s="3">
        <f t="shared" si="5"/>
        <v>800</v>
      </c>
      <c r="O75" s="5">
        <v>27200</v>
      </c>
      <c r="P75" s="5">
        <f t="shared" si="6"/>
        <v>26400</v>
      </c>
    </row>
    <row r="76" spans="1:16" ht="15.75">
      <c r="A76" s="3">
        <v>11</v>
      </c>
      <c r="B76" s="4">
        <v>46155</v>
      </c>
      <c r="C76" s="3" t="s">
        <v>51</v>
      </c>
      <c r="D76" s="10" t="s">
        <v>152</v>
      </c>
      <c r="E76" s="5" t="s">
        <v>119</v>
      </c>
      <c r="F76" s="5" t="s">
        <v>137</v>
      </c>
      <c r="G76" s="5" t="s">
        <v>144</v>
      </c>
      <c r="H76" s="5">
        <v>9991638771</v>
      </c>
      <c r="I76" s="5">
        <v>800</v>
      </c>
      <c r="J76" s="3" t="s">
        <v>109</v>
      </c>
      <c r="K76" s="5">
        <v>800</v>
      </c>
      <c r="L76" s="6"/>
      <c r="M76" s="3"/>
      <c r="N76" s="3">
        <f t="shared" si="5"/>
        <v>800</v>
      </c>
      <c r="O76" s="5">
        <v>27200</v>
      </c>
      <c r="P76" s="5">
        <f t="shared" si="6"/>
        <v>26400</v>
      </c>
    </row>
    <row r="77" spans="1:16" ht="15.75">
      <c r="A77" s="3">
        <v>12</v>
      </c>
      <c r="B77" s="4">
        <v>46155</v>
      </c>
      <c r="C77" s="3" t="s">
        <v>51</v>
      </c>
      <c r="D77" s="10" t="s">
        <v>158</v>
      </c>
      <c r="E77" s="10" t="s">
        <v>119</v>
      </c>
      <c r="F77" s="10" t="s">
        <v>71</v>
      </c>
      <c r="G77" s="10" t="s">
        <v>167</v>
      </c>
      <c r="H77" s="10">
        <v>9992401965</v>
      </c>
      <c r="I77" s="5">
        <v>800</v>
      </c>
      <c r="J77" s="3" t="s">
        <v>109</v>
      </c>
      <c r="K77" s="5">
        <v>800</v>
      </c>
      <c r="L77" s="6"/>
      <c r="M77" s="3"/>
      <c r="N77" s="3">
        <f t="shared" si="5"/>
        <v>800</v>
      </c>
      <c r="O77" s="5">
        <v>27200</v>
      </c>
      <c r="P77" s="5">
        <f t="shared" si="6"/>
        <v>26400</v>
      </c>
    </row>
    <row r="78" spans="1:16" ht="15.75">
      <c r="A78" s="3">
        <v>13</v>
      </c>
      <c r="B78" s="4">
        <v>46155</v>
      </c>
      <c r="C78" s="3" t="s">
        <v>51</v>
      </c>
      <c r="D78" s="10" t="s">
        <v>159</v>
      </c>
      <c r="E78" s="10" t="s">
        <v>171</v>
      </c>
      <c r="F78" s="10" t="s">
        <v>163</v>
      </c>
      <c r="G78" s="10" t="s">
        <v>168</v>
      </c>
      <c r="H78" s="10">
        <v>7404474940</v>
      </c>
      <c r="I78" s="6">
        <v>750</v>
      </c>
      <c r="J78" s="3" t="s">
        <v>109</v>
      </c>
      <c r="K78" s="6">
        <v>750</v>
      </c>
      <c r="L78" s="6"/>
      <c r="M78" s="3"/>
      <c r="N78" s="3">
        <f t="shared" si="5"/>
        <v>750</v>
      </c>
      <c r="O78" s="5">
        <v>19500</v>
      </c>
      <c r="P78" s="5">
        <f t="shared" si="6"/>
        <v>18750</v>
      </c>
    </row>
    <row r="79" spans="1:16" ht="15.75">
      <c r="A79" s="3">
        <v>14</v>
      </c>
      <c r="B79" s="4">
        <v>46155</v>
      </c>
      <c r="C79" s="3" t="s">
        <v>51</v>
      </c>
      <c r="D79" s="10" t="s">
        <v>160</v>
      </c>
      <c r="E79" s="10" t="s">
        <v>172</v>
      </c>
      <c r="F79" s="10" t="s">
        <v>164</v>
      </c>
      <c r="G79" s="10" t="s">
        <v>169</v>
      </c>
      <c r="H79" s="10">
        <v>9540614028</v>
      </c>
      <c r="I79" s="5">
        <v>800</v>
      </c>
      <c r="J79" s="3" t="s">
        <v>109</v>
      </c>
      <c r="K79" s="5">
        <v>800</v>
      </c>
      <c r="L79" s="6"/>
      <c r="M79" s="3"/>
      <c r="N79" s="3">
        <f t="shared" si="5"/>
        <v>800</v>
      </c>
      <c r="O79" s="5">
        <v>27200</v>
      </c>
      <c r="P79" s="5">
        <f t="shared" si="6"/>
        <v>26400</v>
      </c>
    </row>
    <row r="80" spans="1:16" ht="15.75">
      <c r="A80" s="3">
        <v>15</v>
      </c>
      <c r="B80" s="4">
        <v>46155</v>
      </c>
      <c r="C80" s="3" t="s">
        <v>51</v>
      </c>
      <c r="D80" s="10" t="s">
        <v>161</v>
      </c>
      <c r="E80" s="10" t="s">
        <v>119</v>
      </c>
      <c r="F80" s="10" t="s">
        <v>165</v>
      </c>
      <c r="G80" s="10" t="s">
        <v>140</v>
      </c>
      <c r="H80" s="10">
        <v>8395910861</v>
      </c>
      <c r="I80" s="6">
        <v>750</v>
      </c>
      <c r="J80" s="3" t="s">
        <v>109</v>
      </c>
      <c r="K80" s="6">
        <v>750</v>
      </c>
      <c r="L80" s="6"/>
      <c r="M80" s="3"/>
      <c r="N80" s="3">
        <f t="shared" si="5"/>
        <v>750</v>
      </c>
      <c r="O80" s="5">
        <v>19500</v>
      </c>
      <c r="P80" s="5">
        <f t="shared" si="6"/>
        <v>18750</v>
      </c>
    </row>
    <row r="81" spans="1:16" ht="15.75">
      <c r="A81" s="3">
        <v>16</v>
      </c>
      <c r="B81" s="4">
        <v>46155</v>
      </c>
      <c r="C81" s="3" t="s">
        <v>51</v>
      </c>
      <c r="D81" s="10" t="s">
        <v>162</v>
      </c>
      <c r="E81" s="10" t="s">
        <v>119</v>
      </c>
      <c r="F81" s="10" t="s">
        <v>166</v>
      </c>
      <c r="G81" s="10" t="s">
        <v>170</v>
      </c>
      <c r="H81" s="10">
        <v>9671227093</v>
      </c>
      <c r="I81" s="5">
        <v>800</v>
      </c>
      <c r="J81" s="3" t="s">
        <v>109</v>
      </c>
      <c r="K81" s="5">
        <v>800</v>
      </c>
      <c r="L81" s="6"/>
      <c r="M81" s="3"/>
      <c r="N81" s="3">
        <f t="shared" si="5"/>
        <v>800</v>
      </c>
      <c r="O81" s="5">
        <v>27200</v>
      </c>
      <c r="P81" s="5">
        <f t="shared" si="6"/>
        <v>26400</v>
      </c>
    </row>
    <row r="82" spans="1:16" ht="15.75">
      <c r="A82" s="3">
        <v>18</v>
      </c>
      <c r="B82" s="4">
        <v>46155</v>
      </c>
      <c r="C82" s="3" t="s">
        <v>51</v>
      </c>
      <c r="D82" s="10" t="s">
        <v>175</v>
      </c>
      <c r="E82" s="10" t="s">
        <v>171</v>
      </c>
      <c r="F82" s="10" t="s">
        <v>180</v>
      </c>
      <c r="G82" s="10" t="s">
        <v>182</v>
      </c>
      <c r="H82" s="10">
        <v>8814086202</v>
      </c>
      <c r="I82" s="3">
        <v>750</v>
      </c>
      <c r="J82" s="3" t="s">
        <v>109</v>
      </c>
      <c r="K82" s="3">
        <v>750</v>
      </c>
      <c r="L82" s="3"/>
      <c r="M82" s="3"/>
      <c r="N82" s="3">
        <f t="shared" si="5"/>
        <v>750</v>
      </c>
      <c r="O82" s="5">
        <v>19500</v>
      </c>
      <c r="P82" s="5">
        <f t="shared" si="6"/>
        <v>18750</v>
      </c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>
        <f>SUM(I66:I83)</f>
        <v>13100</v>
      </c>
      <c r="J84" s="3"/>
      <c r="K84" s="3">
        <f>SUM(K66:K83)</f>
        <v>13100</v>
      </c>
      <c r="L84" s="3"/>
      <c r="M84" s="3"/>
      <c r="N84" s="3">
        <f>SUM(N66:N83)</f>
        <v>13100</v>
      </c>
      <c r="O84" s="3">
        <f>SUM(O66:O83)</f>
        <v>377900</v>
      </c>
      <c r="P84" s="3">
        <f>SUM(P66:P83)</f>
        <v>364800</v>
      </c>
    </row>
    <row r="88" spans="1:16" ht="27.75">
      <c r="A88" s="142" t="s">
        <v>155</v>
      </c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</row>
    <row r="89" spans="1:16" ht="75">
      <c r="A89" s="1" t="s">
        <v>87</v>
      </c>
      <c r="B89" s="1" t="s">
        <v>103</v>
      </c>
      <c r="C89" s="1" t="s">
        <v>88</v>
      </c>
      <c r="D89" s="1" t="s">
        <v>104</v>
      </c>
      <c r="E89" s="1" t="s">
        <v>105</v>
      </c>
      <c r="F89" s="1" t="s">
        <v>106</v>
      </c>
      <c r="G89" s="1" t="s">
        <v>93</v>
      </c>
      <c r="H89" s="1" t="s">
        <v>107</v>
      </c>
      <c r="I89" s="1" t="s">
        <v>108</v>
      </c>
      <c r="J89" s="1" t="s">
        <v>109</v>
      </c>
      <c r="K89" s="1" t="s">
        <v>110</v>
      </c>
      <c r="L89" s="1" t="s">
        <v>21</v>
      </c>
      <c r="M89" s="1" t="s">
        <v>45</v>
      </c>
      <c r="N89" s="1" t="s">
        <v>111</v>
      </c>
      <c r="O89" s="2" t="s">
        <v>112</v>
      </c>
      <c r="P89" s="1" t="s">
        <v>113</v>
      </c>
    </row>
    <row r="90" spans="1:16" ht="15.75">
      <c r="A90" s="3">
        <v>1</v>
      </c>
      <c r="B90" s="4">
        <v>46161</v>
      </c>
      <c r="C90" s="3" t="s">
        <v>51</v>
      </c>
      <c r="D90" s="5" t="s">
        <v>70</v>
      </c>
      <c r="E90" s="5" t="s">
        <v>66</v>
      </c>
      <c r="F90" s="5" t="s">
        <v>67</v>
      </c>
      <c r="G90" s="5" t="s">
        <v>68</v>
      </c>
      <c r="H90" s="5">
        <v>8395916139</v>
      </c>
      <c r="I90" s="5">
        <v>800</v>
      </c>
      <c r="J90" s="3" t="s">
        <v>109</v>
      </c>
      <c r="K90" s="5">
        <v>800</v>
      </c>
      <c r="L90" s="6"/>
      <c r="M90" s="3"/>
      <c r="N90" s="5">
        <f>K90+L90</f>
        <v>800</v>
      </c>
      <c r="O90" s="5">
        <v>25600</v>
      </c>
      <c r="P90" s="5">
        <f>O90-N90</f>
        <v>24800</v>
      </c>
    </row>
    <row r="91" spans="1:16" ht="15.75">
      <c r="A91" s="3">
        <v>2</v>
      </c>
      <c r="B91" s="4">
        <v>46161</v>
      </c>
      <c r="C91" s="3" t="s">
        <v>51</v>
      </c>
      <c r="D91" s="5" t="s">
        <v>73</v>
      </c>
      <c r="E91" s="5" t="s">
        <v>66</v>
      </c>
      <c r="F91" s="5" t="s">
        <v>71</v>
      </c>
      <c r="G91" s="5" t="s">
        <v>72</v>
      </c>
      <c r="H91" s="5">
        <v>7289049720</v>
      </c>
      <c r="I91" s="5">
        <v>750</v>
      </c>
      <c r="J91" s="3" t="s">
        <v>109</v>
      </c>
      <c r="K91" s="5">
        <v>750</v>
      </c>
      <c r="L91" s="6"/>
      <c r="M91" s="3"/>
      <c r="N91" s="5">
        <f t="shared" ref="N91:N99" si="7">K91+L91</f>
        <v>750</v>
      </c>
      <c r="O91" s="5">
        <v>18000</v>
      </c>
      <c r="P91" s="5">
        <f t="shared" ref="P91:P99" si="8">O91-N91</f>
        <v>17250</v>
      </c>
    </row>
    <row r="92" spans="1:16" ht="15.75">
      <c r="A92" s="3">
        <v>3</v>
      </c>
      <c r="B92" s="4">
        <v>46161</v>
      </c>
      <c r="C92" s="3" t="s">
        <v>51</v>
      </c>
      <c r="D92" s="5" t="s">
        <v>79</v>
      </c>
      <c r="E92" s="5" t="s">
        <v>66</v>
      </c>
      <c r="F92" s="6" t="s">
        <v>77</v>
      </c>
      <c r="G92" s="6" t="s">
        <v>78</v>
      </c>
      <c r="H92" s="6">
        <v>7355817478</v>
      </c>
      <c r="I92" s="5">
        <v>750</v>
      </c>
      <c r="J92" s="3" t="s">
        <v>109</v>
      </c>
      <c r="K92" s="5">
        <v>750</v>
      </c>
      <c r="L92" s="6"/>
      <c r="M92" s="3"/>
      <c r="N92" s="5">
        <f t="shared" si="7"/>
        <v>750</v>
      </c>
      <c r="O92" s="5">
        <v>18000</v>
      </c>
      <c r="P92" s="5">
        <f t="shared" si="8"/>
        <v>17250</v>
      </c>
    </row>
    <row r="93" spans="1:16" ht="15.75">
      <c r="A93" s="3">
        <v>4</v>
      </c>
      <c r="B93" s="4">
        <v>46161</v>
      </c>
      <c r="C93" s="3" t="s">
        <v>51</v>
      </c>
      <c r="D93" s="5" t="s">
        <v>82</v>
      </c>
      <c r="E93" s="6" t="s">
        <v>66</v>
      </c>
      <c r="F93" s="6" t="s">
        <v>80</v>
      </c>
      <c r="G93" s="6" t="s">
        <v>81</v>
      </c>
      <c r="H93" s="6">
        <v>7027566795</v>
      </c>
      <c r="I93" s="5">
        <v>800</v>
      </c>
      <c r="J93" s="3" t="s">
        <v>109</v>
      </c>
      <c r="K93" s="5">
        <v>800</v>
      </c>
      <c r="L93" s="6"/>
      <c r="M93" s="3"/>
      <c r="N93" s="5">
        <f t="shared" si="7"/>
        <v>800</v>
      </c>
      <c r="O93" s="5">
        <v>25600</v>
      </c>
      <c r="P93" s="5">
        <f t="shared" si="8"/>
        <v>24800</v>
      </c>
    </row>
    <row r="94" spans="1:16" ht="15.75">
      <c r="A94" s="3">
        <v>5</v>
      </c>
      <c r="B94" s="4">
        <v>46161</v>
      </c>
      <c r="C94" s="3" t="s">
        <v>51</v>
      </c>
      <c r="D94" s="5" t="s">
        <v>85</v>
      </c>
      <c r="E94" s="6" t="s">
        <v>66</v>
      </c>
      <c r="F94" s="5" t="s">
        <v>83</v>
      </c>
      <c r="G94" s="5" t="s">
        <v>84</v>
      </c>
      <c r="H94" s="5">
        <v>9992825464</v>
      </c>
      <c r="I94" s="5">
        <v>800</v>
      </c>
      <c r="J94" s="3" t="s">
        <v>109</v>
      </c>
      <c r="K94" s="5">
        <v>800</v>
      </c>
      <c r="L94" s="6"/>
      <c r="M94" s="3"/>
      <c r="N94" s="5">
        <f t="shared" si="7"/>
        <v>800</v>
      </c>
      <c r="O94" s="5">
        <v>25600</v>
      </c>
      <c r="P94" s="5">
        <f t="shared" si="8"/>
        <v>24800</v>
      </c>
    </row>
    <row r="95" spans="1:16" ht="15.75">
      <c r="A95" s="3">
        <v>6</v>
      </c>
      <c r="B95" s="4">
        <v>46161</v>
      </c>
      <c r="C95" s="3" t="s">
        <v>51</v>
      </c>
      <c r="D95" s="10" t="s">
        <v>114</v>
      </c>
      <c r="E95" s="10" t="s">
        <v>66</v>
      </c>
      <c r="F95" s="10" t="s">
        <v>120</v>
      </c>
      <c r="G95" s="10" t="s">
        <v>124</v>
      </c>
      <c r="H95" s="10">
        <v>8295596976</v>
      </c>
      <c r="I95" s="10">
        <v>750</v>
      </c>
      <c r="J95" s="3" t="s">
        <v>109</v>
      </c>
      <c r="K95" s="10">
        <v>750</v>
      </c>
      <c r="L95" s="3"/>
      <c r="M95" s="3"/>
      <c r="N95" s="5">
        <f t="shared" si="7"/>
        <v>750</v>
      </c>
      <c r="O95" s="5">
        <v>18000</v>
      </c>
      <c r="P95" s="5">
        <f t="shared" si="8"/>
        <v>17250</v>
      </c>
    </row>
    <row r="96" spans="1:16" ht="15.75">
      <c r="A96" s="3">
        <v>7</v>
      </c>
      <c r="B96" s="4">
        <v>46161</v>
      </c>
      <c r="C96" s="3" t="s">
        <v>51</v>
      </c>
      <c r="D96" s="10" t="s">
        <v>115</v>
      </c>
      <c r="E96" s="10" t="s">
        <v>66</v>
      </c>
      <c r="F96" s="10" t="s">
        <v>121</v>
      </c>
      <c r="G96" s="10" t="s">
        <v>125</v>
      </c>
      <c r="H96" s="10">
        <v>8816907186</v>
      </c>
      <c r="I96" s="10">
        <v>750</v>
      </c>
      <c r="J96" s="3" t="s">
        <v>109</v>
      </c>
      <c r="K96" s="10">
        <v>750</v>
      </c>
      <c r="L96" s="3"/>
      <c r="M96" s="3"/>
      <c r="N96" s="5">
        <f t="shared" si="7"/>
        <v>750</v>
      </c>
      <c r="O96" s="5">
        <v>18000</v>
      </c>
      <c r="P96" s="5">
        <f t="shared" si="8"/>
        <v>17250</v>
      </c>
    </row>
    <row r="97" spans="1:16" ht="15.75">
      <c r="A97" s="3">
        <v>8</v>
      </c>
      <c r="B97" s="4">
        <v>46161</v>
      </c>
      <c r="C97" s="3" t="s">
        <v>51</v>
      </c>
      <c r="D97" s="10" t="s">
        <v>145</v>
      </c>
      <c r="E97" s="5" t="s">
        <v>66</v>
      </c>
      <c r="F97" s="5" t="s">
        <v>83</v>
      </c>
      <c r="G97" s="5" t="s">
        <v>138</v>
      </c>
      <c r="H97" s="5">
        <v>9813610261</v>
      </c>
      <c r="I97" s="5">
        <v>800</v>
      </c>
      <c r="J97" s="3" t="s">
        <v>109</v>
      </c>
      <c r="K97" s="5">
        <v>800</v>
      </c>
      <c r="L97" s="3"/>
      <c r="M97" s="3"/>
      <c r="N97" s="5">
        <f t="shared" si="7"/>
        <v>800</v>
      </c>
      <c r="O97" s="5">
        <v>26400</v>
      </c>
      <c r="P97" s="5">
        <f t="shared" si="8"/>
        <v>25600</v>
      </c>
    </row>
    <row r="98" spans="1:16" ht="15.75">
      <c r="A98" s="3">
        <v>9</v>
      </c>
      <c r="B98" s="4">
        <v>46161</v>
      </c>
      <c r="C98" s="3" t="s">
        <v>51</v>
      </c>
      <c r="D98" s="10" t="s">
        <v>147</v>
      </c>
      <c r="E98" s="5" t="s">
        <v>129</v>
      </c>
      <c r="F98" s="5" t="s">
        <v>132</v>
      </c>
      <c r="G98" s="5" t="s">
        <v>140</v>
      </c>
      <c r="H98" s="5">
        <v>8397037924</v>
      </c>
      <c r="I98" s="5">
        <v>800</v>
      </c>
      <c r="J98" s="3" t="s">
        <v>109</v>
      </c>
      <c r="K98" s="5">
        <v>800</v>
      </c>
      <c r="L98" s="3"/>
      <c r="M98" s="3"/>
      <c r="N98" s="5">
        <f t="shared" si="7"/>
        <v>800</v>
      </c>
      <c r="O98" s="5">
        <v>26400</v>
      </c>
      <c r="P98" s="5">
        <f t="shared" si="8"/>
        <v>25600</v>
      </c>
    </row>
    <row r="99" spans="1:16" ht="15.75">
      <c r="A99" s="3">
        <v>10</v>
      </c>
      <c r="B99" s="4">
        <v>46161</v>
      </c>
      <c r="C99" s="3" t="s">
        <v>51</v>
      </c>
      <c r="D99" s="10" t="s">
        <v>151</v>
      </c>
      <c r="E99" s="5" t="s">
        <v>66</v>
      </c>
      <c r="F99" s="5" t="s">
        <v>136</v>
      </c>
      <c r="G99" s="5" t="s">
        <v>143</v>
      </c>
      <c r="H99" s="5">
        <v>9992969785</v>
      </c>
      <c r="I99" s="5">
        <v>800</v>
      </c>
      <c r="J99" s="3" t="s">
        <v>109</v>
      </c>
      <c r="K99" s="5">
        <v>800</v>
      </c>
      <c r="L99" s="3"/>
      <c r="M99" s="3"/>
      <c r="N99" s="5">
        <f t="shared" si="7"/>
        <v>800</v>
      </c>
      <c r="O99" s="5">
        <v>26400</v>
      </c>
      <c r="P99" s="5">
        <f t="shared" si="8"/>
        <v>25600</v>
      </c>
    </row>
    <row r="100" spans="1:16" ht="15.75">
      <c r="A100" s="3"/>
      <c r="B100" s="4"/>
      <c r="C100" s="3"/>
      <c r="D100" s="10"/>
      <c r="E100" s="10"/>
      <c r="F100" s="10"/>
      <c r="G100" s="10"/>
      <c r="H100" s="10"/>
      <c r="I100" s="10"/>
      <c r="J100" s="3"/>
      <c r="K100" s="10"/>
      <c r="L100" s="3"/>
      <c r="M100" s="3"/>
      <c r="N100" s="10"/>
      <c r="O100" s="5"/>
      <c r="P100" s="5"/>
    </row>
    <row r="101" spans="1:16" ht="15.75">
      <c r="A101" s="3"/>
      <c r="B101" s="4"/>
      <c r="C101" s="3"/>
      <c r="D101" s="10"/>
      <c r="E101" s="10"/>
      <c r="F101" s="10"/>
      <c r="G101" s="10"/>
      <c r="H101" s="10"/>
      <c r="I101" s="10"/>
      <c r="J101" s="3"/>
      <c r="K101" s="10"/>
      <c r="L101" s="3"/>
      <c r="M101" s="3"/>
      <c r="N101" s="10"/>
      <c r="O101" s="5"/>
      <c r="P101" s="5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8.75">
      <c r="A103" s="3"/>
      <c r="B103" s="3"/>
      <c r="C103" s="3"/>
      <c r="D103" s="3"/>
      <c r="E103" s="3"/>
      <c r="F103" s="3"/>
      <c r="G103" s="3"/>
      <c r="H103" s="3"/>
      <c r="I103" s="49">
        <f>SUM(I90:I102)</f>
        <v>7800</v>
      </c>
      <c r="J103" s="49"/>
      <c r="K103" s="49">
        <f>SUM(K90:K102)</f>
        <v>7800</v>
      </c>
      <c r="L103" s="49"/>
      <c r="M103" s="49"/>
      <c r="N103" s="49">
        <f>SUM(N90:N102)</f>
        <v>7800</v>
      </c>
      <c r="O103" s="49">
        <f>SUM(O90:O102)</f>
        <v>228000</v>
      </c>
      <c r="P103" s="49">
        <f>SUM(P90:P102)</f>
        <v>220200</v>
      </c>
    </row>
    <row r="108" spans="1:16" ht="27.75">
      <c r="A108" s="142" t="s">
        <v>102</v>
      </c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</row>
    <row r="109" spans="1:16" ht="75">
      <c r="A109" s="1" t="s">
        <v>87</v>
      </c>
      <c r="B109" s="1" t="s">
        <v>103</v>
      </c>
      <c r="C109" s="1" t="s">
        <v>88</v>
      </c>
      <c r="D109" s="1" t="s">
        <v>104</v>
      </c>
      <c r="E109" s="1" t="s">
        <v>105</v>
      </c>
      <c r="F109" s="1" t="s">
        <v>106</v>
      </c>
      <c r="G109" s="1" t="s">
        <v>93</v>
      </c>
      <c r="H109" s="1" t="s">
        <v>107</v>
      </c>
      <c r="I109" s="1" t="s">
        <v>108</v>
      </c>
      <c r="J109" s="1" t="s">
        <v>109</v>
      </c>
      <c r="K109" s="1" t="s">
        <v>110</v>
      </c>
      <c r="L109" s="1" t="s">
        <v>21</v>
      </c>
      <c r="M109" s="1" t="s">
        <v>45</v>
      </c>
      <c r="N109" s="1" t="s">
        <v>111</v>
      </c>
      <c r="O109" s="2" t="s">
        <v>112</v>
      </c>
      <c r="P109" s="1" t="s">
        <v>113</v>
      </c>
    </row>
    <row r="110" spans="1:16" ht="15.75">
      <c r="A110" s="3">
        <v>1</v>
      </c>
      <c r="B110" s="4">
        <v>46162</v>
      </c>
      <c r="C110" s="3" t="s">
        <v>51</v>
      </c>
      <c r="D110" s="5" t="s">
        <v>56</v>
      </c>
      <c r="E110" s="5" t="s">
        <v>49</v>
      </c>
      <c r="F110" s="5" t="s">
        <v>53</v>
      </c>
      <c r="G110" s="5" t="s">
        <v>54</v>
      </c>
      <c r="H110" s="5">
        <v>9416205447</v>
      </c>
      <c r="I110" s="5">
        <v>750</v>
      </c>
      <c r="J110" s="3" t="s">
        <v>109</v>
      </c>
      <c r="K110" s="5">
        <v>750</v>
      </c>
      <c r="L110" s="6"/>
      <c r="M110" s="3"/>
      <c r="N110" s="3">
        <f>K110+L110</f>
        <v>750</v>
      </c>
      <c r="O110" s="5">
        <v>17250</v>
      </c>
      <c r="P110" s="5">
        <f>O110-N110</f>
        <v>16500</v>
      </c>
    </row>
    <row r="111" spans="1:16" ht="15.75">
      <c r="A111" s="3">
        <v>2</v>
      </c>
      <c r="B111" s="4">
        <v>46162</v>
      </c>
      <c r="C111" s="3" t="s">
        <v>51</v>
      </c>
      <c r="D111" s="5" t="s">
        <v>61</v>
      </c>
      <c r="E111" s="5" t="s">
        <v>58</v>
      </c>
      <c r="F111" s="5" t="s">
        <v>59</v>
      </c>
      <c r="G111" s="5" t="s">
        <v>60</v>
      </c>
      <c r="H111" s="5">
        <v>7082390753</v>
      </c>
      <c r="I111" s="5">
        <v>750</v>
      </c>
      <c r="J111" s="3" t="s">
        <v>109</v>
      </c>
      <c r="K111" s="5">
        <v>750</v>
      </c>
      <c r="L111" s="6"/>
      <c r="M111" s="3"/>
      <c r="N111" s="3">
        <f t="shared" ref="N111:N129" si="9">K111+L111</f>
        <v>750</v>
      </c>
      <c r="O111" s="5">
        <v>17250</v>
      </c>
      <c r="P111" s="5">
        <f t="shared" ref="P111:P128" si="10">O111-N111</f>
        <v>16500</v>
      </c>
    </row>
    <row r="112" spans="1:16" ht="15.75">
      <c r="A112" s="3">
        <v>3</v>
      </c>
      <c r="B112" s="4">
        <v>46162</v>
      </c>
      <c r="C112" s="3" t="s">
        <v>51</v>
      </c>
      <c r="D112" s="5" t="s">
        <v>65</v>
      </c>
      <c r="E112" s="5" t="s">
        <v>62</v>
      </c>
      <c r="F112" s="5" t="s">
        <v>63</v>
      </c>
      <c r="G112" s="5" t="s">
        <v>64</v>
      </c>
      <c r="H112" s="5">
        <v>9050560127</v>
      </c>
      <c r="I112" s="5">
        <v>750</v>
      </c>
      <c r="J112" s="3" t="s">
        <v>109</v>
      </c>
      <c r="K112" s="5">
        <v>750</v>
      </c>
      <c r="L112" s="6"/>
      <c r="M112" s="3"/>
      <c r="N112" s="3">
        <f t="shared" si="9"/>
        <v>750</v>
      </c>
      <c r="O112" s="5">
        <v>17250</v>
      </c>
      <c r="P112" s="5">
        <f t="shared" si="10"/>
        <v>16500</v>
      </c>
    </row>
    <row r="113" spans="1:16" ht="15.75">
      <c r="A113" s="3">
        <v>4</v>
      </c>
      <c r="B113" s="4">
        <v>46162</v>
      </c>
      <c r="C113" s="3" t="s">
        <v>51</v>
      </c>
      <c r="D113" s="5" t="s">
        <v>76</v>
      </c>
      <c r="E113" s="5" t="s">
        <v>62</v>
      </c>
      <c r="F113" s="6" t="s">
        <v>74</v>
      </c>
      <c r="G113" s="6" t="s">
        <v>75</v>
      </c>
      <c r="H113" s="6">
        <v>8607782625</v>
      </c>
      <c r="I113" s="5">
        <v>750</v>
      </c>
      <c r="J113" s="3" t="s">
        <v>109</v>
      </c>
      <c r="K113" s="5">
        <v>750</v>
      </c>
      <c r="L113" s="6"/>
      <c r="M113" s="3"/>
      <c r="N113" s="3">
        <f t="shared" si="9"/>
        <v>750</v>
      </c>
      <c r="O113" s="5">
        <v>17250</v>
      </c>
      <c r="P113" s="5">
        <f t="shared" si="10"/>
        <v>16500</v>
      </c>
    </row>
    <row r="114" spans="1:16" ht="15.75">
      <c r="A114" s="3">
        <v>5</v>
      </c>
      <c r="B114" s="4">
        <v>46162</v>
      </c>
      <c r="C114" s="3" t="s">
        <v>51</v>
      </c>
      <c r="D114" s="10" t="s">
        <v>116</v>
      </c>
      <c r="E114" s="10" t="s">
        <v>118</v>
      </c>
      <c r="F114" s="10" t="s">
        <v>122</v>
      </c>
      <c r="G114" s="10" t="s">
        <v>126</v>
      </c>
      <c r="H114" s="10">
        <v>9971164371</v>
      </c>
      <c r="I114" s="10">
        <v>750</v>
      </c>
      <c r="J114" s="3" t="s">
        <v>109</v>
      </c>
      <c r="K114" s="10">
        <v>750</v>
      </c>
      <c r="L114" s="6"/>
      <c r="M114" s="3"/>
      <c r="N114" s="3">
        <f t="shared" si="9"/>
        <v>750</v>
      </c>
      <c r="O114" s="5">
        <v>18000</v>
      </c>
      <c r="P114" s="5">
        <f t="shared" si="10"/>
        <v>17250</v>
      </c>
    </row>
    <row r="115" spans="1:16" ht="15.75">
      <c r="A115" s="3">
        <v>6</v>
      </c>
      <c r="B115" s="4">
        <v>46162</v>
      </c>
      <c r="C115" s="3" t="s">
        <v>51</v>
      </c>
      <c r="D115" s="10" t="s">
        <v>117</v>
      </c>
      <c r="E115" s="10" t="s">
        <v>119</v>
      </c>
      <c r="F115" s="10" t="s">
        <v>123</v>
      </c>
      <c r="G115" s="10" t="s">
        <v>127</v>
      </c>
      <c r="H115" s="10">
        <v>8816966347</v>
      </c>
      <c r="I115" s="10">
        <v>750</v>
      </c>
      <c r="J115" s="3" t="s">
        <v>109</v>
      </c>
      <c r="K115" s="10">
        <v>750</v>
      </c>
      <c r="L115" s="6"/>
      <c r="M115" s="3"/>
      <c r="N115" s="3">
        <f t="shared" si="9"/>
        <v>750</v>
      </c>
      <c r="O115" s="5">
        <v>18000</v>
      </c>
      <c r="P115" s="5">
        <f t="shared" si="10"/>
        <v>17250</v>
      </c>
    </row>
    <row r="116" spans="1:16" ht="15.75">
      <c r="A116" s="3">
        <v>7</v>
      </c>
      <c r="B116" s="4">
        <v>46162</v>
      </c>
      <c r="C116" s="3" t="s">
        <v>51</v>
      </c>
      <c r="D116" s="10" t="s">
        <v>146</v>
      </c>
      <c r="E116" s="5" t="s">
        <v>128</v>
      </c>
      <c r="F116" s="5" t="s">
        <v>131</v>
      </c>
      <c r="G116" s="5" t="s">
        <v>139</v>
      </c>
      <c r="H116" s="5">
        <v>8295428639</v>
      </c>
      <c r="I116" s="5">
        <v>800</v>
      </c>
      <c r="J116" s="3" t="s">
        <v>109</v>
      </c>
      <c r="K116" s="5">
        <v>800</v>
      </c>
      <c r="L116" s="6"/>
      <c r="M116" s="3"/>
      <c r="N116" s="3">
        <f t="shared" si="9"/>
        <v>800</v>
      </c>
      <c r="O116" s="5">
        <v>26400</v>
      </c>
      <c r="P116" s="5">
        <f t="shared" si="10"/>
        <v>25600</v>
      </c>
    </row>
    <row r="117" spans="1:16" ht="15.75">
      <c r="A117" s="3">
        <v>8</v>
      </c>
      <c r="B117" s="4">
        <v>46162</v>
      </c>
      <c r="C117" s="3" t="s">
        <v>51</v>
      </c>
      <c r="D117" s="10" t="s">
        <v>148</v>
      </c>
      <c r="E117" s="5" t="s">
        <v>130</v>
      </c>
      <c r="F117" s="5" t="s">
        <v>133</v>
      </c>
      <c r="G117" s="5" t="s">
        <v>68</v>
      </c>
      <c r="H117" s="5">
        <v>9050180519</v>
      </c>
      <c r="I117" s="6">
        <v>750</v>
      </c>
      <c r="J117" s="3" t="s">
        <v>109</v>
      </c>
      <c r="K117" s="6">
        <v>750</v>
      </c>
      <c r="L117" s="6"/>
      <c r="M117" s="3"/>
      <c r="N117" s="3">
        <f t="shared" si="9"/>
        <v>750</v>
      </c>
      <c r="O117" s="5">
        <v>18750</v>
      </c>
      <c r="P117" s="5">
        <f t="shared" si="10"/>
        <v>18000</v>
      </c>
    </row>
    <row r="118" spans="1:16" ht="15.75">
      <c r="A118" s="3">
        <v>9</v>
      </c>
      <c r="B118" s="4">
        <v>46162</v>
      </c>
      <c r="C118" s="3" t="s">
        <v>51</v>
      </c>
      <c r="D118" s="10" t="s">
        <v>149</v>
      </c>
      <c r="E118" s="5" t="s">
        <v>119</v>
      </c>
      <c r="F118" s="5" t="s">
        <v>134</v>
      </c>
      <c r="G118" s="5" t="s">
        <v>141</v>
      </c>
      <c r="H118" s="5">
        <v>9671597235</v>
      </c>
      <c r="I118" s="5">
        <v>800</v>
      </c>
      <c r="J118" s="3" t="s">
        <v>109</v>
      </c>
      <c r="K118" s="5">
        <v>800</v>
      </c>
      <c r="L118" s="6"/>
      <c r="M118" s="3"/>
      <c r="N118" s="3">
        <f t="shared" si="9"/>
        <v>800</v>
      </c>
      <c r="O118" s="5">
        <v>26400</v>
      </c>
      <c r="P118" s="5">
        <f t="shared" si="10"/>
        <v>25600</v>
      </c>
    </row>
    <row r="119" spans="1:16" ht="15.75">
      <c r="A119" s="3">
        <v>10</v>
      </c>
      <c r="B119" s="4">
        <v>46162</v>
      </c>
      <c r="C119" s="3" t="s">
        <v>51</v>
      </c>
      <c r="D119" s="10" t="s">
        <v>150</v>
      </c>
      <c r="E119" s="5" t="s">
        <v>119</v>
      </c>
      <c r="F119" s="5" t="s">
        <v>135</v>
      </c>
      <c r="G119" s="5" t="s">
        <v>142</v>
      </c>
      <c r="H119" s="5">
        <v>9729501850</v>
      </c>
      <c r="I119" s="5">
        <v>800</v>
      </c>
      <c r="J119" s="3" t="s">
        <v>109</v>
      </c>
      <c r="K119" s="5">
        <v>800</v>
      </c>
      <c r="L119" s="6"/>
      <c r="M119" s="3"/>
      <c r="N119" s="3">
        <f t="shared" si="9"/>
        <v>800</v>
      </c>
      <c r="O119" s="5">
        <v>26400</v>
      </c>
      <c r="P119" s="5">
        <f t="shared" si="10"/>
        <v>25600</v>
      </c>
    </row>
    <row r="120" spans="1:16" ht="15.75">
      <c r="A120" s="3">
        <v>11</v>
      </c>
      <c r="B120" s="4">
        <v>46162</v>
      </c>
      <c r="C120" s="3" t="s">
        <v>51</v>
      </c>
      <c r="D120" s="10" t="s">
        <v>152</v>
      </c>
      <c r="E120" s="5" t="s">
        <v>119</v>
      </c>
      <c r="F120" s="5" t="s">
        <v>137</v>
      </c>
      <c r="G120" s="5" t="s">
        <v>144</v>
      </c>
      <c r="H120" s="5">
        <v>9991638771</v>
      </c>
      <c r="I120" s="5">
        <v>800</v>
      </c>
      <c r="J120" s="3" t="s">
        <v>109</v>
      </c>
      <c r="K120" s="5">
        <v>800</v>
      </c>
      <c r="L120" s="6"/>
      <c r="M120" s="3"/>
      <c r="N120" s="3">
        <f t="shared" si="9"/>
        <v>800</v>
      </c>
      <c r="O120" s="5">
        <v>26400</v>
      </c>
      <c r="P120" s="5">
        <f t="shared" si="10"/>
        <v>25600</v>
      </c>
    </row>
    <row r="121" spans="1:16" ht="15.75">
      <c r="A121" s="3">
        <v>12</v>
      </c>
      <c r="B121" s="4">
        <v>46162</v>
      </c>
      <c r="C121" s="3" t="s">
        <v>51</v>
      </c>
      <c r="D121" s="10" t="s">
        <v>158</v>
      </c>
      <c r="E121" s="10" t="s">
        <v>119</v>
      </c>
      <c r="F121" s="10" t="s">
        <v>71</v>
      </c>
      <c r="G121" s="10" t="s">
        <v>167</v>
      </c>
      <c r="H121" s="10">
        <v>9992401965</v>
      </c>
      <c r="I121" s="5">
        <v>800</v>
      </c>
      <c r="J121" s="3" t="s">
        <v>109</v>
      </c>
      <c r="K121" s="5">
        <v>800</v>
      </c>
      <c r="L121" s="6"/>
      <c r="M121" s="3"/>
      <c r="N121" s="3">
        <f t="shared" si="9"/>
        <v>800</v>
      </c>
      <c r="O121" s="5">
        <v>26400</v>
      </c>
      <c r="P121" s="5">
        <f t="shared" si="10"/>
        <v>25600</v>
      </c>
    </row>
    <row r="122" spans="1:16" ht="15.75">
      <c r="A122" s="3">
        <v>13</v>
      </c>
      <c r="B122" s="4">
        <v>46162</v>
      </c>
      <c r="C122" s="3" t="s">
        <v>51</v>
      </c>
      <c r="D122" s="10" t="s">
        <v>159</v>
      </c>
      <c r="E122" s="10" t="s">
        <v>171</v>
      </c>
      <c r="F122" s="10" t="s">
        <v>163</v>
      </c>
      <c r="G122" s="10" t="s">
        <v>168</v>
      </c>
      <c r="H122" s="10">
        <v>7404474940</v>
      </c>
      <c r="I122" s="6">
        <v>750</v>
      </c>
      <c r="J122" s="3" t="s">
        <v>109</v>
      </c>
      <c r="K122" s="6">
        <v>750</v>
      </c>
      <c r="L122" s="6"/>
      <c r="M122" s="3"/>
      <c r="N122" s="3">
        <f t="shared" si="9"/>
        <v>750</v>
      </c>
      <c r="O122" s="5">
        <v>18750</v>
      </c>
      <c r="P122" s="5">
        <f t="shared" si="10"/>
        <v>18000</v>
      </c>
    </row>
    <row r="123" spans="1:16" ht="15.75">
      <c r="A123" s="3">
        <v>14</v>
      </c>
      <c r="B123" s="4">
        <v>46162</v>
      </c>
      <c r="C123" s="3" t="s">
        <v>51</v>
      </c>
      <c r="D123" s="10" t="s">
        <v>160</v>
      </c>
      <c r="E123" s="10" t="s">
        <v>172</v>
      </c>
      <c r="F123" s="10" t="s">
        <v>164</v>
      </c>
      <c r="G123" s="10" t="s">
        <v>169</v>
      </c>
      <c r="H123" s="10">
        <v>9540614028</v>
      </c>
      <c r="I123" s="5">
        <v>800</v>
      </c>
      <c r="J123" s="3" t="s">
        <v>109</v>
      </c>
      <c r="K123" s="5">
        <v>800</v>
      </c>
      <c r="L123" s="6"/>
      <c r="M123" s="3"/>
      <c r="N123" s="3">
        <f t="shared" si="9"/>
        <v>800</v>
      </c>
      <c r="O123" s="5">
        <v>26400</v>
      </c>
      <c r="P123" s="5">
        <f t="shared" si="10"/>
        <v>25600</v>
      </c>
    </row>
    <row r="124" spans="1:16" ht="15.75">
      <c r="A124" s="3">
        <v>15</v>
      </c>
      <c r="B124" s="4">
        <v>46162</v>
      </c>
      <c r="C124" s="3" t="s">
        <v>51</v>
      </c>
      <c r="D124" s="10" t="s">
        <v>161</v>
      </c>
      <c r="E124" s="10" t="s">
        <v>119</v>
      </c>
      <c r="F124" s="10" t="s">
        <v>165</v>
      </c>
      <c r="G124" s="10" t="s">
        <v>140</v>
      </c>
      <c r="H124" s="10">
        <v>8395910861</v>
      </c>
      <c r="I124" s="6">
        <v>750</v>
      </c>
      <c r="J124" s="3" t="s">
        <v>109</v>
      </c>
      <c r="K124" s="6">
        <v>750</v>
      </c>
      <c r="L124" s="6"/>
      <c r="M124" s="3"/>
      <c r="N124" s="3">
        <f t="shared" si="9"/>
        <v>750</v>
      </c>
      <c r="O124" s="5">
        <v>18750</v>
      </c>
      <c r="P124" s="5">
        <f t="shared" si="10"/>
        <v>18000</v>
      </c>
    </row>
    <row r="125" spans="1:16" ht="15.75">
      <c r="A125" s="3">
        <v>16</v>
      </c>
      <c r="B125" s="4">
        <v>46162</v>
      </c>
      <c r="C125" s="3" t="s">
        <v>51</v>
      </c>
      <c r="D125" s="10" t="s">
        <v>162</v>
      </c>
      <c r="E125" s="10" t="s">
        <v>119</v>
      </c>
      <c r="F125" s="10" t="s">
        <v>166</v>
      </c>
      <c r="G125" s="10" t="s">
        <v>170</v>
      </c>
      <c r="H125" s="10">
        <v>9671227093</v>
      </c>
      <c r="I125" s="5">
        <v>800</v>
      </c>
      <c r="J125" s="3" t="s">
        <v>109</v>
      </c>
      <c r="K125" s="5">
        <v>800</v>
      </c>
      <c r="L125" s="6"/>
      <c r="M125" s="3"/>
      <c r="N125" s="3">
        <f t="shared" si="9"/>
        <v>800</v>
      </c>
      <c r="O125" s="5">
        <v>26400</v>
      </c>
      <c r="P125" s="5">
        <f t="shared" si="10"/>
        <v>25600</v>
      </c>
    </row>
    <row r="126" spans="1:16" ht="15.75">
      <c r="A126" s="3">
        <v>17</v>
      </c>
      <c r="B126" s="4">
        <v>46162</v>
      </c>
      <c r="C126" s="3" t="s">
        <v>51</v>
      </c>
      <c r="D126" s="10" t="s">
        <v>174</v>
      </c>
      <c r="E126" s="5" t="s">
        <v>177</v>
      </c>
      <c r="F126" s="10" t="s">
        <v>179</v>
      </c>
      <c r="G126" s="10" t="s">
        <v>181</v>
      </c>
      <c r="H126" s="10">
        <v>9991575314</v>
      </c>
      <c r="I126" s="3">
        <v>800</v>
      </c>
      <c r="J126" s="3" t="s">
        <v>109</v>
      </c>
      <c r="K126" s="3">
        <v>800</v>
      </c>
      <c r="L126" s="3"/>
      <c r="M126" s="3"/>
      <c r="N126" s="3">
        <f t="shared" si="9"/>
        <v>800</v>
      </c>
      <c r="O126" s="5">
        <v>27200</v>
      </c>
      <c r="P126" s="5">
        <f t="shared" si="10"/>
        <v>26400</v>
      </c>
    </row>
    <row r="127" spans="1:16" ht="15.75">
      <c r="A127" s="3">
        <v>18</v>
      </c>
      <c r="B127" s="4">
        <v>46162</v>
      </c>
      <c r="C127" s="3" t="s">
        <v>51</v>
      </c>
      <c r="D127" s="10" t="s">
        <v>175</v>
      </c>
      <c r="E127" s="10" t="s">
        <v>171</v>
      </c>
      <c r="F127" s="10" t="s">
        <v>180</v>
      </c>
      <c r="G127" s="10" t="s">
        <v>182</v>
      </c>
      <c r="H127" s="10">
        <v>8814086202</v>
      </c>
      <c r="I127" s="3">
        <v>750</v>
      </c>
      <c r="J127" s="3" t="s">
        <v>109</v>
      </c>
      <c r="K127" s="3">
        <v>750</v>
      </c>
      <c r="L127" s="3"/>
      <c r="M127" s="3"/>
      <c r="N127" s="3">
        <f t="shared" si="9"/>
        <v>750</v>
      </c>
      <c r="O127" s="5">
        <v>18750</v>
      </c>
      <c r="P127" s="5">
        <f t="shared" si="10"/>
        <v>18000</v>
      </c>
    </row>
    <row r="128" spans="1:16" ht="15.75">
      <c r="A128" s="3">
        <v>19</v>
      </c>
      <c r="B128" s="4">
        <v>46162</v>
      </c>
      <c r="C128" s="3" t="s">
        <v>51</v>
      </c>
      <c r="D128" s="10" t="s">
        <v>176</v>
      </c>
      <c r="E128" s="10" t="s">
        <v>178</v>
      </c>
      <c r="F128" s="10" t="s">
        <v>165</v>
      </c>
      <c r="G128" s="10" t="s">
        <v>183</v>
      </c>
      <c r="H128" s="10">
        <v>9991361344</v>
      </c>
      <c r="I128" s="3">
        <v>750</v>
      </c>
      <c r="J128" s="3" t="s">
        <v>109</v>
      </c>
      <c r="K128" s="3">
        <v>750</v>
      </c>
      <c r="L128" s="3"/>
      <c r="M128" s="3"/>
      <c r="N128" s="3">
        <f t="shared" si="9"/>
        <v>750</v>
      </c>
      <c r="O128" s="5">
        <v>19500</v>
      </c>
      <c r="P128" s="5">
        <f t="shared" si="10"/>
        <v>18750</v>
      </c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>
        <f t="shared" si="9"/>
        <v>0</v>
      </c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>
        <f>SUM(I110:I131)</f>
        <v>14650</v>
      </c>
      <c r="J132" s="3"/>
      <c r="K132" s="3">
        <f>SUM(K110:K131)</f>
        <v>14650</v>
      </c>
      <c r="L132" s="3"/>
      <c r="M132" s="3"/>
      <c r="N132" s="3">
        <f>SUM(N110:N131)</f>
        <v>14650</v>
      </c>
      <c r="O132" s="3">
        <f>SUM(O110:O131)</f>
        <v>411500</v>
      </c>
      <c r="P132" s="3">
        <f>SUM(P110:P131)</f>
        <v>396850</v>
      </c>
    </row>
    <row r="137" spans="1:16" ht="27.75">
      <c r="A137" s="142" t="s">
        <v>155</v>
      </c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</row>
    <row r="138" spans="1:16" ht="75">
      <c r="A138" s="1" t="s">
        <v>87</v>
      </c>
      <c r="B138" s="1" t="s">
        <v>103</v>
      </c>
      <c r="C138" s="1" t="s">
        <v>88</v>
      </c>
      <c r="D138" s="1" t="s">
        <v>104</v>
      </c>
      <c r="E138" s="1" t="s">
        <v>105</v>
      </c>
      <c r="F138" s="1" t="s">
        <v>106</v>
      </c>
      <c r="G138" s="1" t="s">
        <v>93</v>
      </c>
      <c r="H138" s="1" t="s">
        <v>107</v>
      </c>
      <c r="I138" s="1" t="s">
        <v>108</v>
      </c>
      <c r="J138" s="1" t="s">
        <v>109</v>
      </c>
      <c r="K138" s="1" t="s">
        <v>110</v>
      </c>
      <c r="L138" s="1" t="s">
        <v>21</v>
      </c>
      <c r="M138" s="1" t="s">
        <v>45</v>
      </c>
      <c r="N138" s="1" t="s">
        <v>111</v>
      </c>
      <c r="O138" s="2" t="s">
        <v>112</v>
      </c>
      <c r="P138" s="1" t="s">
        <v>113</v>
      </c>
    </row>
    <row r="139" spans="1:16" ht="15.75">
      <c r="A139" s="3">
        <v>1</v>
      </c>
      <c r="B139" s="4">
        <v>46168</v>
      </c>
      <c r="C139" s="3" t="s">
        <v>51</v>
      </c>
      <c r="D139" s="5" t="s">
        <v>70</v>
      </c>
      <c r="E139" s="5" t="s">
        <v>66</v>
      </c>
      <c r="F139" s="5" t="s">
        <v>67</v>
      </c>
      <c r="G139" s="5" t="s">
        <v>68</v>
      </c>
      <c r="H139" s="5">
        <v>8395916139</v>
      </c>
      <c r="I139" s="5">
        <v>800</v>
      </c>
      <c r="J139" s="3" t="s">
        <v>109</v>
      </c>
      <c r="K139" s="5">
        <v>800</v>
      </c>
      <c r="L139" s="6"/>
      <c r="M139" s="3"/>
      <c r="N139" s="5">
        <f>K139+L139</f>
        <v>800</v>
      </c>
      <c r="O139" s="5">
        <v>24800</v>
      </c>
      <c r="P139" s="5">
        <f>O139-N139</f>
        <v>24000</v>
      </c>
    </row>
    <row r="140" spans="1:16" ht="15.75">
      <c r="A140" s="3">
        <v>2</v>
      </c>
      <c r="B140" s="4">
        <v>46168</v>
      </c>
      <c r="C140" s="3" t="s">
        <v>51</v>
      </c>
      <c r="D140" s="5" t="s">
        <v>73</v>
      </c>
      <c r="E140" s="5" t="s">
        <v>66</v>
      </c>
      <c r="F140" s="5" t="s">
        <v>71</v>
      </c>
      <c r="G140" s="5" t="s">
        <v>72</v>
      </c>
      <c r="H140" s="5">
        <v>7289049720</v>
      </c>
      <c r="I140" s="5">
        <v>750</v>
      </c>
      <c r="J140" s="3" t="s">
        <v>109</v>
      </c>
      <c r="K140" s="5">
        <v>750</v>
      </c>
      <c r="L140" s="6"/>
      <c r="M140" s="3"/>
      <c r="N140" s="5">
        <f t="shared" ref="N140:N158" si="11">K140+L140</f>
        <v>750</v>
      </c>
      <c r="O140" s="5">
        <v>17250</v>
      </c>
      <c r="P140" s="5">
        <f t="shared" ref="P140:P158" si="12">O140-N140</f>
        <v>16500</v>
      </c>
    </row>
    <row r="141" spans="1:16" ht="15.75">
      <c r="A141" s="3">
        <v>3</v>
      </c>
      <c r="B141" s="4">
        <v>46168</v>
      </c>
      <c r="C141" s="3" t="s">
        <v>51</v>
      </c>
      <c r="D141" s="5" t="s">
        <v>79</v>
      </c>
      <c r="E141" s="5" t="s">
        <v>66</v>
      </c>
      <c r="F141" s="6" t="s">
        <v>77</v>
      </c>
      <c r="G141" s="6" t="s">
        <v>78</v>
      </c>
      <c r="H141" s="6">
        <v>7355817478</v>
      </c>
      <c r="I141" s="5">
        <v>750</v>
      </c>
      <c r="J141" s="3" t="s">
        <v>109</v>
      </c>
      <c r="K141" s="5">
        <v>750</v>
      </c>
      <c r="L141" s="6"/>
      <c r="M141" s="3"/>
      <c r="N141" s="5">
        <f t="shared" si="11"/>
        <v>750</v>
      </c>
      <c r="O141" s="5">
        <v>17250</v>
      </c>
      <c r="P141" s="5">
        <f t="shared" si="12"/>
        <v>16500</v>
      </c>
    </row>
    <row r="142" spans="1:16" ht="15.75">
      <c r="A142" s="3">
        <v>4</v>
      </c>
      <c r="B142" s="4">
        <v>46168</v>
      </c>
      <c r="C142" s="3" t="s">
        <v>51</v>
      </c>
      <c r="D142" s="5" t="s">
        <v>82</v>
      </c>
      <c r="E142" s="6" t="s">
        <v>66</v>
      </c>
      <c r="F142" s="6" t="s">
        <v>80</v>
      </c>
      <c r="G142" s="6" t="s">
        <v>81</v>
      </c>
      <c r="H142" s="6">
        <v>7027566795</v>
      </c>
      <c r="I142" s="5">
        <v>800</v>
      </c>
      <c r="J142" s="3" t="s">
        <v>109</v>
      </c>
      <c r="K142" s="5">
        <v>800</v>
      </c>
      <c r="L142" s="6"/>
      <c r="M142" s="3"/>
      <c r="N142" s="5">
        <f t="shared" si="11"/>
        <v>800</v>
      </c>
      <c r="O142" s="5">
        <v>24800</v>
      </c>
      <c r="P142" s="5">
        <f t="shared" si="12"/>
        <v>24000</v>
      </c>
    </row>
    <row r="143" spans="1:16" ht="15.75">
      <c r="A143" s="3">
        <v>5</v>
      </c>
      <c r="B143" s="4">
        <v>46168</v>
      </c>
      <c r="C143" s="3" t="s">
        <v>51</v>
      </c>
      <c r="D143" s="5" t="s">
        <v>85</v>
      </c>
      <c r="E143" s="6" t="s">
        <v>66</v>
      </c>
      <c r="F143" s="5" t="s">
        <v>83</v>
      </c>
      <c r="G143" s="5" t="s">
        <v>84</v>
      </c>
      <c r="H143" s="5">
        <v>9992825464</v>
      </c>
      <c r="I143" s="5">
        <v>800</v>
      </c>
      <c r="J143" s="3" t="s">
        <v>109</v>
      </c>
      <c r="K143" s="5">
        <v>800</v>
      </c>
      <c r="L143" s="6"/>
      <c r="M143" s="3"/>
      <c r="N143" s="5">
        <f t="shared" si="11"/>
        <v>800</v>
      </c>
      <c r="O143" s="5">
        <v>24800</v>
      </c>
      <c r="P143" s="5">
        <f t="shared" si="12"/>
        <v>24000</v>
      </c>
    </row>
    <row r="144" spans="1:16" ht="15.75">
      <c r="A144" s="3">
        <v>6</v>
      </c>
      <c r="B144" s="4">
        <v>46168</v>
      </c>
      <c r="C144" s="3" t="s">
        <v>51</v>
      </c>
      <c r="D144" s="5" t="s">
        <v>114</v>
      </c>
      <c r="E144" s="10" t="s">
        <v>66</v>
      </c>
      <c r="F144" s="10" t="s">
        <v>120</v>
      </c>
      <c r="G144" s="10" t="s">
        <v>124</v>
      </c>
      <c r="H144" s="10">
        <v>8295596976</v>
      </c>
      <c r="I144" s="10">
        <v>750</v>
      </c>
      <c r="J144" s="3" t="s">
        <v>109</v>
      </c>
      <c r="K144" s="10">
        <v>750</v>
      </c>
      <c r="L144" s="3"/>
      <c r="M144" s="3"/>
      <c r="N144" s="5">
        <f t="shared" si="11"/>
        <v>750</v>
      </c>
      <c r="O144" s="5">
        <v>17250</v>
      </c>
      <c r="P144" s="5">
        <f t="shared" si="12"/>
        <v>16500</v>
      </c>
    </row>
    <row r="145" spans="1:16" ht="15.75">
      <c r="A145" s="3">
        <v>7</v>
      </c>
      <c r="B145" s="4">
        <v>46168</v>
      </c>
      <c r="C145" s="3" t="s">
        <v>51</v>
      </c>
      <c r="D145" s="5" t="s">
        <v>115</v>
      </c>
      <c r="E145" s="10" t="s">
        <v>66</v>
      </c>
      <c r="F145" s="10" t="s">
        <v>121</v>
      </c>
      <c r="G145" s="10" t="s">
        <v>125</v>
      </c>
      <c r="H145" s="10">
        <v>8816907186</v>
      </c>
      <c r="I145" s="10">
        <v>750</v>
      </c>
      <c r="J145" s="3" t="s">
        <v>109</v>
      </c>
      <c r="K145" s="10">
        <v>750</v>
      </c>
      <c r="L145" s="3"/>
      <c r="M145" s="3"/>
      <c r="N145" s="5">
        <f t="shared" si="11"/>
        <v>750</v>
      </c>
      <c r="O145" s="5">
        <v>17250</v>
      </c>
      <c r="P145" s="5">
        <f t="shared" si="12"/>
        <v>16500</v>
      </c>
    </row>
    <row r="146" spans="1:16" ht="15.75">
      <c r="A146" s="3">
        <v>8</v>
      </c>
      <c r="B146" s="4">
        <v>46168</v>
      </c>
      <c r="C146" s="3" t="s">
        <v>51</v>
      </c>
      <c r="D146" s="5" t="s">
        <v>145</v>
      </c>
      <c r="E146" s="5" t="s">
        <v>66</v>
      </c>
      <c r="F146" s="5" t="s">
        <v>83</v>
      </c>
      <c r="G146" s="5" t="s">
        <v>138</v>
      </c>
      <c r="H146" s="5">
        <v>9813610261</v>
      </c>
      <c r="I146" s="5">
        <v>800</v>
      </c>
      <c r="J146" s="3" t="s">
        <v>109</v>
      </c>
      <c r="K146" s="5">
        <v>800</v>
      </c>
      <c r="L146" s="3"/>
      <c r="M146" s="3"/>
      <c r="N146" s="5">
        <f t="shared" si="11"/>
        <v>800</v>
      </c>
      <c r="O146" s="5">
        <v>25600</v>
      </c>
      <c r="P146" s="5">
        <f t="shared" si="12"/>
        <v>24800</v>
      </c>
    </row>
    <row r="147" spans="1:16" ht="15.75">
      <c r="A147" s="3">
        <v>9</v>
      </c>
      <c r="B147" s="4">
        <v>46168</v>
      </c>
      <c r="C147" s="3" t="s">
        <v>51</v>
      </c>
      <c r="D147" s="5" t="s">
        <v>147</v>
      </c>
      <c r="E147" s="5" t="s">
        <v>129</v>
      </c>
      <c r="F147" s="5" t="s">
        <v>132</v>
      </c>
      <c r="G147" s="5" t="s">
        <v>140</v>
      </c>
      <c r="H147" s="5">
        <v>8397037924</v>
      </c>
      <c r="I147" s="5">
        <v>800</v>
      </c>
      <c r="J147" s="3" t="s">
        <v>109</v>
      </c>
      <c r="K147" s="5">
        <v>800</v>
      </c>
      <c r="L147" s="3"/>
      <c r="M147" s="3"/>
      <c r="N147" s="5">
        <f t="shared" si="11"/>
        <v>800</v>
      </c>
      <c r="O147" s="5">
        <v>25600</v>
      </c>
      <c r="P147" s="5">
        <f t="shared" si="12"/>
        <v>24800</v>
      </c>
    </row>
    <row r="148" spans="1:16" ht="15.75">
      <c r="A148" s="3">
        <v>10</v>
      </c>
      <c r="B148" s="4">
        <v>46168</v>
      </c>
      <c r="C148" s="3" t="s">
        <v>51</v>
      </c>
      <c r="D148" s="5" t="s">
        <v>151</v>
      </c>
      <c r="E148" s="5" t="s">
        <v>66</v>
      </c>
      <c r="F148" s="5" t="s">
        <v>136</v>
      </c>
      <c r="G148" s="5" t="s">
        <v>143</v>
      </c>
      <c r="H148" s="5">
        <v>9992969785</v>
      </c>
      <c r="I148" s="5">
        <v>800</v>
      </c>
      <c r="J148" s="3" t="s">
        <v>109</v>
      </c>
      <c r="K148" s="5">
        <v>800</v>
      </c>
      <c r="L148" s="3"/>
      <c r="M148" s="3"/>
      <c r="N148" s="5">
        <f t="shared" si="11"/>
        <v>800</v>
      </c>
      <c r="O148" s="5">
        <v>25600</v>
      </c>
      <c r="P148" s="5">
        <f t="shared" si="12"/>
        <v>24800</v>
      </c>
    </row>
    <row r="149" spans="1:16" ht="15.75">
      <c r="A149" s="3">
        <v>11</v>
      </c>
      <c r="B149" s="4">
        <v>46168</v>
      </c>
      <c r="C149" s="3" t="s">
        <v>51</v>
      </c>
      <c r="D149" s="5" t="s">
        <v>190</v>
      </c>
      <c r="E149" s="10" t="s">
        <v>195</v>
      </c>
      <c r="F149" s="10" t="s">
        <v>184</v>
      </c>
      <c r="G149" s="10" t="s">
        <v>185</v>
      </c>
      <c r="H149" s="41">
        <v>9728976039</v>
      </c>
      <c r="I149" s="43">
        <v>750</v>
      </c>
      <c r="J149" s="3" t="s">
        <v>109</v>
      </c>
      <c r="K149" s="43">
        <v>750</v>
      </c>
      <c r="L149" s="3"/>
      <c r="M149" s="3"/>
      <c r="N149" s="5">
        <f t="shared" si="11"/>
        <v>750</v>
      </c>
      <c r="O149" s="5">
        <v>19500</v>
      </c>
      <c r="P149" s="5">
        <f t="shared" si="12"/>
        <v>18750</v>
      </c>
    </row>
    <row r="150" spans="1:16" ht="15.75">
      <c r="A150" s="3">
        <v>12</v>
      </c>
      <c r="B150" s="4">
        <v>46168</v>
      </c>
      <c r="C150" s="3" t="s">
        <v>51</v>
      </c>
      <c r="D150" s="5" t="s">
        <v>191</v>
      </c>
      <c r="E150" s="10" t="s">
        <v>196</v>
      </c>
      <c r="F150" s="10" t="s">
        <v>186</v>
      </c>
      <c r="G150" s="10" t="s">
        <v>187</v>
      </c>
      <c r="H150" s="41">
        <v>9991073613</v>
      </c>
      <c r="I150" s="43">
        <v>750</v>
      </c>
      <c r="J150" s="3" t="s">
        <v>109</v>
      </c>
      <c r="K150" s="43">
        <v>750</v>
      </c>
      <c r="L150" s="3"/>
      <c r="M150" s="3"/>
      <c r="N150" s="5">
        <f t="shared" si="11"/>
        <v>750</v>
      </c>
      <c r="O150" s="5">
        <v>19500</v>
      </c>
      <c r="P150" s="5">
        <f t="shared" si="12"/>
        <v>18750</v>
      </c>
    </row>
    <row r="151" spans="1:16" ht="15.75">
      <c r="A151" s="3">
        <v>13</v>
      </c>
      <c r="B151" s="4">
        <v>46168</v>
      </c>
      <c r="C151" s="3" t="s">
        <v>51</v>
      </c>
      <c r="D151" s="5" t="s">
        <v>192</v>
      </c>
      <c r="E151" s="10" t="s">
        <v>195</v>
      </c>
      <c r="F151" s="10" t="s">
        <v>188</v>
      </c>
      <c r="G151" s="10" t="s">
        <v>198</v>
      </c>
      <c r="H151" s="41">
        <v>8047377476</v>
      </c>
      <c r="I151" s="5">
        <v>800</v>
      </c>
      <c r="J151" s="3" t="s">
        <v>109</v>
      </c>
      <c r="K151" s="5">
        <v>800</v>
      </c>
      <c r="L151" s="3"/>
      <c r="M151" s="3"/>
      <c r="N151" s="5">
        <f t="shared" si="11"/>
        <v>800</v>
      </c>
      <c r="O151" s="5">
        <v>27200</v>
      </c>
      <c r="P151" s="5">
        <f t="shared" si="12"/>
        <v>26400</v>
      </c>
    </row>
    <row r="152" spans="1:16" ht="15.75">
      <c r="A152" s="3">
        <v>14</v>
      </c>
      <c r="B152" s="4">
        <v>46168</v>
      </c>
      <c r="C152" s="3" t="s">
        <v>51</v>
      </c>
      <c r="D152" s="5" t="s">
        <v>193</v>
      </c>
      <c r="E152" s="10" t="s">
        <v>195</v>
      </c>
      <c r="F152" s="10" t="s">
        <v>83</v>
      </c>
      <c r="G152" s="10" t="s">
        <v>189</v>
      </c>
      <c r="H152" s="41">
        <v>8396804752</v>
      </c>
      <c r="I152" s="43">
        <v>750</v>
      </c>
      <c r="J152" s="3" t="s">
        <v>109</v>
      </c>
      <c r="K152" s="43">
        <v>750</v>
      </c>
      <c r="L152" s="3"/>
      <c r="M152" s="3"/>
      <c r="N152" s="5">
        <f t="shared" si="11"/>
        <v>750</v>
      </c>
      <c r="O152" s="5">
        <v>19500</v>
      </c>
      <c r="P152" s="5">
        <f t="shared" si="12"/>
        <v>18750</v>
      </c>
    </row>
    <row r="153" spans="1:16" ht="15.75">
      <c r="A153" s="3">
        <v>15</v>
      </c>
      <c r="B153" s="4">
        <v>46168</v>
      </c>
      <c r="C153" s="3" t="s">
        <v>51</v>
      </c>
      <c r="D153" s="5" t="s">
        <v>207</v>
      </c>
      <c r="E153" s="10" t="s">
        <v>225</v>
      </c>
      <c r="F153" s="10" t="s">
        <v>213</v>
      </c>
      <c r="G153" s="10" t="s">
        <v>214</v>
      </c>
      <c r="H153" s="41">
        <v>9034419162</v>
      </c>
      <c r="I153" s="43">
        <v>750</v>
      </c>
      <c r="J153" s="3" t="s">
        <v>109</v>
      </c>
      <c r="K153" s="43">
        <v>750</v>
      </c>
      <c r="L153" s="3"/>
      <c r="M153" s="3"/>
      <c r="N153" s="5">
        <f t="shared" si="11"/>
        <v>750</v>
      </c>
      <c r="O153" s="5">
        <v>19500</v>
      </c>
      <c r="P153" s="5">
        <f t="shared" si="12"/>
        <v>18750</v>
      </c>
    </row>
    <row r="154" spans="1:16" ht="15.75">
      <c r="A154" s="3">
        <v>16</v>
      </c>
      <c r="B154" s="4">
        <v>46168</v>
      </c>
      <c r="C154" s="3" t="s">
        <v>51</v>
      </c>
      <c r="D154" s="5" t="s">
        <v>209</v>
      </c>
      <c r="E154" s="10" t="s">
        <v>226</v>
      </c>
      <c r="F154" s="10" t="s">
        <v>217</v>
      </c>
      <c r="G154" s="10" t="s">
        <v>218</v>
      </c>
      <c r="H154" s="41">
        <v>9671740481</v>
      </c>
      <c r="I154" s="43">
        <v>750</v>
      </c>
      <c r="J154" s="3" t="s">
        <v>109</v>
      </c>
      <c r="K154" s="43">
        <v>750</v>
      </c>
      <c r="L154" s="3"/>
      <c r="M154" s="3"/>
      <c r="N154" s="5">
        <f t="shared" si="11"/>
        <v>750</v>
      </c>
      <c r="O154" s="5">
        <v>19500</v>
      </c>
      <c r="P154" s="5">
        <f t="shared" si="12"/>
        <v>18750</v>
      </c>
    </row>
    <row r="155" spans="1:16" ht="15.75">
      <c r="A155" s="3">
        <v>17</v>
      </c>
      <c r="B155" s="4">
        <v>46168</v>
      </c>
      <c r="C155" s="3" t="s">
        <v>51</v>
      </c>
      <c r="D155" s="5" t="s">
        <v>210</v>
      </c>
      <c r="E155" s="10" t="s">
        <v>227</v>
      </c>
      <c r="F155" s="10" t="s">
        <v>219</v>
      </c>
      <c r="G155" s="10" t="s">
        <v>220</v>
      </c>
      <c r="H155" s="41">
        <v>9311797101</v>
      </c>
      <c r="I155" s="43">
        <v>750</v>
      </c>
      <c r="J155" s="3" t="s">
        <v>109</v>
      </c>
      <c r="K155" s="43">
        <v>750</v>
      </c>
      <c r="L155" s="3"/>
      <c r="M155" s="3"/>
      <c r="N155" s="5">
        <f t="shared" si="11"/>
        <v>750</v>
      </c>
      <c r="O155" s="5">
        <v>19500</v>
      </c>
      <c r="P155" s="5">
        <f t="shared" si="12"/>
        <v>18750</v>
      </c>
    </row>
    <row r="156" spans="1:16" ht="15.75">
      <c r="A156" s="3">
        <v>18</v>
      </c>
      <c r="B156" s="4">
        <v>46168</v>
      </c>
      <c r="C156" s="3" t="s">
        <v>51</v>
      </c>
      <c r="D156" s="5" t="s">
        <v>211</v>
      </c>
      <c r="E156" s="10" t="s">
        <v>226</v>
      </c>
      <c r="F156" s="10" t="s">
        <v>221</v>
      </c>
      <c r="G156" s="10" t="s">
        <v>222</v>
      </c>
      <c r="H156" s="41">
        <v>7206610781</v>
      </c>
      <c r="I156" s="43">
        <v>750</v>
      </c>
      <c r="J156" s="3" t="s">
        <v>109</v>
      </c>
      <c r="K156" s="43">
        <v>750</v>
      </c>
      <c r="L156" s="3"/>
      <c r="M156" s="3"/>
      <c r="N156" s="5">
        <f t="shared" si="11"/>
        <v>750</v>
      </c>
      <c r="O156" s="5">
        <v>19500</v>
      </c>
      <c r="P156" s="5">
        <f t="shared" si="12"/>
        <v>18750</v>
      </c>
    </row>
    <row r="157" spans="1:16" ht="15.75">
      <c r="A157" s="3">
        <v>19</v>
      </c>
      <c r="B157" s="4">
        <v>46168</v>
      </c>
      <c r="C157" s="3" t="s">
        <v>51</v>
      </c>
      <c r="D157" s="5" t="s">
        <v>212</v>
      </c>
      <c r="E157" s="10" t="s">
        <v>226</v>
      </c>
      <c r="F157" s="10" t="s">
        <v>223</v>
      </c>
      <c r="G157" s="10" t="s">
        <v>224</v>
      </c>
      <c r="H157" s="41">
        <v>8814045633</v>
      </c>
      <c r="I157" s="43">
        <v>750</v>
      </c>
      <c r="J157" s="3" t="s">
        <v>109</v>
      </c>
      <c r="K157" s="43">
        <v>750</v>
      </c>
      <c r="L157" s="3"/>
      <c r="M157" s="3"/>
      <c r="N157" s="5">
        <f t="shared" si="11"/>
        <v>750</v>
      </c>
      <c r="O157" s="5">
        <v>19500</v>
      </c>
      <c r="P157" s="5">
        <f t="shared" si="12"/>
        <v>18750</v>
      </c>
    </row>
    <row r="158" spans="1:16" ht="15.75">
      <c r="A158" s="3">
        <v>20</v>
      </c>
      <c r="B158" s="4">
        <v>46168</v>
      </c>
      <c r="C158" s="3" t="s">
        <v>51</v>
      </c>
      <c r="D158" s="5" t="s">
        <v>228</v>
      </c>
      <c r="E158" s="50" t="s">
        <v>229</v>
      </c>
      <c r="F158" s="10" t="s">
        <v>165</v>
      </c>
      <c r="G158" s="10" t="s">
        <v>198</v>
      </c>
      <c r="H158" s="10" t="s">
        <v>230</v>
      </c>
      <c r="I158" s="43">
        <v>750</v>
      </c>
      <c r="J158" s="3" t="s">
        <v>109</v>
      </c>
      <c r="K158" s="43">
        <v>750</v>
      </c>
      <c r="L158" s="3"/>
      <c r="M158" s="3"/>
      <c r="N158" s="5">
        <f t="shared" si="11"/>
        <v>750</v>
      </c>
      <c r="O158" s="5">
        <v>19500</v>
      </c>
      <c r="P158" s="5">
        <f t="shared" si="12"/>
        <v>18750</v>
      </c>
    </row>
    <row r="159" spans="1:16" ht="15.75">
      <c r="A159" s="3"/>
      <c r="B159" s="4"/>
      <c r="C159" s="3"/>
      <c r="D159" s="10"/>
      <c r="E159" s="10"/>
      <c r="F159" s="10"/>
      <c r="G159" s="10"/>
      <c r="H159" s="10"/>
      <c r="I159" s="10"/>
      <c r="J159" s="3"/>
      <c r="K159" s="10"/>
      <c r="L159" s="3"/>
      <c r="M159" s="3"/>
      <c r="N159" s="10"/>
      <c r="O159" s="5"/>
      <c r="P159" s="5"/>
    </row>
    <row r="160" spans="1:16" ht="15.75">
      <c r="A160" s="3"/>
      <c r="B160" s="4"/>
      <c r="C160" s="3"/>
      <c r="D160" s="10"/>
      <c r="E160" s="10"/>
      <c r="F160" s="10"/>
      <c r="G160" s="10"/>
      <c r="H160" s="10"/>
      <c r="I160" s="10"/>
      <c r="J160" s="3"/>
      <c r="K160" s="10"/>
      <c r="L160" s="3"/>
      <c r="M160" s="3"/>
      <c r="N160" s="10"/>
      <c r="O160" s="5"/>
      <c r="P160" s="5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8.75">
      <c r="A162" s="3"/>
      <c r="B162" s="3"/>
      <c r="C162" s="3"/>
      <c r="D162" s="3"/>
      <c r="E162" s="3"/>
      <c r="F162" s="3"/>
      <c r="G162" s="3"/>
      <c r="H162" s="3"/>
      <c r="I162" s="49">
        <f>SUM(I139:I161)</f>
        <v>15350</v>
      </c>
      <c r="J162" s="49"/>
      <c r="K162" s="49">
        <f>SUM(K139:K161)</f>
        <v>15350</v>
      </c>
      <c r="L162" s="49"/>
      <c r="M162" s="49"/>
      <c r="N162" s="49">
        <f>SUM(N139:N161)</f>
        <v>15350</v>
      </c>
      <c r="O162" s="49">
        <f>SUM(O139:O161)</f>
        <v>422900</v>
      </c>
      <c r="P162" s="49">
        <f>SUM(P139:P161)</f>
        <v>407550</v>
      </c>
    </row>
    <row r="168" spans="1:16" ht="27.75">
      <c r="A168" s="142" t="s">
        <v>102</v>
      </c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</row>
    <row r="169" spans="1:16" ht="75">
      <c r="A169" s="1" t="s">
        <v>87</v>
      </c>
      <c r="B169" s="1" t="s">
        <v>103</v>
      </c>
      <c r="C169" s="1" t="s">
        <v>88</v>
      </c>
      <c r="D169" s="1" t="s">
        <v>104</v>
      </c>
      <c r="E169" s="1" t="s">
        <v>105</v>
      </c>
      <c r="F169" s="1" t="s">
        <v>106</v>
      </c>
      <c r="G169" s="1" t="s">
        <v>93</v>
      </c>
      <c r="H169" s="1" t="s">
        <v>107</v>
      </c>
      <c r="I169" s="1" t="s">
        <v>108</v>
      </c>
      <c r="J169" s="1" t="s">
        <v>109</v>
      </c>
      <c r="K169" s="1" t="s">
        <v>110</v>
      </c>
      <c r="L169" s="1" t="s">
        <v>21</v>
      </c>
      <c r="M169" s="1" t="s">
        <v>45</v>
      </c>
      <c r="N169" s="1" t="s">
        <v>111</v>
      </c>
      <c r="O169" s="2" t="s">
        <v>112</v>
      </c>
      <c r="P169" s="1" t="s">
        <v>113</v>
      </c>
    </row>
    <row r="170" spans="1:16" ht="15.75">
      <c r="A170" s="3">
        <v>1</v>
      </c>
      <c r="B170" s="4">
        <v>46169</v>
      </c>
      <c r="C170" s="3" t="s">
        <v>51</v>
      </c>
      <c r="D170" s="5" t="s">
        <v>56</v>
      </c>
      <c r="E170" s="5" t="s">
        <v>49</v>
      </c>
      <c r="F170" s="5" t="s">
        <v>53</v>
      </c>
      <c r="G170" s="5" t="s">
        <v>54</v>
      </c>
      <c r="H170" s="5">
        <v>9416205447</v>
      </c>
      <c r="I170" s="5">
        <v>750</v>
      </c>
      <c r="J170" s="3"/>
      <c r="K170" s="5"/>
      <c r="L170" s="6"/>
      <c r="M170" s="3"/>
      <c r="N170" s="3">
        <f>K170+L170</f>
        <v>0</v>
      </c>
      <c r="O170" s="5">
        <v>16500</v>
      </c>
      <c r="P170" s="5">
        <f>O170-N170</f>
        <v>16500</v>
      </c>
    </row>
    <row r="171" spans="1:16" ht="15.75">
      <c r="A171" s="3">
        <v>2</v>
      </c>
      <c r="B171" s="4">
        <v>46169</v>
      </c>
      <c r="C171" s="3" t="s">
        <v>51</v>
      </c>
      <c r="D171" s="5" t="s">
        <v>61</v>
      </c>
      <c r="E171" s="5" t="s">
        <v>58</v>
      </c>
      <c r="F171" s="5" t="s">
        <v>59</v>
      </c>
      <c r="G171" s="5" t="s">
        <v>60</v>
      </c>
      <c r="H171" s="5">
        <v>7082390753</v>
      </c>
      <c r="I171" s="5">
        <v>750</v>
      </c>
      <c r="J171" s="3"/>
      <c r="K171" s="5"/>
      <c r="L171" s="6"/>
      <c r="M171" s="3"/>
      <c r="N171" s="3">
        <f t="shared" ref="N171:N194" si="13">K171+L171</f>
        <v>0</v>
      </c>
      <c r="O171" s="5">
        <v>16500</v>
      </c>
      <c r="P171" s="5">
        <f t="shared" ref="P171:P194" si="14">O171-N171</f>
        <v>16500</v>
      </c>
    </row>
    <row r="172" spans="1:16" ht="15.75">
      <c r="A172" s="3">
        <v>3</v>
      </c>
      <c r="B172" s="4">
        <v>46169</v>
      </c>
      <c r="C172" s="3" t="s">
        <v>51</v>
      </c>
      <c r="D172" s="5" t="s">
        <v>65</v>
      </c>
      <c r="E172" s="5" t="s">
        <v>62</v>
      </c>
      <c r="F172" s="5" t="s">
        <v>63</v>
      </c>
      <c r="G172" s="5" t="s">
        <v>64</v>
      </c>
      <c r="H172" s="5">
        <v>9050560127</v>
      </c>
      <c r="I172" s="5">
        <v>750</v>
      </c>
      <c r="J172" s="3"/>
      <c r="K172" s="5"/>
      <c r="L172" s="6"/>
      <c r="M172" s="3"/>
      <c r="N172" s="3">
        <f t="shared" si="13"/>
        <v>0</v>
      </c>
      <c r="O172" s="5">
        <v>16500</v>
      </c>
      <c r="P172" s="5">
        <f t="shared" si="14"/>
        <v>16500</v>
      </c>
    </row>
    <row r="173" spans="1:16" ht="15.75">
      <c r="A173" s="3">
        <v>4</v>
      </c>
      <c r="B173" s="4">
        <v>46169</v>
      </c>
      <c r="C173" s="3" t="s">
        <v>51</v>
      </c>
      <c r="D173" s="5" t="s">
        <v>76</v>
      </c>
      <c r="E173" s="5" t="s">
        <v>62</v>
      </c>
      <c r="F173" s="6" t="s">
        <v>74</v>
      </c>
      <c r="G173" s="6" t="s">
        <v>75</v>
      </c>
      <c r="H173" s="6">
        <v>8607782625</v>
      </c>
      <c r="I173" s="5">
        <v>750</v>
      </c>
      <c r="J173" s="3"/>
      <c r="K173" s="5"/>
      <c r="L173" s="6"/>
      <c r="M173" s="3"/>
      <c r="N173" s="3">
        <f t="shared" si="13"/>
        <v>0</v>
      </c>
      <c r="O173" s="5">
        <v>16500</v>
      </c>
      <c r="P173" s="5">
        <f t="shared" si="14"/>
        <v>16500</v>
      </c>
    </row>
    <row r="174" spans="1:16" ht="15.75">
      <c r="A174" s="3">
        <v>5</v>
      </c>
      <c r="B174" s="4">
        <v>46169</v>
      </c>
      <c r="C174" s="3" t="s">
        <v>51</v>
      </c>
      <c r="D174" s="5" t="s">
        <v>116</v>
      </c>
      <c r="E174" s="10" t="s">
        <v>118</v>
      </c>
      <c r="F174" s="10" t="s">
        <v>122</v>
      </c>
      <c r="G174" s="10" t="s">
        <v>126</v>
      </c>
      <c r="H174" s="10">
        <v>9971164371</v>
      </c>
      <c r="I174" s="10">
        <v>750</v>
      </c>
      <c r="J174" s="3"/>
      <c r="K174" s="10"/>
      <c r="L174" s="6"/>
      <c r="M174" s="3"/>
      <c r="N174" s="3">
        <f t="shared" si="13"/>
        <v>0</v>
      </c>
      <c r="O174" s="5">
        <v>17250</v>
      </c>
      <c r="P174" s="5">
        <f t="shared" si="14"/>
        <v>17250</v>
      </c>
    </row>
    <row r="175" spans="1:16" ht="15.75">
      <c r="A175" s="3">
        <v>6</v>
      </c>
      <c r="B175" s="4">
        <v>46169</v>
      </c>
      <c r="C175" s="3" t="s">
        <v>51</v>
      </c>
      <c r="D175" s="5" t="s">
        <v>117</v>
      </c>
      <c r="E175" s="10" t="s">
        <v>119</v>
      </c>
      <c r="F175" s="10" t="s">
        <v>123</v>
      </c>
      <c r="G175" s="10" t="s">
        <v>127</v>
      </c>
      <c r="H175" s="10">
        <v>8816966347</v>
      </c>
      <c r="I175" s="10">
        <v>750</v>
      </c>
      <c r="J175" s="3"/>
      <c r="K175" s="10"/>
      <c r="L175" s="6"/>
      <c r="M175" s="3"/>
      <c r="N175" s="3">
        <f t="shared" si="13"/>
        <v>0</v>
      </c>
      <c r="O175" s="5">
        <v>17250</v>
      </c>
      <c r="P175" s="5">
        <f t="shared" si="14"/>
        <v>17250</v>
      </c>
    </row>
    <row r="176" spans="1:16" ht="15.75">
      <c r="A176" s="3">
        <v>7</v>
      </c>
      <c r="B176" s="4">
        <v>46169</v>
      </c>
      <c r="C176" s="3" t="s">
        <v>51</v>
      </c>
      <c r="D176" s="5" t="s">
        <v>146</v>
      </c>
      <c r="E176" s="5" t="s">
        <v>128</v>
      </c>
      <c r="F176" s="5" t="s">
        <v>131</v>
      </c>
      <c r="G176" s="5" t="s">
        <v>139</v>
      </c>
      <c r="H176" s="5">
        <v>8295428639</v>
      </c>
      <c r="I176" s="5">
        <v>800</v>
      </c>
      <c r="J176" s="3"/>
      <c r="K176" s="5"/>
      <c r="L176" s="6"/>
      <c r="M176" s="3"/>
      <c r="N176" s="3">
        <f t="shared" si="13"/>
        <v>0</v>
      </c>
      <c r="O176" s="5">
        <v>25600</v>
      </c>
      <c r="P176" s="5">
        <f t="shared" si="14"/>
        <v>25600</v>
      </c>
    </row>
    <row r="177" spans="1:16" ht="15.75">
      <c r="A177" s="3">
        <v>8</v>
      </c>
      <c r="B177" s="4">
        <v>46169</v>
      </c>
      <c r="C177" s="3" t="s">
        <v>51</v>
      </c>
      <c r="D177" s="5" t="s">
        <v>148</v>
      </c>
      <c r="E177" s="5" t="s">
        <v>130</v>
      </c>
      <c r="F177" s="5" t="s">
        <v>133</v>
      </c>
      <c r="G177" s="5" t="s">
        <v>68</v>
      </c>
      <c r="H177" s="5">
        <v>9050180519</v>
      </c>
      <c r="I177" s="6">
        <v>750</v>
      </c>
      <c r="J177" s="3"/>
      <c r="K177" s="6"/>
      <c r="L177" s="6"/>
      <c r="M177" s="3"/>
      <c r="N177" s="3">
        <f t="shared" si="13"/>
        <v>0</v>
      </c>
      <c r="O177" s="5">
        <v>18000</v>
      </c>
      <c r="P177" s="5">
        <f t="shared" si="14"/>
        <v>18000</v>
      </c>
    </row>
    <row r="178" spans="1:16" ht="15.75">
      <c r="A178" s="3">
        <v>9</v>
      </c>
      <c r="B178" s="4">
        <v>46169</v>
      </c>
      <c r="C178" s="3" t="s">
        <v>51</v>
      </c>
      <c r="D178" s="5" t="s">
        <v>149</v>
      </c>
      <c r="E178" s="5" t="s">
        <v>119</v>
      </c>
      <c r="F178" s="5" t="s">
        <v>134</v>
      </c>
      <c r="G178" s="5" t="s">
        <v>141</v>
      </c>
      <c r="H178" s="5">
        <v>9671597235</v>
      </c>
      <c r="I178" s="5">
        <v>800</v>
      </c>
      <c r="J178" s="3"/>
      <c r="K178" s="5"/>
      <c r="L178" s="6"/>
      <c r="M178" s="3"/>
      <c r="N178" s="3">
        <f t="shared" si="13"/>
        <v>0</v>
      </c>
      <c r="O178" s="5">
        <v>25600</v>
      </c>
      <c r="P178" s="5">
        <f t="shared" si="14"/>
        <v>25600</v>
      </c>
    </row>
    <row r="179" spans="1:16" ht="15.75">
      <c r="A179" s="3">
        <v>10</v>
      </c>
      <c r="B179" s="4">
        <v>46169</v>
      </c>
      <c r="C179" s="3" t="s">
        <v>51</v>
      </c>
      <c r="D179" s="5" t="s">
        <v>150</v>
      </c>
      <c r="E179" s="5" t="s">
        <v>119</v>
      </c>
      <c r="F179" s="5" t="s">
        <v>135</v>
      </c>
      <c r="G179" s="5" t="s">
        <v>142</v>
      </c>
      <c r="H179" s="5">
        <v>9729501850</v>
      </c>
      <c r="I179" s="5">
        <v>800</v>
      </c>
      <c r="J179" s="3"/>
      <c r="K179" s="5"/>
      <c r="L179" s="6"/>
      <c r="M179" s="3"/>
      <c r="N179" s="3">
        <f t="shared" si="13"/>
        <v>0</v>
      </c>
      <c r="O179" s="5">
        <v>25600</v>
      </c>
      <c r="P179" s="5">
        <f t="shared" si="14"/>
        <v>25600</v>
      </c>
    </row>
    <row r="180" spans="1:16" ht="15.75">
      <c r="A180" s="3">
        <v>11</v>
      </c>
      <c r="B180" s="4">
        <v>46169</v>
      </c>
      <c r="C180" s="3" t="s">
        <v>51</v>
      </c>
      <c r="D180" s="5" t="s">
        <v>152</v>
      </c>
      <c r="E180" s="5" t="s">
        <v>119</v>
      </c>
      <c r="F180" s="5" t="s">
        <v>137</v>
      </c>
      <c r="G180" s="5" t="s">
        <v>144</v>
      </c>
      <c r="H180" s="5">
        <v>9991638771</v>
      </c>
      <c r="I180" s="5">
        <v>800</v>
      </c>
      <c r="J180" s="3"/>
      <c r="K180" s="5"/>
      <c r="L180" s="6"/>
      <c r="M180" s="3"/>
      <c r="N180" s="3">
        <f t="shared" si="13"/>
        <v>0</v>
      </c>
      <c r="O180" s="5">
        <v>25600</v>
      </c>
      <c r="P180" s="5">
        <f t="shared" si="14"/>
        <v>25600</v>
      </c>
    </row>
    <row r="181" spans="1:16" ht="15.75">
      <c r="A181" s="3">
        <v>12</v>
      </c>
      <c r="B181" s="4">
        <v>46169</v>
      </c>
      <c r="C181" s="3" t="s">
        <v>51</v>
      </c>
      <c r="D181" s="5" t="s">
        <v>158</v>
      </c>
      <c r="E181" s="10" t="s">
        <v>119</v>
      </c>
      <c r="F181" s="10" t="s">
        <v>71</v>
      </c>
      <c r="G181" s="10" t="s">
        <v>167</v>
      </c>
      <c r="H181" s="10">
        <v>9992401965</v>
      </c>
      <c r="I181" s="5">
        <v>800</v>
      </c>
      <c r="J181" s="3"/>
      <c r="K181" s="5"/>
      <c r="L181" s="6"/>
      <c r="M181" s="3"/>
      <c r="N181" s="3">
        <f t="shared" si="13"/>
        <v>0</v>
      </c>
      <c r="O181" s="5">
        <v>25600</v>
      </c>
      <c r="P181" s="5">
        <f t="shared" si="14"/>
        <v>25600</v>
      </c>
    </row>
    <row r="182" spans="1:16" ht="15.75">
      <c r="A182" s="3">
        <v>13</v>
      </c>
      <c r="B182" s="4">
        <v>46169</v>
      </c>
      <c r="C182" s="3" t="s">
        <v>51</v>
      </c>
      <c r="D182" s="5" t="s">
        <v>159</v>
      </c>
      <c r="E182" s="10" t="s">
        <v>171</v>
      </c>
      <c r="F182" s="10" t="s">
        <v>163</v>
      </c>
      <c r="G182" s="10" t="s">
        <v>168</v>
      </c>
      <c r="H182" s="10">
        <v>7404474940</v>
      </c>
      <c r="I182" s="6">
        <v>750</v>
      </c>
      <c r="J182" s="3"/>
      <c r="K182" s="6"/>
      <c r="L182" s="6"/>
      <c r="M182" s="3"/>
      <c r="N182" s="3">
        <f t="shared" si="13"/>
        <v>0</v>
      </c>
      <c r="O182" s="5">
        <v>18000</v>
      </c>
      <c r="P182" s="5">
        <f t="shared" si="14"/>
        <v>18000</v>
      </c>
    </row>
    <row r="183" spans="1:16" ht="15.75">
      <c r="A183" s="3">
        <v>14</v>
      </c>
      <c r="B183" s="4">
        <v>46169</v>
      </c>
      <c r="C183" s="3" t="s">
        <v>51</v>
      </c>
      <c r="D183" s="5" t="s">
        <v>160</v>
      </c>
      <c r="E183" s="10" t="s">
        <v>172</v>
      </c>
      <c r="F183" s="10" t="s">
        <v>164</v>
      </c>
      <c r="G183" s="10" t="s">
        <v>169</v>
      </c>
      <c r="H183" s="10">
        <v>9540614028</v>
      </c>
      <c r="I183" s="5">
        <v>800</v>
      </c>
      <c r="J183" s="3"/>
      <c r="K183" s="5"/>
      <c r="L183" s="6"/>
      <c r="M183" s="3"/>
      <c r="N183" s="3">
        <f t="shared" si="13"/>
        <v>0</v>
      </c>
      <c r="O183" s="5">
        <v>25600</v>
      </c>
      <c r="P183" s="5">
        <f t="shared" si="14"/>
        <v>25600</v>
      </c>
    </row>
    <row r="184" spans="1:16" ht="15.75">
      <c r="A184" s="3">
        <v>15</v>
      </c>
      <c r="B184" s="4">
        <v>46169</v>
      </c>
      <c r="C184" s="3" t="s">
        <v>51</v>
      </c>
      <c r="D184" s="5" t="s">
        <v>161</v>
      </c>
      <c r="E184" s="10" t="s">
        <v>119</v>
      </c>
      <c r="F184" s="10" t="s">
        <v>165</v>
      </c>
      <c r="G184" s="10" t="s">
        <v>140</v>
      </c>
      <c r="H184" s="10">
        <v>8395910861</v>
      </c>
      <c r="I184" s="6">
        <v>750</v>
      </c>
      <c r="J184" s="3"/>
      <c r="K184" s="6"/>
      <c r="L184" s="6"/>
      <c r="M184" s="3"/>
      <c r="N184" s="3">
        <f t="shared" si="13"/>
        <v>0</v>
      </c>
      <c r="O184" s="5">
        <v>18000</v>
      </c>
      <c r="P184" s="5">
        <f t="shared" si="14"/>
        <v>18000</v>
      </c>
    </row>
    <row r="185" spans="1:16" ht="15.75">
      <c r="A185" s="3">
        <v>16</v>
      </c>
      <c r="B185" s="4">
        <v>46169</v>
      </c>
      <c r="C185" s="3" t="s">
        <v>51</v>
      </c>
      <c r="D185" s="5" t="s">
        <v>162</v>
      </c>
      <c r="E185" s="10" t="s">
        <v>119</v>
      </c>
      <c r="F185" s="10" t="s">
        <v>166</v>
      </c>
      <c r="G185" s="10" t="s">
        <v>170</v>
      </c>
      <c r="H185" s="10">
        <v>9671227093</v>
      </c>
      <c r="I185" s="5">
        <v>800</v>
      </c>
      <c r="J185" s="3"/>
      <c r="K185" s="5"/>
      <c r="L185" s="6"/>
      <c r="M185" s="3"/>
      <c r="N185" s="3">
        <f t="shared" si="13"/>
        <v>0</v>
      </c>
      <c r="O185" s="5">
        <v>25600</v>
      </c>
      <c r="P185" s="5">
        <f t="shared" si="14"/>
        <v>25600</v>
      </c>
    </row>
    <row r="186" spans="1:16" ht="15.75">
      <c r="A186" s="3">
        <v>17</v>
      </c>
      <c r="B186" s="4">
        <v>46169</v>
      </c>
      <c r="C186" s="3" t="s">
        <v>51</v>
      </c>
      <c r="D186" s="5" t="s">
        <v>174</v>
      </c>
      <c r="E186" s="5" t="s">
        <v>177</v>
      </c>
      <c r="F186" s="10" t="s">
        <v>179</v>
      </c>
      <c r="G186" s="10" t="s">
        <v>181</v>
      </c>
      <c r="H186" s="10">
        <v>9991575314</v>
      </c>
      <c r="I186" s="3">
        <v>800</v>
      </c>
      <c r="J186" s="3"/>
      <c r="K186" s="3"/>
      <c r="L186" s="3"/>
      <c r="M186" s="3"/>
      <c r="N186" s="3">
        <f t="shared" si="13"/>
        <v>0</v>
      </c>
      <c r="O186" s="5">
        <v>26400</v>
      </c>
      <c r="P186" s="5">
        <f t="shared" si="14"/>
        <v>26400</v>
      </c>
    </row>
    <row r="187" spans="1:16" ht="15.75">
      <c r="A187" s="3">
        <v>18</v>
      </c>
      <c r="B187" s="4">
        <v>46169</v>
      </c>
      <c r="C187" s="3" t="s">
        <v>51</v>
      </c>
      <c r="D187" s="5" t="s">
        <v>175</v>
      </c>
      <c r="E187" s="10" t="s">
        <v>171</v>
      </c>
      <c r="F187" s="10" t="s">
        <v>180</v>
      </c>
      <c r="G187" s="10" t="s">
        <v>182</v>
      </c>
      <c r="H187" s="10">
        <v>8814086202</v>
      </c>
      <c r="I187" s="3">
        <v>750</v>
      </c>
      <c r="J187" s="3"/>
      <c r="K187" s="3"/>
      <c r="L187" s="3"/>
      <c r="M187" s="3"/>
      <c r="N187" s="3">
        <f t="shared" si="13"/>
        <v>0</v>
      </c>
      <c r="O187" s="5">
        <v>18000</v>
      </c>
      <c r="P187" s="5">
        <f t="shared" si="14"/>
        <v>18000</v>
      </c>
    </row>
    <row r="188" spans="1:16" ht="15.75">
      <c r="A188" s="3">
        <v>19</v>
      </c>
      <c r="B188" s="4">
        <v>46169</v>
      </c>
      <c r="C188" s="3" t="s">
        <v>51</v>
      </c>
      <c r="D188" s="5" t="s">
        <v>176</v>
      </c>
      <c r="E188" s="10" t="s">
        <v>178</v>
      </c>
      <c r="F188" s="10" t="s">
        <v>165</v>
      </c>
      <c r="G188" s="10" t="s">
        <v>183</v>
      </c>
      <c r="H188" s="10">
        <v>9991361344</v>
      </c>
      <c r="I188" s="3">
        <v>750</v>
      </c>
      <c r="J188" s="3"/>
      <c r="K188" s="3"/>
      <c r="L188" s="3"/>
      <c r="M188" s="3"/>
      <c r="N188" s="3">
        <f t="shared" si="13"/>
        <v>0</v>
      </c>
      <c r="O188" s="5">
        <v>18750</v>
      </c>
      <c r="P188" s="5">
        <f t="shared" si="14"/>
        <v>18750</v>
      </c>
    </row>
    <row r="189" spans="1:16" ht="15.75">
      <c r="A189" s="3">
        <v>20</v>
      </c>
      <c r="B189" s="4">
        <v>46169</v>
      </c>
      <c r="C189" s="3" t="s">
        <v>51</v>
      </c>
      <c r="D189" s="5" t="s">
        <v>194</v>
      </c>
      <c r="E189" s="10" t="s">
        <v>197</v>
      </c>
      <c r="F189" s="10" t="s">
        <v>71</v>
      </c>
      <c r="G189" s="10" t="s">
        <v>125</v>
      </c>
      <c r="H189" s="41">
        <v>9053156064</v>
      </c>
      <c r="I189" s="43">
        <v>750</v>
      </c>
      <c r="J189" s="3"/>
      <c r="K189" s="3"/>
      <c r="L189" s="3"/>
      <c r="M189" s="3"/>
      <c r="N189" s="3">
        <f t="shared" si="13"/>
        <v>0</v>
      </c>
      <c r="O189" s="5">
        <v>19500</v>
      </c>
      <c r="P189" s="5">
        <f t="shared" si="14"/>
        <v>19500</v>
      </c>
    </row>
    <row r="190" spans="1:16" ht="15.75">
      <c r="A190" s="3">
        <v>21</v>
      </c>
      <c r="B190" s="4">
        <v>46169</v>
      </c>
      <c r="C190" s="3" t="s">
        <v>51</v>
      </c>
      <c r="D190" s="5" t="s">
        <v>199</v>
      </c>
      <c r="E190" s="10" t="s">
        <v>197</v>
      </c>
      <c r="F190" s="10" t="s">
        <v>53</v>
      </c>
      <c r="G190" s="10" t="s">
        <v>204</v>
      </c>
      <c r="H190" s="41">
        <v>9813304531</v>
      </c>
      <c r="I190" s="43">
        <v>750</v>
      </c>
      <c r="J190" s="3"/>
      <c r="K190" s="3"/>
      <c r="L190" s="3"/>
      <c r="M190" s="3"/>
      <c r="N190" s="3">
        <f t="shared" si="13"/>
        <v>0</v>
      </c>
      <c r="O190" s="5">
        <v>19500</v>
      </c>
      <c r="P190" s="5">
        <f t="shared" si="14"/>
        <v>19500</v>
      </c>
    </row>
    <row r="191" spans="1:16" ht="15.75">
      <c r="A191" s="3">
        <v>22</v>
      </c>
      <c r="B191" s="4">
        <v>46169</v>
      </c>
      <c r="C191" s="3" t="s">
        <v>51</v>
      </c>
      <c r="D191" s="5" t="s">
        <v>200</v>
      </c>
      <c r="E191" s="10" t="s">
        <v>197</v>
      </c>
      <c r="F191" s="10" t="s">
        <v>121</v>
      </c>
      <c r="G191" s="10" t="s">
        <v>140</v>
      </c>
      <c r="H191" s="41">
        <v>8930321437</v>
      </c>
      <c r="I191" s="43">
        <v>800</v>
      </c>
      <c r="J191" s="3"/>
      <c r="K191" s="3"/>
      <c r="L191" s="3"/>
      <c r="M191" s="3"/>
      <c r="N191" s="3">
        <f t="shared" si="13"/>
        <v>0</v>
      </c>
      <c r="O191" s="5">
        <v>27200</v>
      </c>
      <c r="P191" s="5">
        <f t="shared" si="14"/>
        <v>27200</v>
      </c>
    </row>
    <row r="192" spans="1:16" ht="15.75">
      <c r="A192" s="3">
        <v>23</v>
      </c>
      <c r="B192" s="4">
        <v>46169</v>
      </c>
      <c r="C192" s="3" t="s">
        <v>51</v>
      </c>
      <c r="D192" s="5" t="s">
        <v>201</v>
      </c>
      <c r="E192" s="10" t="s">
        <v>206</v>
      </c>
      <c r="F192" s="10" t="s">
        <v>165</v>
      </c>
      <c r="G192" s="10" t="s">
        <v>205</v>
      </c>
      <c r="H192" s="41">
        <v>8295267191</v>
      </c>
      <c r="I192" s="43">
        <v>800</v>
      </c>
      <c r="J192" s="3"/>
      <c r="K192" s="3"/>
      <c r="L192" s="3"/>
      <c r="M192" s="3"/>
      <c r="N192" s="3">
        <f t="shared" si="13"/>
        <v>0</v>
      </c>
      <c r="O192" s="5">
        <v>27200</v>
      </c>
      <c r="P192" s="5">
        <f t="shared" si="14"/>
        <v>27200</v>
      </c>
    </row>
    <row r="193" spans="1:16" ht="15.75">
      <c r="A193" s="3">
        <v>24</v>
      </c>
      <c r="B193" s="4">
        <v>46169</v>
      </c>
      <c r="C193" s="3" t="s">
        <v>51</v>
      </c>
      <c r="D193" s="5" t="s">
        <v>202</v>
      </c>
      <c r="E193" s="10" t="s">
        <v>118</v>
      </c>
      <c r="F193" s="10" t="s">
        <v>203</v>
      </c>
      <c r="G193" s="10" t="s">
        <v>185</v>
      </c>
      <c r="H193" s="41">
        <v>7988050867</v>
      </c>
      <c r="I193" s="43">
        <v>750</v>
      </c>
      <c r="J193" s="3"/>
      <c r="K193" s="3"/>
      <c r="L193" s="3"/>
      <c r="M193" s="3"/>
      <c r="N193" s="3">
        <f t="shared" si="13"/>
        <v>0</v>
      </c>
      <c r="O193" s="5">
        <v>19500</v>
      </c>
      <c r="P193" s="5">
        <f t="shared" si="14"/>
        <v>19500</v>
      </c>
    </row>
    <row r="194" spans="1:16" ht="15.75">
      <c r="A194" s="3">
        <v>25</v>
      </c>
      <c r="B194" s="4">
        <v>46169</v>
      </c>
      <c r="C194" s="3" t="s">
        <v>51</v>
      </c>
      <c r="D194" s="5" t="s">
        <v>208</v>
      </c>
      <c r="E194" s="10" t="s">
        <v>49</v>
      </c>
      <c r="F194" s="10" t="s">
        <v>215</v>
      </c>
      <c r="G194" s="10" t="s">
        <v>216</v>
      </c>
      <c r="H194" s="41">
        <v>9812012403</v>
      </c>
      <c r="I194" s="43">
        <v>800</v>
      </c>
      <c r="J194" s="3"/>
      <c r="K194" s="3"/>
      <c r="L194" s="3"/>
      <c r="M194" s="3"/>
      <c r="N194" s="3">
        <f t="shared" si="13"/>
        <v>0</v>
      </c>
      <c r="O194" s="5">
        <v>27200</v>
      </c>
      <c r="P194" s="5">
        <f t="shared" si="14"/>
        <v>27200</v>
      </c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5.75">
      <c r="A196" s="3"/>
      <c r="B196" s="3"/>
      <c r="C196" s="3"/>
      <c r="D196" s="3"/>
      <c r="E196" s="3"/>
      <c r="F196" s="3"/>
      <c r="G196" s="3"/>
      <c r="H196" s="3"/>
      <c r="I196" s="6">
        <f>SUM(I170:I195)</f>
        <v>19300</v>
      </c>
      <c r="J196" s="3"/>
      <c r="K196" s="3">
        <f>SUM(K170:K195)</f>
        <v>0</v>
      </c>
      <c r="L196" s="3"/>
      <c r="M196" s="3"/>
      <c r="N196" s="3">
        <f>SUM(N170:N195)</f>
        <v>0</v>
      </c>
      <c r="O196" s="6">
        <f>SUM(O170:O195)</f>
        <v>536950</v>
      </c>
      <c r="P196" s="6">
        <f>SUM(P170:P195)</f>
        <v>536950</v>
      </c>
    </row>
    <row r="202" spans="1:16" ht="27.75">
      <c r="A202" s="142" t="s">
        <v>155</v>
      </c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</row>
    <row r="203" spans="1:16" ht="75">
      <c r="A203" s="1" t="s">
        <v>87</v>
      </c>
      <c r="B203" s="1" t="s">
        <v>103</v>
      </c>
      <c r="C203" s="1" t="s">
        <v>88</v>
      </c>
      <c r="D203" s="1" t="s">
        <v>104</v>
      </c>
      <c r="E203" s="1" t="s">
        <v>105</v>
      </c>
      <c r="F203" s="1" t="s">
        <v>106</v>
      </c>
      <c r="G203" s="1" t="s">
        <v>93</v>
      </c>
      <c r="H203" s="1" t="s">
        <v>107</v>
      </c>
      <c r="I203" s="1" t="s">
        <v>108</v>
      </c>
      <c r="J203" s="1" t="s">
        <v>109</v>
      </c>
      <c r="K203" s="1" t="s">
        <v>110</v>
      </c>
      <c r="L203" s="1" t="s">
        <v>21</v>
      </c>
      <c r="M203" s="1" t="s">
        <v>45</v>
      </c>
      <c r="N203" s="1" t="s">
        <v>111</v>
      </c>
      <c r="O203" s="2" t="s">
        <v>112</v>
      </c>
      <c r="P203" s="1" t="s">
        <v>113</v>
      </c>
    </row>
    <row r="204" spans="1:16" ht="15.75">
      <c r="A204" s="3">
        <v>1</v>
      </c>
      <c r="B204" s="4">
        <v>46175</v>
      </c>
      <c r="C204" s="3" t="s">
        <v>51</v>
      </c>
      <c r="D204" s="5" t="s">
        <v>70</v>
      </c>
      <c r="E204" s="5" t="s">
        <v>66</v>
      </c>
      <c r="F204" s="5" t="s">
        <v>67</v>
      </c>
      <c r="G204" s="5" t="s">
        <v>68</v>
      </c>
      <c r="H204" s="5">
        <v>8395916139</v>
      </c>
      <c r="I204" s="5">
        <v>800</v>
      </c>
      <c r="J204" s="3" t="s">
        <v>109</v>
      </c>
      <c r="K204" s="5">
        <v>800</v>
      </c>
      <c r="L204" s="6"/>
      <c r="M204" s="3"/>
      <c r="N204" s="5">
        <f>K204+L204</f>
        <v>800</v>
      </c>
      <c r="O204" s="5">
        <v>24000</v>
      </c>
      <c r="P204" s="5">
        <f>O204-N204</f>
        <v>23200</v>
      </c>
    </row>
    <row r="205" spans="1:16" ht="15.75">
      <c r="A205" s="3">
        <v>2</v>
      </c>
      <c r="B205" s="4">
        <v>46175</v>
      </c>
      <c r="C205" s="3" t="s">
        <v>51</v>
      </c>
      <c r="D205" s="5" t="s">
        <v>73</v>
      </c>
      <c r="E205" s="5" t="s">
        <v>66</v>
      </c>
      <c r="F205" s="5" t="s">
        <v>71</v>
      </c>
      <c r="G205" s="5" t="s">
        <v>72</v>
      </c>
      <c r="H205" s="5">
        <v>7289049720</v>
      </c>
      <c r="I205" s="5">
        <v>750</v>
      </c>
      <c r="J205" s="3" t="s">
        <v>109</v>
      </c>
      <c r="K205" s="5">
        <v>750</v>
      </c>
      <c r="L205" s="6"/>
      <c r="M205" s="3"/>
      <c r="N205" s="5">
        <f t="shared" ref="N205:N232" si="15">K205+L205</f>
        <v>750</v>
      </c>
      <c r="O205" s="5">
        <v>16500</v>
      </c>
      <c r="P205" s="5">
        <f t="shared" ref="P205:P232" si="16">O205-N205</f>
        <v>15750</v>
      </c>
    </row>
    <row r="206" spans="1:16" ht="15.75">
      <c r="A206" s="3">
        <v>3</v>
      </c>
      <c r="B206" s="4">
        <v>46175</v>
      </c>
      <c r="C206" s="3" t="s">
        <v>51</v>
      </c>
      <c r="D206" s="5" t="s">
        <v>79</v>
      </c>
      <c r="E206" s="5" t="s">
        <v>66</v>
      </c>
      <c r="F206" s="6" t="s">
        <v>77</v>
      </c>
      <c r="G206" s="6" t="s">
        <v>78</v>
      </c>
      <c r="H206" s="6">
        <v>7355817478</v>
      </c>
      <c r="I206" s="5">
        <v>750</v>
      </c>
      <c r="J206" s="3" t="s">
        <v>109</v>
      </c>
      <c r="K206" s="5">
        <v>750</v>
      </c>
      <c r="L206" s="6"/>
      <c r="M206" s="3"/>
      <c r="N206" s="5">
        <f t="shared" si="15"/>
        <v>750</v>
      </c>
      <c r="O206" s="5">
        <v>16500</v>
      </c>
      <c r="P206" s="5">
        <f t="shared" si="16"/>
        <v>15750</v>
      </c>
    </row>
    <row r="207" spans="1:16" ht="15.75">
      <c r="A207" s="3">
        <v>4</v>
      </c>
      <c r="B207" s="4">
        <v>46175</v>
      </c>
      <c r="C207" s="3" t="s">
        <v>51</v>
      </c>
      <c r="D207" s="5" t="s">
        <v>82</v>
      </c>
      <c r="E207" s="6" t="s">
        <v>66</v>
      </c>
      <c r="F207" s="6" t="s">
        <v>80</v>
      </c>
      <c r="G207" s="6" t="s">
        <v>81</v>
      </c>
      <c r="H207" s="6">
        <v>7027566795</v>
      </c>
      <c r="I207" s="5">
        <v>800</v>
      </c>
      <c r="J207" s="3"/>
      <c r="K207" s="5"/>
      <c r="L207" s="6"/>
      <c r="M207" s="3"/>
      <c r="N207" s="5">
        <f t="shared" si="15"/>
        <v>0</v>
      </c>
      <c r="O207" s="5">
        <v>24000</v>
      </c>
      <c r="P207" s="5">
        <f t="shared" si="16"/>
        <v>24000</v>
      </c>
    </row>
    <row r="208" spans="1:16" ht="15.75">
      <c r="A208" s="3">
        <v>5</v>
      </c>
      <c r="B208" s="4">
        <v>46175</v>
      </c>
      <c r="C208" s="3" t="s">
        <v>51</v>
      </c>
      <c r="D208" s="5" t="s">
        <v>85</v>
      </c>
      <c r="E208" s="6" t="s">
        <v>66</v>
      </c>
      <c r="F208" s="5" t="s">
        <v>83</v>
      </c>
      <c r="G208" s="5" t="s">
        <v>84</v>
      </c>
      <c r="H208" s="5">
        <v>9992825464</v>
      </c>
      <c r="I208" s="5">
        <v>800</v>
      </c>
      <c r="J208" s="3" t="s">
        <v>109</v>
      </c>
      <c r="K208" s="5">
        <v>800</v>
      </c>
      <c r="L208" s="6"/>
      <c r="M208" s="3"/>
      <c r="N208" s="5">
        <f t="shared" si="15"/>
        <v>800</v>
      </c>
      <c r="O208" s="5">
        <v>24000</v>
      </c>
      <c r="P208" s="5">
        <f t="shared" si="16"/>
        <v>23200</v>
      </c>
    </row>
    <row r="209" spans="1:16" ht="15.75">
      <c r="A209" s="3">
        <v>6</v>
      </c>
      <c r="B209" s="4">
        <v>46175</v>
      </c>
      <c r="C209" s="3" t="s">
        <v>51</v>
      </c>
      <c r="D209" s="5" t="s">
        <v>114</v>
      </c>
      <c r="E209" s="10" t="s">
        <v>66</v>
      </c>
      <c r="F209" s="10" t="s">
        <v>120</v>
      </c>
      <c r="G209" s="10" t="s">
        <v>124</v>
      </c>
      <c r="H209" s="10">
        <v>8295596976</v>
      </c>
      <c r="I209" s="10">
        <v>750</v>
      </c>
      <c r="J209" s="3" t="s">
        <v>109</v>
      </c>
      <c r="K209" s="10">
        <v>750</v>
      </c>
      <c r="L209" s="3"/>
      <c r="M209" s="3"/>
      <c r="N209" s="5">
        <f t="shared" si="15"/>
        <v>750</v>
      </c>
      <c r="O209" s="5">
        <v>16500</v>
      </c>
      <c r="P209" s="5">
        <f t="shared" si="16"/>
        <v>15750</v>
      </c>
    </row>
    <row r="210" spans="1:16" ht="15.75">
      <c r="A210" s="3">
        <v>7</v>
      </c>
      <c r="B210" s="4">
        <v>46175</v>
      </c>
      <c r="C210" s="3" t="s">
        <v>51</v>
      </c>
      <c r="D210" s="5" t="s">
        <v>115</v>
      </c>
      <c r="E210" s="10" t="s">
        <v>66</v>
      </c>
      <c r="F210" s="10" t="s">
        <v>121</v>
      </c>
      <c r="G210" s="10" t="s">
        <v>125</v>
      </c>
      <c r="H210" s="10">
        <v>8816907186</v>
      </c>
      <c r="I210" s="10">
        <v>750</v>
      </c>
      <c r="J210" s="3" t="s">
        <v>109</v>
      </c>
      <c r="K210" s="10">
        <v>750</v>
      </c>
      <c r="L210" s="3"/>
      <c r="M210" s="3"/>
      <c r="N210" s="5">
        <f t="shared" si="15"/>
        <v>750</v>
      </c>
      <c r="O210" s="5">
        <v>16500</v>
      </c>
      <c r="P210" s="5">
        <f t="shared" si="16"/>
        <v>15750</v>
      </c>
    </row>
    <row r="211" spans="1:16" ht="15.75">
      <c r="A211" s="3">
        <v>8</v>
      </c>
      <c r="B211" s="4">
        <v>46175</v>
      </c>
      <c r="C211" s="3" t="s">
        <v>51</v>
      </c>
      <c r="D211" s="5" t="s">
        <v>145</v>
      </c>
      <c r="E211" s="5" t="s">
        <v>66</v>
      </c>
      <c r="F211" s="5" t="s">
        <v>83</v>
      </c>
      <c r="G211" s="5" t="s">
        <v>138</v>
      </c>
      <c r="H211" s="5">
        <v>9813610261</v>
      </c>
      <c r="I211" s="5">
        <v>800</v>
      </c>
      <c r="J211" s="3" t="s">
        <v>109</v>
      </c>
      <c r="K211" s="5">
        <v>800</v>
      </c>
      <c r="L211" s="3"/>
      <c r="M211" s="3"/>
      <c r="N211" s="5">
        <f t="shared" si="15"/>
        <v>800</v>
      </c>
      <c r="O211" s="5">
        <v>24800</v>
      </c>
      <c r="P211" s="5">
        <f t="shared" si="16"/>
        <v>24000</v>
      </c>
    </row>
    <row r="212" spans="1:16" ht="15.75">
      <c r="A212" s="3">
        <v>9</v>
      </c>
      <c r="B212" s="4">
        <v>46175</v>
      </c>
      <c r="C212" s="3" t="s">
        <v>51</v>
      </c>
      <c r="D212" s="5" t="s">
        <v>147</v>
      </c>
      <c r="E212" s="5" t="s">
        <v>129</v>
      </c>
      <c r="F212" s="5" t="s">
        <v>132</v>
      </c>
      <c r="G212" s="5" t="s">
        <v>140</v>
      </c>
      <c r="H212" s="5">
        <v>8397037924</v>
      </c>
      <c r="I212" s="5">
        <v>800</v>
      </c>
      <c r="J212" s="3" t="s">
        <v>109</v>
      </c>
      <c r="K212" s="5">
        <v>800</v>
      </c>
      <c r="L212" s="3"/>
      <c r="M212" s="3"/>
      <c r="N212" s="5">
        <f t="shared" si="15"/>
        <v>800</v>
      </c>
      <c r="O212" s="5">
        <v>24800</v>
      </c>
      <c r="P212" s="5">
        <f t="shared" si="16"/>
        <v>24000</v>
      </c>
    </row>
    <row r="213" spans="1:16" ht="15.75">
      <c r="A213" s="3">
        <v>10</v>
      </c>
      <c r="B213" s="4">
        <v>46175</v>
      </c>
      <c r="C213" s="3" t="s">
        <v>51</v>
      </c>
      <c r="D213" s="5" t="s">
        <v>151</v>
      </c>
      <c r="E213" s="5" t="s">
        <v>66</v>
      </c>
      <c r="F213" s="5" t="s">
        <v>136</v>
      </c>
      <c r="G213" s="5" t="s">
        <v>143</v>
      </c>
      <c r="H213" s="5">
        <v>9992969785</v>
      </c>
      <c r="I213" s="5">
        <v>800</v>
      </c>
      <c r="J213" s="3" t="s">
        <v>109</v>
      </c>
      <c r="K213" s="5">
        <v>800</v>
      </c>
      <c r="L213" s="3"/>
      <c r="M213" s="3"/>
      <c r="N213" s="5">
        <f t="shared" si="15"/>
        <v>800</v>
      </c>
      <c r="O213" s="5">
        <v>24800</v>
      </c>
      <c r="P213" s="5">
        <f t="shared" si="16"/>
        <v>24000</v>
      </c>
    </row>
    <row r="214" spans="1:16" ht="15.75">
      <c r="A214" s="3">
        <v>11</v>
      </c>
      <c r="B214" s="4">
        <v>46175</v>
      </c>
      <c r="C214" s="3" t="s">
        <v>51</v>
      </c>
      <c r="D214" s="5" t="s">
        <v>190</v>
      </c>
      <c r="E214" s="10" t="s">
        <v>195</v>
      </c>
      <c r="F214" s="10" t="s">
        <v>184</v>
      </c>
      <c r="G214" s="10" t="s">
        <v>185</v>
      </c>
      <c r="H214" s="41">
        <v>9728976039</v>
      </c>
      <c r="I214" s="43">
        <v>750</v>
      </c>
      <c r="J214" s="3" t="s">
        <v>109</v>
      </c>
      <c r="K214" s="43">
        <v>750</v>
      </c>
      <c r="L214" s="3"/>
      <c r="M214" s="3"/>
      <c r="N214" s="5">
        <f t="shared" si="15"/>
        <v>750</v>
      </c>
      <c r="O214" s="5">
        <v>18750</v>
      </c>
      <c r="P214" s="5">
        <f t="shared" si="16"/>
        <v>18000</v>
      </c>
    </row>
    <row r="215" spans="1:16" ht="15.75">
      <c r="A215" s="3">
        <v>12</v>
      </c>
      <c r="B215" s="4">
        <v>46175</v>
      </c>
      <c r="C215" s="3" t="s">
        <v>51</v>
      </c>
      <c r="D215" s="5" t="s">
        <v>191</v>
      </c>
      <c r="E215" s="10" t="s">
        <v>196</v>
      </c>
      <c r="F215" s="10" t="s">
        <v>186</v>
      </c>
      <c r="G215" s="10" t="s">
        <v>187</v>
      </c>
      <c r="H215" s="41">
        <v>9991073613</v>
      </c>
      <c r="I215" s="43">
        <v>750</v>
      </c>
      <c r="J215" s="3" t="s">
        <v>109</v>
      </c>
      <c r="K215" s="43">
        <v>750</v>
      </c>
      <c r="L215" s="3"/>
      <c r="M215" s="3"/>
      <c r="N215" s="5">
        <f t="shared" si="15"/>
        <v>750</v>
      </c>
      <c r="O215" s="5">
        <v>18750</v>
      </c>
      <c r="P215" s="5">
        <f t="shared" si="16"/>
        <v>18000</v>
      </c>
    </row>
    <row r="216" spans="1:16" ht="15.75">
      <c r="A216" s="3">
        <v>13</v>
      </c>
      <c r="B216" s="4">
        <v>46175</v>
      </c>
      <c r="C216" s="3" t="s">
        <v>51</v>
      </c>
      <c r="D216" s="5" t="s">
        <v>192</v>
      </c>
      <c r="E216" s="10" t="s">
        <v>195</v>
      </c>
      <c r="F216" s="51" t="s">
        <v>188</v>
      </c>
      <c r="G216" s="10" t="s">
        <v>198</v>
      </c>
      <c r="H216" s="41">
        <v>8047377476</v>
      </c>
      <c r="I216" s="5">
        <v>800</v>
      </c>
      <c r="J216" s="3" t="s">
        <v>109</v>
      </c>
      <c r="K216" s="5">
        <v>800</v>
      </c>
      <c r="L216" s="3"/>
      <c r="M216" s="3"/>
      <c r="N216" s="5">
        <f t="shared" si="15"/>
        <v>800</v>
      </c>
      <c r="O216" s="5">
        <v>26400</v>
      </c>
      <c r="P216" s="5">
        <f t="shared" si="16"/>
        <v>25600</v>
      </c>
    </row>
    <row r="217" spans="1:16" ht="15.75">
      <c r="A217" s="3">
        <v>14</v>
      </c>
      <c r="B217" s="4">
        <v>46175</v>
      </c>
      <c r="C217" s="3" t="s">
        <v>51</v>
      </c>
      <c r="D217" s="5" t="s">
        <v>193</v>
      </c>
      <c r="E217" s="10" t="s">
        <v>195</v>
      </c>
      <c r="F217" s="10" t="s">
        <v>83</v>
      </c>
      <c r="G217" s="10" t="s">
        <v>189</v>
      </c>
      <c r="H217" s="41">
        <v>8396804752</v>
      </c>
      <c r="I217" s="43">
        <v>750</v>
      </c>
      <c r="J217" s="3"/>
      <c r="K217" s="43"/>
      <c r="L217" s="3"/>
      <c r="M217" s="3"/>
      <c r="N217" s="5">
        <f t="shared" si="15"/>
        <v>0</v>
      </c>
      <c r="O217" s="5">
        <v>18750</v>
      </c>
      <c r="P217" s="5">
        <f t="shared" si="16"/>
        <v>18750</v>
      </c>
    </row>
    <row r="218" spans="1:16" ht="15.75">
      <c r="A218" s="3">
        <v>15</v>
      </c>
      <c r="B218" s="4">
        <v>46175</v>
      </c>
      <c r="C218" s="3" t="s">
        <v>51</v>
      </c>
      <c r="D218" s="5" t="s">
        <v>207</v>
      </c>
      <c r="E218" s="10" t="s">
        <v>225</v>
      </c>
      <c r="F218" s="10" t="s">
        <v>213</v>
      </c>
      <c r="G218" s="10" t="s">
        <v>214</v>
      </c>
      <c r="H218" s="41">
        <v>9034419162</v>
      </c>
      <c r="I218" s="43">
        <v>750</v>
      </c>
      <c r="J218" s="3" t="s">
        <v>109</v>
      </c>
      <c r="K218" s="43">
        <v>750</v>
      </c>
      <c r="L218" s="3"/>
      <c r="M218" s="3"/>
      <c r="N218" s="5">
        <f t="shared" si="15"/>
        <v>750</v>
      </c>
      <c r="O218" s="5">
        <v>18750</v>
      </c>
      <c r="P218" s="5">
        <f t="shared" si="16"/>
        <v>18000</v>
      </c>
    </row>
    <row r="219" spans="1:16" ht="15.75">
      <c r="A219" s="3">
        <v>16</v>
      </c>
      <c r="B219" s="4">
        <v>46175</v>
      </c>
      <c r="C219" s="3" t="s">
        <v>51</v>
      </c>
      <c r="D219" s="5" t="s">
        <v>209</v>
      </c>
      <c r="E219" s="10" t="s">
        <v>226</v>
      </c>
      <c r="F219" s="10" t="s">
        <v>217</v>
      </c>
      <c r="G219" s="10" t="s">
        <v>218</v>
      </c>
      <c r="H219" s="41">
        <v>9671740481</v>
      </c>
      <c r="I219" s="43">
        <v>750</v>
      </c>
      <c r="J219" s="3" t="s">
        <v>109</v>
      </c>
      <c r="K219" s="43">
        <v>750</v>
      </c>
      <c r="L219" s="3"/>
      <c r="M219" s="3"/>
      <c r="N219" s="5">
        <f t="shared" si="15"/>
        <v>750</v>
      </c>
      <c r="O219" s="5">
        <v>18750</v>
      </c>
      <c r="P219" s="5">
        <f t="shared" si="16"/>
        <v>18000</v>
      </c>
    </row>
    <row r="220" spans="1:16" ht="15.75">
      <c r="A220" s="3">
        <v>17</v>
      </c>
      <c r="B220" s="4">
        <v>46175</v>
      </c>
      <c r="C220" s="3" t="s">
        <v>51</v>
      </c>
      <c r="D220" s="5" t="s">
        <v>210</v>
      </c>
      <c r="E220" s="10" t="s">
        <v>227</v>
      </c>
      <c r="F220" s="10" t="s">
        <v>219</v>
      </c>
      <c r="G220" s="10" t="s">
        <v>220</v>
      </c>
      <c r="H220" s="41">
        <v>9311797101</v>
      </c>
      <c r="I220" s="43">
        <v>750</v>
      </c>
      <c r="J220" s="3" t="s">
        <v>109</v>
      </c>
      <c r="K220" s="43">
        <v>750</v>
      </c>
      <c r="L220" s="3"/>
      <c r="M220" s="3"/>
      <c r="N220" s="5">
        <f t="shared" si="15"/>
        <v>750</v>
      </c>
      <c r="O220" s="5">
        <v>18750</v>
      </c>
      <c r="P220" s="5">
        <f t="shared" si="16"/>
        <v>18000</v>
      </c>
    </row>
    <row r="221" spans="1:16" ht="15.75">
      <c r="A221" s="3">
        <v>18</v>
      </c>
      <c r="B221" s="4">
        <v>46175</v>
      </c>
      <c r="C221" s="3" t="s">
        <v>51</v>
      </c>
      <c r="D221" s="5" t="s">
        <v>211</v>
      </c>
      <c r="E221" s="10" t="s">
        <v>226</v>
      </c>
      <c r="F221" s="10" t="s">
        <v>221</v>
      </c>
      <c r="G221" s="10" t="s">
        <v>222</v>
      </c>
      <c r="H221" s="41">
        <v>7206610781</v>
      </c>
      <c r="I221" s="43">
        <v>750</v>
      </c>
      <c r="J221" s="3" t="s">
        <v>109</v>
      </c>
      <c r="K221" s="43">
        <v>750</v>
      </c>
      <c r="L221" s="3"/>
      <c r="M221" s="3"/>
      <c r="N221" s="5">
        <f t="shared" si="15"/>
        <v>750</v>
      </c>
      <c r="O221" s="5">
        <v>18750</v>
      </c>
      <c r="P221" s="5">
        <f t="shared" si="16"/>
        <v>18000</v>
      </c>
    </row>
    <row r="222" spans="1:16" ht="15.75">
      <c r="A222" s="3">
        <v>19</v>
      </c>
      <c r="B222" s="4">
        <v>46175</v>
      </c>
      <c r="C222" s="3" t="s">
        <v>51</v>
      </c>
      <c r="D222" s="5" t="s">
        <v>212</v>
      </c>
      <c r="E222" s="10" t="s">
        <v>226</v>
      </c>
      <c r="F222" s="10" t="s">
        <v>223</v>
      </c>
      <c r="G222" s="10" t="s">
        <v>224</v>
      </c>
      <c r="H222" s="41">
        <v>8814045633</v>
      </c>
      <c r="I222" s="43">
        <v>750</v>
      </c>
      <c r="J222" s="3" t="s">
        <v>109</v>
      </c>
      <c r="K222" s="43">
        <v>750</v>
      </c>
      <c r="L222" s="3"/>
      <c r="M222" s="3"/>
      <c r="N222" s="5">
        <f t="shared" si="15"/>
        <v>750</v>
      </c>
      <c r="O222" s="5">
        <v>18750</v>
      </c>
      <c r="P222" s="5">
        <f t="shared" si="16"/>
        <v>18000</v>
      </c>
    </row>
    <row r="223" spans="1:16" ht="15.75">
      <c r="A223" s="3">
        <v>20</v>
      </c>
      <c r="B223" s="4">
        <v>46175</v>
      </c>
      <c r="C223" s="3" t="s">
        <v>51</v>
      </c>
      <c r="D223" s="5" t="s">
        <v>228</v>
      </c>
      <c r="E223" s="50" t="s">
        <v>229</v>
      </c>
      <c r="F223" s="10" t="s">
        <v>165</v>
      </c>
      <c r="G223" s="10" t="s">
        <v>198</v>
      </c>
      <c r="H223" s="10" t="s">
        <v>230</v>
      </c>
      <c r="I223" s="43">
        <v>750</v>
      </c>
      <c r="J223" s="3" t="s">
        <v>109</v>
      </c>
      <c r="K223" s="43">
        <v>750</v>
      </c>
      <c r="L223" s="3"/>
      <c r="M223" s="3"/>
      <c r="N223" s="5">
        <f t="shared" si="15"/>
        <v>750</v>
      </c>
      <c r="O223" s="5">
        <v>18750</v>
      </c>
      <c r="P223" s="5">
        <f t="shared" si="16"/>
        <v>18000</v>
      </c>
    </row>
    <row r="224" spans="1:16" ht="15.75">
      <c r="A224" s="3">
        <v>21</v>
      </c>
      <c r="B224" s="4">
        <v>46175</v>
      </c>
      <c r="C224" s="3" t="s">
        <v>51</v>
      </c>
      <c r="D224" s="5" t="s">
        <v>233</v>
      </c>
      <c r="E224" s="10" t="s">
        <v>49</v>
      </c>
      <c r="F224" s="10" t="s">
        <v>231</v>
      </c>
      <c r="G224" s="10" t="s">
        <v>142</v>
      </c>
      <c r="H224" s="41">
        <v>7497855174</v>
      </c>
      <c r="I224" s="43">
        <v>750</v>
      </c>
      <c r="J224" s="3" t="s">
        <v>109</v>
      </c>
      <c r="K224" s="43">
        <v>750</v>
      </c>
      <c r="L224" s="3"/>
      <c r="M224" s="3"/>
      <c r="N224" s="5">
        <f t="shared" si="15"/>
        <v>750</v>
      </c>
      <c r="O224" s="5">
        <v>19500</v>
      </c>
      <c r="P224" s="5">
        <f t="shared" si="16"/>
        <v>18750</v>
      </c>
    </row>
    <row r="225" spans="1:16" ht="15.75">
      <c r="A225" s="3">
        <v>22</v>
      </c>
      <c r="B225" s="4">
        <v>46175</v>
      </c>
      <c r="C225" s="3" t="s">
        <v>51</v>
      </c>
      <c r="D225" s="5" t="s">
        <v>234</v>
      </c>
      <c r="E225" s="10" t="s">
        <v>196</v>
      </c>
      <c r="F225" s="10" t="s">
        <v>232</v>
      </c>
      <c r="G225" s="10" t="s">
        <v>235</v>
      </c>
      <c r="H225" s="41">
        <v>9817633128</v>
      </c>
      <c r="I225" s="43">
        <v>800</v>
      </c>
      <c r="J225" s="3" t="s">
        <v>109</v>
      </c>
      <c r="K225" s="43">
        <v>800</v>
      </c>
      <c r="L225" s="3"/>
      <c r="M225" s="3"/>
      <c r="N225" s="5">
        <f t="shared" si="15"/>
        <v>800</v>
      </c>
      <c r="O225" s="5">
        <v>27200</v>
      </c>
      <c r="P225" s="5">
        <f t="shared" si="16"/>
        <v>26400</v>
      </c>
    </row>
    <row r="226" spans="1:16" ht="15.75">
      <c r="A226" s="3">
        <v>23</v>
      </c>
      <c r="B226" s="4">
        <v>46175</v>
      </c>
      <c r="C226" s="3" t="s">
        <v>51</v>
      </c>
      <c r="D226" s="5" t="s">
        <v>236</v>
      </c>
      <c r="E226" s="10" t="s">
        <v>238</v>
      </c>
      <c r="F226" s="10" t="s">
        <v>180</v>
      </c>
      <c r="G226" s="10" t="s">
        <v>240</v>
      </c>
      <c r="H226" s="41">
        <v>9728727855</v>
      </c>
      <c r="I226" s="43">
        <v>750</v>
      </c>
      <c r="J226" s="3" t="s">
        <v>109</v>
      </c>
      <c r="K226" s="43">
        <v>750</v>
      </c>
      <c r="L226" s="3"/>
      <c r="M226" s="3"/>
      <c r="N226" s="5">
        <f t="shared" si="15"/>
        <v>750</v>
      </c>
      <c r="O226" s="5">
        <v>19500</v>
      </c>
      <c r="P226" s="5">
        <f t="shared" si="16"/>
        <v>18750</v>
      </c>
    </row>
    <row r="227" spans="1:16" ht="15.75">
      <c r="A227" s="3">
        <v>24</v>
      </c>
      <c r="B227" s="4">
        <v>46175</v>
      </c>
      <c r="C227" s="3" t="s">
        <v>51</v>
      </c>
      <c r="D227" s="5" t="s">
        <v>237</v>
      </c>
      <c r="E227" s="10" t="s">
        <v>238</v>
      </c>
      <c r="F227" s="10" t="s">
        <v>239</v>
      </c>
      <c r="G227" s="10" t="s">
        <v>241</v>
      </c>
      <c r="H227" s="41">
        <v>9813575389</v>
      </c>
      <c r="I227" s="43">
        <v>800</v>
      </c>
      <c r="J227" s="3" t="s">
        <v>109</v>
      </c>
      <c r="K227" s="43">
        <v>800</v>
      </c>
      <c r="L227" s="3"/>
      <c r="M227" s="3"/>
      <c r="N227" s="5">
        <f t="shared" si="15"/>
        <v>800</v>
      </c>
      <c r="O227" s="5">
        <v>27200</v>
      </c>
      <c r="P227" s="5">
        <f t="shared" si="16"/>
        <v>26400</v>
      </c>
    </row>
    <row r="228" spans="1:16" ht="15.75">
      <c r="A228" s="3">
        <v>25</v>
      </c>
      <c r="B228" s="4">
        <v>46175</v>
      </c>
      <c r="C228" s="3" t="s">
        <v>51</v>
      </c>
      <c r="D228" s="5" t="s">
        <v>242</v>
      </c>
      <c r="E228" s="10" t="s">
        <v>226</v>
      </c>
      <c r="F228" s="10" t="s">
        <v>246</v>
      </c>
      <c r="G228" s="10" t="s">
        <v>249</v>
      </c>
      <c r="H228" s="41">
        <v>9997650988</v>
      </c>
      <c r="I228" s="43">
        <v>750</v>
      </c>
      <c r="J228" s="3" t="s">
        <v>109</v>
      </c>
      <c r="K228" s="43">
        <v>750</v>
      </c>
      <c r="L228" s="3"/>
      <c r="M228" s="3"/>
      <c r="N228" s="5">
        <f t="shared" si="15"/>
        <v>750</v>
      </c>
      <c r="O228" s="5">
        <v>19500</v>
      </c>
      <c r="P228" s="5">
        <f t="shared" si="16"/>
        <v>18750</v>
      </c>
    </row>
    <row r="229" spans="1:16" ht="15.75">
      <c r="A229" s="3">
        <v>26</v>
      </c>
      <c r="B229" s="4">
        <v>46175</v>
      </c>
      <c r="C229" s="3" t="s">
        <v>51</v>
      </c>
      <c r="D229" s="5" t="s">
        <v>243</v>
      </c>
      <c r="E229" s="10" t="s">
        <v>245</v>
      </c>
      <c r="F229" s="10" t="s">
        <v>247</v>
      </c>
      <c r="G229" s="10" t="s">
        <v>250</v>
      </c>
      <c r="H229" s="41">
        <v>8607470754</v>
      </c>
      <c r="I229" s="43">
        <v>800</v>
      </c>
      <c r="J229" s="3" t="s">
        <v>109</v>
      </c>
      <c r="K229" s="43">
        <v>800</v>
      </c>
      <c r="L229" s="3"/>
      <c r="M229" s="3"/>
      <c r="N229" s="5">
        <f t="shared" si="15"/>
        <v>800</v>
      </c>
      <c r="O229" s="5">
        <v>27200</v>
      </c>
      <c r="P229" s="5">
        <f t="shared" si="16"/>
        <v>26400</v>
      </c>
    </row>
    <row r="230" spans="1:16" ht="15.75">
      <c r="A230" s="3">
        <v>27</v>
      </c>
      <c r="B230" s="4">
        <v>46175</v>
      </c>
      <c r="C230" s="3" t="s">
        <v>51</v>
      </c>
      <c r="D230" s="5" t="s">
        <v>244</v>
      </c>
      <c r="E230" s="10" t="s">
        <v>226</v>
      </c>
      <c r="F230" s="10" t="s">
        <v>248</v>
      </c>
      <c r="G230" s="10" t="s">
        <v>251</v>
      </c>
      <c r="H230" s="41">
        <v>8929903323</v>
      </c>
      <c r="I230" s="43">
        <v>800</v>
      </c>
      <c r="J230" s="3" t="s">
        <v>109</v>
      </c>
      <c r="K230" s="43">
        <v>800</v>
      </c>
      <c r="L230" s="3"/>
      <c r="M230" s="3"/>
      <c r="N230" s="5">
        <f t="shared" si="15"/>
        <v>800</v>
      </c>
      <c r="O230" s="5">
        <v>27200</v>
      </c>
      <c r="P230" s="5">
        <f t="shared" si="16"/>
        <v>26400</v>
      </c>
    </row>
    <row r="231" spans="1:16" ht="15.75">
      <c r="A231" s="3">
        <v>28</v>
      </c>
      <c r="B231" s="4">
        <v>46175</v>
      </c>
      <c r="C231" s="3" t="s">
        <v>51</v>
      </c>
      <c r="D231" s="5" t="s">
        <v>252</v>
      </c>
      <c r="E231" s="10" t="s">
        <v>226</v>
      </c>
      <c r="F231" s="10" t="s">
        <v>120</v>
      </c>
      <c r="G231" s="10" t="s">
        <v>253</v>
      </c>
      <c r="H231" s="41">
        <v>8930304731</v>
      </c>
      <c r="I231" s="43">
        <v>800</v>
      </c>
      <c r="J231" s="3" t="s">
        <v>109</v>
      </c>
      <c r="K231" s="43">
        <v>800</v>
      </c>
      <c r="L231" s="3"/>
      <c r="M231" s="3"/>
      <c r="N231" s="5">
        <f t="shared" si="15"/>
        <v>800</v>
      </c>
      <c r="O231" s="5">
        <v>27200</v>
      </c>
      <c r="P231" s="5">
        <f t="shared" si="16"/>
        <v>26400</v>
      </c>
    </row>
    <row r="232" spans="1:16" ht="15.75">
      <c r="A232" s="3">
        <v>29</v>
      </c>
      <c r="B232" s="4">
        <v>46175</v>
      </c>
      <c r="C232" s="3" t="s">
        <v>51</v>
      </c>
      <c r="D232" s="5" t="s">
        <v>256</v>
      </c>
      <c r="E232" s="10" t="s">
        <v>257</v>
      </c>
      <c r="F232" s="10" t="s">
        <v>258</v>
      </c>
      <c r="G232" s="10" t="s">
        <v>259</v>
      </c>
      <c r="H232" s="41">
        <v>7355860393</v>
      </c>
      <c r="I232" s="43">
        <v>750</v>
      </c>
      <c r="J232" s="3" t="s">
        <v>109</v>
      </c>
      <c r="K232" s="43">
        <v>750</v>
      </c>
      <c r="L232" s="3"/>
      <c r="M232" s="3"/>
      <c r="N232" s="5">
        <f t="shared" si="15"/>
        <v>750</v>
      </c>
      <c r="O232" s="5">
        <v>19500</v>
      </c>
      <c r="P232" s="5">
        <f t="shared" si="16"/>
        <v>18750</v>
      </c>
    </row>
    <row r="233" spans="1:16" ht="15.75">
      <c r="A233" s="3"/>
      <c r="B233" s="4"/>
      <c r="C233" s="3"/>
      <c r="D233" s="10"/>
      <c r="E233" s="10"/>
      <c r="F233" s="10"/>
      <c r="G233" s="10"/>
      <c r="H233" s="10"/>
      <c r="I233" s="10"/>
      <c r="J233" s="3"/>
      <c r="K233" s="10"/>
      <c r="L233" s="3"/>
      <c r="M233" s="3"/>
      <c r="N233" s="10"/>
      <c r="O233" s="5"/>
      <c r="P233" s="5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18.75">
      <c r="A235" s="3"/>
      <c r="B235" s="3"/>
      <c r="C235" s="3"/>
      <c r="D235" s="3"/>
      <c r="E235" s="3"/>
      <c r="F235" s="3"/>
      <c r="G235" s="3"/>
      <c r="H235" s="3"/>
      <c r="I235" s="49">
        <f>SUM(I204:I234)</f>
        <v>22350</v>
      </c>
      <c r="J235" s="49"/>
      <c r="K235" s="49">
        <f>SUM(K204:K234)</f>
        <v>20800</v>
      </c>
      <c r="L235" s="49"/>
      <c r="M235" s="49"/>
      <c r="N235" s="49">
        <f>SUM(N204:N234)</f>
        <v>20800</v>
      </c>
      <c r="O235" s="49">
        <f>SUM(O204:O234)</f>
        <v>621550</v>
      </c>
      <c r="P235" s="49">
        <f>SUM(P204:P234)</f>
        <v>600750</v>
      </c>
    </row>
    <row r="240" spans="1:16" ht="27.75">
      <c r="A240" s="142" t="s">
        <v>102</v>
      </c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</row>
    <row r="241" spans="1:16" ht="75">
      <c r="A241" s="1" t="s">
        <v>87</v>
      </c>
      <c r="B241" s="1" t="s">
        <v>103</v>
      </c>
      <c r="C241" s="1" t="s">
        <v>88</v>
      </c>
      <c r="D241" s="1" t="s">
        <v>104</v>
      </c>
      <c r="E241" s="1" t="s">
        <v>105</v>
      </c>
      <c r="F241" s="1" t="s">
        <v>106</v>
      </c>
      <c r="G241" s="1" t="s">
        <v>93</v>
      </c>
      <c r="H241" s="1" t="s">
        <v>107</v>
      </c>
      <c r="I241" s="1" t="s">
        <v>108</v>
      </c>
      <c r="J241" s="1" t="s">
        <v>109</v>
      </c>
      <c r="K241" s="1" t="s">
        <v>110</v>
      </c>
      <c r="L241" s="1" t="s">
        <v>21</v>
      </c>
      <c r="M241" s="1" t="s">
        <v>45</v>
      </c>
      <c r="N241" s="1" t="s">
        <v>111</v>
      </c>
      <c r="O241" s="2" t="s">
        <v>112</v>
      </c>
      <c r="P241" s="1" t="s">
        <v>113</v>
      </c>
    </row>
    <row r="242" spans="1:16" ht="15.75">
      <c r="A242" s="3">
        <v>1</v>
      </c>
      <c r="B242" s="4">
        <v>46176</v>
      </c>
      <c r="C242" s="3" t="s">
        <v>51</v>
      </c>
      <c r="D242" s="5" t="s">
        <v>56</v>
      </c>
      <c r="E242" s="5" t="s">
        <v>49</v>
      </c>
      <c r="F242" s="5" t="s">
        <v>53</v>
      </c>
      <c r="G242" s="5" t="s">
        <v>54</v>
      </c>
      <c r="H242" s="5">
        <v>9416205447</v>
      </c>
      <c r="I242" s="5">
        <v>750</v>
      </c>
      <c r="J242" s="3"/>
      <c r="K242" s="5"/>
      <c r="L242" s="6"/>
      <c r="M242" s="3"/>
      <c r="N242" s="3">
        <f>K242+L242</f>
        <v>0</v>
      </c>
      <c r="O242" s="5">
        <v>15750</v>
      </c>
      <c r="P242" s="5">
        <f>O242-N242</f>
        <v>15750</v>
      </c>
    </row>
    <row r="243" spans="1:16" ht="15.75">
      <c r="A243" s="3">
        <v>2</v>
      </c>
      <c r="B243" s="4">
        <v>46176</v>
      </c>
      <c r="C243" s="3" t="s">
        <v>51</v>
      </c>
      <c r="D243" s="5" t="s">
        <v>61</v>
      </c>
      <c r="E243" s="5" t="s">
        <v>58</v>
      </c>
      <c r="F243" s="5" t="s">
        <v>59</v>
      </c>
      <c r="G243" s="5" t="s">
        <v>60</v>
      </c>
      <c r="H243" s="5">
        <v>7082390753</v>
      </c>
      <c r="I243" s="5">
        <v>750</v>
      </c>
      <c r="J243" s="3"/>
      <c r="K243" s="5"/>
      <c r="L243" s="6"/>
      <c r="M243" s="3"/>
      <c r="N243" s="3">
        <f t="shared" ref="N243:N267" si="17">K243+L243</f>
        <v>0</v>
      </c>
      <c r="O243" s="5">
        <v>15750</v>
      </c>
      <c r="P243" s="5">
        <f t="shared" ref="P243:P267" si="18">O243-N243</f>
        <v>15750</v>
      </c>
    </row>
    <row r="244" spans="1:16" ht="15.75">
      <c r="A244" s="3">
        <v>3</v>
      </c>
      <c r="B244" s="4">
        <v>46176</v>
      </c>
      <c r="C244" s="3" t="s">
        <v>51</v>
      </c>
      <c r="D244" s="5" t="s">
        <v>65</v>
      </c>
      <c r="E244" s="5" t="s">
        <v>62</v>
      </c>
      <c r="F244" s="5" t="s">
        <v>63</v>
      </c>
      <c r="G244" s="5" t="s">
        <v>64</v>
      </c>
      <c r="H244" s="5">
        <v>9050560127</v>
      </c>
      <c r="I244" s="5">
        <v>750</v>
      </c>
      <c r="J244" s="3"/>
      <c r="K244" s="5"/>
      <c r="L244" s="6"/>
      <c r="M244" s="3"/>
      <c r="N244" s="3">
        <f t="shared" si="17"/>
        <v>0</v>
      </c>
      <c r="O244" s="5">
        <v>15750</v>
      </c>
      <c r="P244" s="5">
        <f t="shared" si="18"/>
        <v>15750</v>
      </c>
    </row>
    <row r="245" spans="1:16" ht="15.75">
      <c r="A245" s="3">
        <v>4</v>
      </c>
      <c r="B245" s="4">
        <v>46176</v>
      </c>
      <c r="C245" s="3" t="s">
        <v>51</v>
      </c>
      <c r="D245" s="5" t="s">
        <v>76</v>
      </c>
      <c r="E245" s="5" t="s">
        <v>62</v>
      </c>
      <c r="F245" s="6" t="s">
        <v>74</v>
      </c>
      <c r="G245" s="6" t="s">
        <v>75</v>
      </c>
      <c r="H245" s="6">
        <v>8607782625</v>
      </c>
      <c r="I245" s="5">
        <v>750</v>
      </c>
      <c r="J245" s="3"/>
      <c r="K245" s="5"/>
      <c r="L245" s="6"/>
      <c r="M245" s="3"/>
      <c r="N245" s="3">
        <f t="shared" si="17"/>
        <v>0</v>
      </c>
      <c r="O245" s="5">
        <v>15750</v>
      </c>
      <c r="P245" s="5">
        <f t="shared" si="18"/>
        <v>15750</v>
      </c>
    </row>
    <row r="246" spans="1:16" ht="15.75">
      <c r="A246" s="3">
        <v>5</v>
      </c>
      <c r="B246" s="4">
        <v>46176</v>
      </c>
      <c r="C246" s="3" t="s">
        <v>51</v>
      </c>
      <c r="D246" s="5" t="s">
        <v>116</v>
      </c>
      <c r="E246" s="10" t="s">
        <v>118</v>
      </c>
      <c r="F246" s="10" t="s">
        <v>122</v>
      </c>
      <c r="G246" s="10" t="s">
        <v>126</v>
      </c>
      <c r="H246" s="10">
        <v>9971164371</v>
      </c>
      <c r="I246" s="10">
        <v>750</v>
      </c>
      <c r="J246" s="3"/>
      <c r="K246" s="10"/>
      <c r="L246" s="6"/>
      <c r="M246" s="3"/>
      <c r="N246" s="3">
        <f t="shared" si="17"/>
        <v>0</v>
      </c>
      <c r="O246" s="5">
        <v>16500</v>
      </c>
      <c r="P246" s="5">
        <f t="shared" si="18"/>
        <v>16500</v>
      </c>
    </row>
    <row r="247" spans="1:16" ht="15.75">
      <c r="A247" s="3">
        <v>6</v>
      </c>
      <c r="B247" s="4">
        <v>46176</v>
      </c>
      <c r="C247" s="3" t="s">
        <v>51</v>
      </c>
      <c r="D247" s="5" t="s">
        <v>117</v>
      </c>
      <c r="E247" s="10" t="s">
        <v>119</v>
      </c>
      <c r="F247" s="10" t="s">
        <v>123</v>
      </c>
      <c r="G247" s="10" t="s">
        <v>127</v>
      </c>
      <c r="H247" s="10">
        <v>8816966347</v>
      </c>
      <c r="I247" s="10">
        <v>750</v>
      </c>
      <c r="J247" s="3"/>
      <c r="K247" s="10"/>
      <c r="L247" s="6"/>
      <c r="M247" s="3"/>
      <c r="N247" s="3">
        <f t="shared" si="17"/>
        <v>0</v>
      </c>
      <c r="O247" s="5">
        <v>16500</v>
      </c>
      <c r="P247" s="5">
        <f t="shared" si="18"/>
        <v>16500</v>
      </c>
    </row>
    <row r="248" spans="1:16" ht="15.75">
      <c r="A248" s="3">
        <v>7</v>
      </c>
      <c r="B248" s="4">
        <v>46176</v>
      </c>
      <c r="C248" s="3" t="s">
        <v>51</v>
      </c>
      <c r="D248" s="5" t="s">
        <v>146</v>
      </c>
      <c r="E248" s="5" t="s">
        <v>128</v>
      </c>
      <c r="F248" s="5" t="s">
        <v>131</v>
      </c>
      <c r="G248" s="5" t="s">
        <v>139</v>
      </c>
      <c r="H248" s="5">
        <v>8295428639</v>
      </c>
      <c r="I248" s="5">
        <v>800</v>
      </c>
      <c r="J248" s="3"/>
      <c r="K248" s="5"/>
      <c r="L248" s="6"/>
      <c r="M248" s="3"/>
      <c r="N248" s="3">
        <f t="shared" si="17"/>
        <v>0</v>
      </c>
      <c r="O248" s="5">
        <v>24800</v>
      </c>
      <c r="P248" s="5">
        <f t="shared" si="18"/>
        <v>24800</v>
      </c>
    </row>
    <row r="249" spans="1:16" ht="15.75">
      <c r="A249" s="3">
        <v>8</v>
      </c>
      <c r="B249" s="4">
        <v>46176</v>
      </c>
      <c r="C249" s="3" t="s">
        <v>51</v>
      </c>
      <c r="D249" s="5" t="s">
        <v>148</v>
      </c>
      <c r="E249" s="5" t="s">
        <v>130</v>
      </c>
      <c r="F249" s="5" t="s">
        <v>133</v>
      </c>
      <c r="G249" s="5" t="s">
        <v>68</v>
      </c>
      <c r="H249" s="5">
        <v>9050180519</v>
      </c>
      <c r="I249" s="6">
        <v>750</v>
      </c>
      <c r="J249" s="3"/>
      <c r="K249" s="6"/>
      <c r="L249" s="6"/>
      <c r="M249" s="3"/>
      <c r="N249" s="3">
        <f t="shared" si="17"/>
        <v>0</v>
      </c>
      <c r="O249" s="5">
        <v>17250</v>
      </c>
      <c r="P249" s="5">
        <f t="shared" si="18"/>
        <v>17250</v>
      </c>
    </row>
    <row r="250" spans="1:16" ht="15.75">
      <c r="A250" s="3">
        <v>9</v>
      </c>
      <c r="B250" s="4">
        <v>46176</v>
      </c>
      <c r="C250" s="3" t="s">
        <v>51</v>
      </c>
      <c r="D250" s="5" t="s">
        <v>149</v>
      </c>
      <c r="E250" s="5" t="s">
        <v>119</v>
      </c>
      <c r="F250" s="5" t="s">
        <v>134</v>
      </c>
      <c r="G250" s="5" t="s">
        <v>141</v>
      </c>
      <c r="H250" s="5">
        <v>9671597235</v>
      </c>
      <c r="I250" s="5">
        <v>800</v>
      </c>
      <c r="J250" s="3"/>
      <c r="K250" s="5"/>
      <c r="L250" s="6"/>
      <c r="M250" s="3"/>
      <c r="N250" s="3">
        <f t="shared" si="17"/>
        <v>0</v>
      </c>
      <c r="O250" s="5">
        <v>24800</v>
      </c>
      <c r="P250" s="5">
        <f t="shared" si="18"/>
        <v>24800</v>
      </c>
    </row>
    <row r="251" spans="1:16" ht="15.75">
      <c r="A251" s="3">
        <v>10</v>
      </c>
      <c r="B251" s="4">
        <v>46176</v>
      </c>
      <c r="C251" s="3" t="s">
        <v>51</v>
      </c>
      <c r="D251" s="5" t="s">
        <v>150</v>
      </c>
      <c r="E251" s="5" t="s">
        <v>119</v>
      </c>
      <c r="F251" s="5" t="s">
        <v>135</v>
      </c>
      <c r="G251" s="5" t="s">
        <v>142</v>
      </c>
      <c r="H251" s="5">
        <v>9729501850</v>
      </c>
      <c r="I251" s="5">
        <v>800</v>
      </c>
      <c r="J251" s="3"/>
      <c r="K251" s="5"/>
      <c r="L251" s="6"/>
      <c r="M251" s="3"/>
      <c r="N251" s="3">
        <f t="shared" si="17"/>
        <v>0</v>
      </c>
      <c r="O251" s="5">
        <v>24800</v>
      </c>
      <c r="P251" s="5">
        <f t="shared" si="18"/>
        <v>24800</v>
      </c>
    </row>
    <row r="252" spans="1:16" ht="15.75">
      <c r="A252" s="3">
        <v>11</v>
      </c>
      <c r="B252" s="4">
        <v>46176</v>
      </c>
      <c r="C252" s="3" t="s">
        <v>51</v>
      </c>
      <c r="D252" s="5" t="s">
        <v>152</v>
      </c>
      <c r="E252" s="5" t="s">
        <v>119</v>
      </c>
      <c r="F252" s="5" t="s">
        <v>137</v>
      </c>
      <c r="G252" s="5" t="s">
        <v>144</v>
      </c>
      <c r="H252" s="5">
        <v>9991638771</v>
      </c>
      <c r="I252" s="5">
        <v>800</v>
      </c>
      <c r="J252" s="3"/>
      <c r="K252" s="5"/>
      <c r="L252" s="6"/>
      <c r="M252" s="3"/>
      <c r="N252" s="3">
        <f t="shared" si="17"/>
        <v>0</v>
      </c>
      <c r="O252" s="5">
        <v>24800</v>
      </c>
      <c r="P252" s="5">
        <f t="shared" si="18"/>
        <v>24800</v>
      </c>
    </row>
    <row r="253" spans="1:16" ht="15.75">
      <c r="A253" s="3">
        <v>12</v>
      </c>
      <c r="B253" s="4">
        <v>46176</v>
      </c>
      <c r="C253" s="3" t="s">
        <v>51</v>
      </c>
      <c r="D253" s="5" t="s">
        <v>158</v>
      </c>
      <c r="E253" s="10" t="s">
        <v>119</v>
      </c>
      <c r="F253" s="10" t="s">
        <v>71</v>
      </c>
      <c r="G253" s="10" t="s">
        <v>167</v>
      </c>
      <c r="H253" s="10">
        <v>9992401965</v>
      </c>
      <c r="I253" s="5">
        <v>800</v>
      </c>
      <c r="J253" s="3"/>
      <c r="K253" s="5"/>
      <c r="L253" s="6"/>
      <c r="M253" s="3"/>
      <c r="N253" s="3">
        <f t="shared" si="17"/>
        <v>0</v>
      </c>
      <c r="O253" s="5">
        <v>24800</v>
      </c>
      <c r="P253" s="5">
        <f t="shared" si="18"/>
        <v>24800</v>
      </c>
    </row>
    <row r="254" spans="1:16" ht="15.75">
      <c r="A254" s="3">
        <v>13</v>
      </c>
      <c r="B254" s="4">
        <v>46176</v>
      </c>
      <c r="C254" s="3" t="s">
        <v>51</v>
      </c>
      <c r="D254" s="5" t="s">
        <v>159</v>
      </c>
      <c r="E254" s="10" t="s">
        <v>171</v>
      </c>
      <c r="F254" s="10" t="s">
        <v>163</v>
      </c>
      <c r="G254" s="10" t="s">
        <v>168</v>
      </c>
      <c r="H254" s="10">
        <v>7404474940</v>
      </c>
      <c r="I254" s="6">
        <v>750</v>
      </c>
      <c r="J254" s="3"/>
      <c r="K254" s="6"/>
      <c r="L254" s="6"/>
      <c r="M254" s="3"/>
      <c r="N254" s="3">
        <f t="shared" si="17"/>
        <v>0</v>
      </c>
      <c r="O254" s="5">
        <v>17250</v>
      </c>
      <c r="P254" s="5">
        <f t="shared" si="18"/>
        <v>17250</v>
      </c>
    </row>
    <row r="255" spans="1:16" ht="15.75">
      <c r="A255" s="3">
        <v>14</v>
      </c>
      <c r="B255" s="4">
        <v>46176</v>
      </c>
      <c r="C255" s="3" t="s">
        <v>51</v>
      </c>
      <c r="D255" s="5" t="s">
        <v>160</v>
      </c>
      <c r="E255" s="10" t="s">
        <v>172</v>
      </c>
      <c r="F255" s="10" t="s">
        <v>164</v>
      </c>
      <c r="G255" s="10" t="s">
        <v>169</v>
      </c>
      <c r="H255" s="10">
        <v>9540614028</v>
      </c>
      <c r="I255" s="5">
        <v>800</v>
      </c>
      <c r="J255" s="3"/>
      <c r="K255" s="5"/>
      <c r="L255" s="6"/>
      <c r="M255" s="3"/>
      <c r="N255" s="3">
        <f t="shared" si="17"/>
        <v>0</v>
      </c>
      <c r="O255" s="5">
        <v>24800</v>
      </c>
      <c r="P255" s="5">
        <f t="shared" si="18"/>
        <v>24800</v>
      </c>
    </row>
    <row r="256" spans="1:16" ht="15.75">
      <c r="A256" s="3">
        <v>15</v>
      </c>
      <c r="B256" s="4">
        <v>46176</v>
      </c>
      <c r="C256" s="3" t="s">
        <v>51</v>
      </c>
      <c r="D256" s="5" t="s">
        <v>161</v>
      </c>
      <c r="E256" s="10" t="s">
        <v>119</v>
      </c>
      <c r="F256" s="10" t="s">
        <v>165</v>
      </c>
      <c r="G256" s="10" t="s">
        <v>140</v>
      </c>
      <c r="H256" s="10">
        <v>8395910861</v>
      </c>
      <c r="I256" s="6">
        <v>750</v>
      </c>
      <c r="J256" s="3"/>
      <c r="K256" s="6"/>
      <c r="L256" s="6"/>
      <c r="M256" s="3"/>
      <c r="N256" s="3">
        <f t="shared" si="17"/>
        <v>0</v>
      </c>
      <c r="O256" s="5">
        <v>17250</v>
      </c>
      <c r="P256" s="5">
        <f t="shared" si="18"/>
        <v>17250</v>
      </c>
    </row>
    <row r="257" spans="1:16" ht="15.75">
      <c r="A257" s="3">
        <v>16</v>
      </c>
      <c r="B257" s="4">
        <v>46176</v>
      </c>
      <c r="C257" s="3" t="s">
        <v>51</v>
      </c>
      <c r="D257" s="5" t="s">
        <v>162</v>
      </c>
      <c r="E257" s="10" t="s">
        <v>119</v>
      </c>
      <c r="F257" s="10" t="s">
        <v>166</v>
      </c>
      <c r="G257" s="10" t="s">
        <v>170</v>
      </c>
      <c r="H257" s="10">
        <v>9671227093</v>
      </c>
      <c r="I257" s="5">
        <v>800</v>
      </c>
      <c r="J257" s="3"/>
      <c r="K257" s="5"/>
      <c r="L257" s="6"/>
      <c r="M257" s="3"/>
      <c r="N257" s="3">
        <f t="shared" si="17"/>
        <v>0</v>
      </c>
      <c r="O257" s="5">
        <v>24800</v>
      </c>
      <c r="P257" s="5">
        <f t="shared" si="18"/>
        <v>24800</v>
      </c>
    </row>
    <row r="258" spans="1:16" ht="15.75">
      <c r="A258" s="3">
        <v>17</v>
      </c>
      <c r="B258" s="4">
        <v>46176</v>
      </c>
      <c r="C258" s="3" t="s">
        <v>51</v>
      </c>
      <c r="D258" s="5" t="s">
        <v>174</v>
      </c>
      <c r="E258" s="5" t="s">
        <v>177</v>
      </c>
      <c r="F258" s="10" t="s">
        <v>179</v>
      </c>
      <c r="G258" s="10" t="s">
        <v>181</v>
      </c>
      <c r="H258" s="10">
        <v>9991575314</v>
      </c>
      <c r="I258" s="3">
        <v>800</v>
      </c>
      <c r="J258" s="3"/>
      <c r="K258" s="3"/>
      <c r="L258" s="3"/>
      <c r="M258" s="3"/>
      <c r="N258" s="3">
        <f t="shared" si="17"/>
        <v>0</v>
      </c>
      <c r="O258" s="5">
        <v>25600</v>
      </c>
      <c r="P258" s="5">
        <f t="shared" si="18"/>
        <v>25600</v>
      </c>
    </row>
    <row r="259" spans="1:16" ht="15.75">
      <c r="A259" s="3">
        <v>18</v>
      </c>
      <c r="B259" s="4">
        <v>46176</v>
      </c>
      <c r="C259" s="3" t="s">
        <v>51</v>
      </c>
      <c r="D259" s="5" t="s">
        <v>175</v>
      </c>
      <c r="E259" s="10" t="s">
        <v>171</v>
      </c>
      <c r="F259" s="10" t="s">
        <v>180</v>
      </c>
      <c r="G259" s="10" t="s">
        <v>182</v>
      </c>
      <c r="H259" s="10">
        <v>8814086202</v>
      </c>
      <c r="I259" s="3">
        <v>750</v>
      </c>
      <c r="J259" s="3"/>
      <c r="K259" s="3"/>
      <c r="L259" s="3"/>
      <c r="M259" s="3"/>
      <c r="N259" s="3">
        <f t="shared" si="17"/>
        <v>0</v>
      </c>
      <c r="O259" s="5">
        <v>17250</v>
      </c>
      <c r="P259" s="5">
        <f t="shared" si="18"/>
        <v>17250</v>
      </c>
    </row>
    <row r="260" spans="1:16" ht="15.75">
      <c r="A260" s="3">
        <v>19</v>
      </c>
      <c r="B260" s="4">
        <v>46176</v>
      </c>
      <c r="C260" s="3" t="s">
        <v>51</v>
      </c>
      <c r="D260" s="5" t="s">
        <v>176</v>
      </c>
      <c r="E260" s="10" t="s">
        <v>178</v>
      </c>
      <c r="F260" s="10" t="s">
        <v>165</v>
      </c>
      <c r="G260" s="10" t="s">
        <v>183</v>
      </c>
      <c r="H260" s="10">
        <v>9991361344</v>
      </c>
      <c r="I260" s="3">
        <v>750</v>
      </c>
      <c r="J260" s="3"/>
      <c r="K260" s="3"/>
      <c r="L260" s="3"/>
      <c r="M260" s="3"/>
      <c r="N260" s="3">
        <f t="shared" si="17"/>
        <v>0</v>
      </c>
      <c r="O260" s="5">
        <v>18000</v>
      </c>
      <c r="P260" s="5">
        <f t="shared" si="18"/>
        <v>18000</v>
      </c>
    </row>
    <row r="261" spans="1:16" ht="15.75">
      <c r="A261" s="3">
        <v>20</v>
      </c>
      <c r="B261" s="4">
        <v>46176</v>
      </c>
      <c r="C261" s="3" t="s">
        <v>51</v>
      </c>
      <c r="D261" s="5" t="s">
        <v>194</v>
      </c>
      <c r="E261" s="10" t="s">
        <v>197</v>
      </c>
      <c r="F261" s="10" t="s">
        <v>71</v>
      </c>
      <c r="G261" s="10" t="s">
        <v>125</v>
      </c>
      <c r="H261" s="41">
        <v>9053156064</v>
      </c>
      <c r="I261" s="43">
        <v>750</v>
      </c>
      <c r="J261" s="3"/>
      <c r="K261" s="3"/>
      <c r="L261" s="3"/>
      <c r="M261" s="3"/>
      <c r="N261" s="3">
        <f t="shared" si="17"/>
        <v>0</v>
      </c>
      <c r="O261" s="5">
        <v>18750</v>
      </c>
      <c r="P261" s="5">
        <f t="shared" si="18"/>
        <v>18750</v>
      </c>
    </row>
    <row r="262" spans="1:16" ht="15.75">
      <c r="A262" s="3">
        <v>21</v>
      </c>
      <c r="B262" s="4">
        <v>46176</v>
      </c>
      <c r="C262" s="3" t="s">
        <v>51</v>
      </c>
      <c r="D262" s="5" t="s">
        <v>199</v>
      </c>
      <c r="E262" s="10" t="s">
        <v>197</v>
      </c>
      <c r="F262" s="10" t="s">
        <v>53</v>
      </c>
      <c r="G262" s="10" t="s">
        <v>204</v>
      </c>
      <c r="H262" s="41">
        <v>9813304531</v>
      </c>
      <c r="I262" s="43">
        <v>750</v>
      </c>
      <c r="J262" s="3"/>
      <c r="K262" s="3"/>
      <c r="L262" s="3"/>
      <c r="M262" s="3"/>
      <c r="N262" s="3">
        <f t="shared" si="17"/>
        <v>0</v>
      </c>
      <c r="O262" s="5">
        <v>18750</v>
      </c>
      <c r="P262" s="5">
        <f t="shared" si="18"/>
        <v>18750</v>
      </c>
    </row>
    <row r="263" spans="1:16" ht="15.75">
      <c r="A263" s="3">
        <v>22</v>
      </c>
      <c r="B263" s="4">
        <v>46176</v>
      </c>
      <c r="C263" s="3" t="s">
        <v>51</v>
      </c>
      <c r="D263" s="5" t="s">
        <v>200</v>
      </c>
      <c r="E263" s="10" t="s">
        <v>197</v>
      </c>
      <c r="F263" s="10" t="s">
        <v>121</v>
      </c>
      <c r="G263" s="10" t="s">
        <v>140</v>
      </c>
      <c r="H263" s="41">
        <v>8930321437</v>
      </c>
      <c r="I263" s="43">
        <v>800</v>
      </c>
      <c r="J263" s="3"/>
      <c r="K263" s="3"/>
      <c r="L263" s="3"/>
      <c r="M263" s="3"/>
      <c r="N263" s="3">
        <f t="shared" si="17"/>
        <v>0</v>
      </c>
      <c r="O263" s="5">
        <v>26400</v>
      </c>
      <c r="P263" s="5">
        <f t="shared" si="18"/>
        <v>26400</v>
      </c>
    </row>
    <row r="264" spans="1:16" ht="15.75">
      <c r="A264" s="3">
        <v>23</v>
      </c>
      <c r="B264" s="4">
        <v>46176</v>
      </c>
      <c r="C264" s="3" t="s">
        <v>51</v>
      </c>
      <c r="D264" s="5" t="s">
        <v>201</v>
      </c>
      <c r="E264" s="10" t="s">
        <v>206</v>
      </c>
      <c r="F264" s="10" t="s">
        <v>165</v>
      </c>
      <c r="G264" s="10" t="s">
        <v>205</v>
      </c>
      <c r="H264" s="41">
        <v>8295267191</v>
      </c>
      <c r="I264" s="43">
        <v>800</v>
      </c>
      <c r="J264" s="3"/>
      <c r="K264" s="3"/>
      <c r="L264" s="3"/>
      <c r="M264" s="3"/>
      <c r="N264" s="3">
        <f t="shared" si="17"/>
        <v>0</v>
      </c>
      <c r="O264" s="5">
        <v>26400</v>
      </c>
      <c r="P264" s="5">
        <f t="shared" si="18"/>
        <v>26400</v>
      </c>
    </row>
    <row r="265" spans="1:16" ht="15.75">
      <c r="A265" s="3">
        <v>24</v>
      </c>
      <c r="B265" s="4">
        <v>46176</v>
      </c>
      <c r="C265" s="3" t="s">
        <v>51</v>
      </c>
      <c r="D265" s="5" t="s">
        <v>202</v>
      </c>
      <c r="E265" s="10" t="s">
        <v>118</v>
      </c>
      <c r="F265" s="10" t="s">
        <v>203</v>
      </c>
      <c r="G265" s="10" t="s">
        <v>185</v>
      </c>
      <c r="H265" s="41">
        <v>7988050867</v>
      </c>
      <c r="I265" s="43">
        <v>750</v>
      </c>
      <c r="J265" s="3"/>
      <c r="K265" s="3"/>
      <c r="L265" s="3"/>
      <c r="M265" s="3"/>
      <c r="N265" s="3">
        <f t="shared" si="17"/>
        <v>0</v>
      </c>
      <c r="O265" s="5">
        <v>18750</v>
      </c>
      <c r="P265" s="5">
        <f t="shared" si="18"/>
        <v>18750</v>
      </c>
    </row>
    <row r="266" spans="1:16" ht="15.75">
      <c r="A266" s="3">
        <v>25</v>
      </c>
      <c r="B266" s="4">
        <v>46176</v>
      </c>
      <c r="C266" s="3" t="s">
        <v>51</v>
      </c>
      <c r="D266" s="5" t="s">
        <v>208</v>
      </c>
      <c r="E266" s="10" t="s">
        <v>49</v>
      </c>
      <c r="F266" s="10" t="s">
        <v>215</v>
      </c>
      <c r="G266" s="10" t="s">
        <v>216</v>
      </c>
      <c r="H266" s="41">
        <v>9812012403</v>
      </c>
      <c r="I266" s="43">
        <v>800</v>
      </c>
      <c r="J266" s="3"/>
      <c r="K266" s="3"/>
      <c r="L266" s="3"/>
      <c r="M266" s="3"/>
      <c r="N266" s="3">
        <f t="shared" si="17"/>
        <v>0</v>
      </c>
      <c r="O266" s="5">
        <v>26400</v>
      </c>
      <c r="P266" s="5">
        <f t="shared" si="18"/>
        <v>26400</v>
      </c>
    </row>
    <row r="267" spans="1:16" ht="15.75">
      <c r="A267" s="3">
        <v>26</v>
      </c>
      <c r="B267" s="4">
        <v>46176</v>
      </c>
      <c r="C267" s="3" t="s">
        <v>51</v>
      </c>
      <c r="D267" s="5" t="s">
        <v>264</v>
      </c>
      <c r="E267" s="10" t="s">
        <v>49</v>
      </c>
      <c r="F267" s="10" t="s">
        <v>254</v>
      </c>
      <c r="G267" s="10" t="s">
        <v>269</v>
      </c>
      <c r="H267" s="41">
        <v>9729160317</v>
      </c>
      <c r="I267" s="43">
        <v>750</v>
      </c>
      <c r="J267" s="3"/>
      <c r="K267" s="3"/>
      <c r="L267" s="3"/>
      <c r="M267" s="3"/>
      <c r="N267" s="3">
        <f t="shared" si="17"/>
        <v>0</v>
      </c>
      <c r="O267" s="5">
        <v>19500</v>
      </c>
      <c r="P267" s="5">
        <f t="shared" si="18"/>
        <v>19500</v>
      </c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15.75">
      <c r="A269" s="3"/>
      <c r="B269" s="3"/>
      <c r="C269" s="3"/>
      <c r="D269" s="3"/>
      <c r="E269" s="3"/>
      <c r="F269" s="3"/>
      <c r="G269" s="3"/>
      <c r="H269" s="3"/>
      <c r="I269" s="6">
        <f>SUM(I242:I268)</f>
        <v>20050</v>
      </c>
      <c r="J269" s="3"/>
      <c r="K269" s="3">
        <f>SUM(K242:K268)</f>
        <v>0</v>
      </c>
      <c r="L269" s="3"/>
      <c r="M269" s="3"/>
      <c r="N269" s="3">
        <f>SUM(N242:N268)</f>
        <v>0</v>
      </c>
      <c r="O269" s="6">
        <f>SUM(O242:O268)</f>
        <v>537150</v>
      </c>
      <c r="P269" s="6">
        <f>SUM(P242:P268)</f>
        <v>537150</v>
      </c>
    </row>
    <row r="273" spans="1:16" ht="27.75">
      <c r="A273" s="142" t="s">
        <v>155</v>
      </c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</row>
    <row r="274" spans="1:16" ht="75">
      <c r="A274" s="1" t="s">
        <v>87</v>
      </c>
      <c r="B274" s="1" t="s">
        <v>103</v>
      </c>
      <c r="C274" s="1" t="s">
        <v>88</v>
      </c>
      <c r="D274" s="1" t="s">
        <v>104</v>
      </c>
      <c r="E274" s="1" t="s">
        <v>105</v>
      </c>
      <c r="F274" s="1" t="s">
        <v>106</v>
      </c>
      <c r="G274" s="1" t="s">
        <v>93</v>
      </c>
      <c r="H274" s="1" t="s">
        <v>107</v>
      </c>
      <c r="I274" s="1" t="s">
        <v>108</v>
      </c>
      <c r="J274" s="1" t="s">
        <v>109</v>
      </c>
      <c r="K274" s="1" t="s">
        <v>110</v>
      </c>
      <c r="L274" s="1" t="s">
        <v>21</v>
      </c>
      <c r="M274" s="1" t="s">
        <v>45</v>
      </c>
      <c r="N274" s="1" t="s">
        <v>111</v>
      </c>
      <c r="O274" s="2" t="s">
        <v>112</v>
      </c>
      <c r="P274" s="1" t="s">
        <v>113</v>
      </c>
    </row>
    <row r="275" spans="1:16" ht="15.75">
      <c r="A275" s="3">
        <v>1</v>
      </c>
      <c r="B275" s="4">
        <v>46182</v>
      </c>
      <c r="C275" s="3" t="s">
        <v>51</v>
      </c>
      <c r="D275" s="5" t="s">
        <v>70</v>
      </c>
      <c r="E275" s="5" t="s">
        <v>66</v>
      </c>
      <c r="F275" s="5" t="s">
        <v>67</v>
      </c>
      <c r="G275" s="5" t="s">
        <v>68</v>
      </c>
      <c r="H275" s="5">
        <v>8395916139</v>
      </c>
      <c r="I275" s="5">
        <v>800</v>
      </c>
      <c r="J275" s="3"/>
      <c r="K275" s="5"/>
      <c r="L275" s="6"/>
      <c r="M275" s="3"/>
      <c r="N275" s="5">
        <f>K275+L275</f>
        <v>0</v>
      </c>
      <c r="O275" s="5">
        <v>23200</v>
      </c>
      <c r="P275" s="5">
        <f>O275-N275</f>
        <v>23200</v>
      </c>
    </row>
    <row r="276" spans="1:16" ht="15.75">
      <c r="A276" s="3">
        <v>2</v>
      </c>
      <c r="B276" s="4">
        <v>46182</v>
      </c>
      <c r="C276" s="3" t="s">
        <v>51</v>
      </c>
      <c r="D276" s="5" t="s">
        <v>73</v>
      </c>
      <c r="E276" s="5" t="s">
        <v>66</v>
      </c>
      <c r="F276" s="5" t="s">
        <v>71</v>
      </c>
      <c r="G276" s="5" t="s">
        <v>72</v>
      </c>
      <c r="H276" s="5">
        <v>7289049720</v>
      </c>
      <c r="I276" s="5">
        <v>750</v>
      </c>
      <c r="J276" s="3"/>
      <c r="K276" s="5"/>
      <c r="L276" s="6"/>
      <c r="M276" s="3"/>
      <c r="N276" s="5">
        <f t="shared" ref="N276:N305" si="19">K276+L276</f>
        <v>0</v>
      </c>
      <c r="O276" s="5">
        <v>15750</v>
      </c>
      <c r="P276" s="5">
        <f t="shared" ref="P276:P305" si="20">O276-N276</f>
        <v>15750</v>
      </c>
    </row>
    <row r="277" spans="1:16" ht="15.75">
      <c r="A277" s="3">
        <v>3</v>
      </c>
      <c r="B277" s="4">
        <v>46182</v>
      </c>
      <c r="C277" s="3" t="s">
        <v>51</v>
      </c>
      <c r="D277" s="5" t="s">
        <v>79</v>
      </c>
      <c r="E277" s="5" t="s">
        <v>66</v>
      </c>
      <c r="F277" s="6" t="s">
        <v>77</v>
      </c>
      <c r="G277" s="6" t="s">
        <v>78</v>
      </c>
      <c r="H277" s="6">
        <v>7355817478</v>
      </c>
      <c r="I277" s="5">
        <v>750</v>
      </c>
      <c r="J277" s="3"/>
      <c r="K277" s="5"/>
      <c r="L277" s="6"/>
      <c r="M277" s="3"/>
      <c r="N277" s="5">
        <f t="shared" si="19"/>
        <v>0</v>
      </c>
      <c r="O277" s="5">
        <v>15750</v>
      </c>
      <c r="P277" s="5">
        <f t="shared" si="20"/>
        <v>15750</v>
      </c>
    </row>
    <row r="278" spans="1:16" ht="15.75">
      <c r="A278" s="3">
        <v>4</v>
      </c>
      <c r="B278" s="4">
        <v>46182</v>
      </c>
      <c r="C278" s="3" t="s">
        <v>51</v>
      </c>
      <c r="D278" s="5" t="s">
        <v>82</v>
      </c>
      <c r="E278" s="6" t="s">
        <v>66</v>
      </c>
      <c r="F278" s="6" t="s">
        <v>80</v>
      </c>
      <c r="G278" s="6" t="s">
        <v>81</v>
      </c>
      <c r="H278" s="6">
        <v>7027566795</v>
      </c>
      <c r="I278" s="5">
        <v>800</v>
      </c>
      <c r="J278" s="3"/>
      <c r="K278" s="5"/>
      <c r="L278" s="6"/>
      <c r="M278" s="3"/>
      <c r="N278" s="5">
        <f t="shared" si="19"/>
        <v>0</v>
      </c>
      <c r="O278" s="5">
        <v>23200</v>
      </c>
      <c r="P278" s="5">
        <f t="shared" si="20"/>
        <v>23200</v>
      </c>
    </row>
    <row r="279" spans="1:16" ht="15.75">
      <c r="A279" s="3">
        <v>5</v>
      </c>
      <c r="B279" s="4">
        <v>46182</v>
      </c>
      <c r="C279" s="3" t="s">
        <v>51</v>
      </c>
      <c r="D279" s="5" t="s">
        <v>85</v>
      </c>
      <c r="E279" s="6" t="s">
        <v>66</v>
      </c>
      <c r="F279" s="5" t="s">
        <v>83</v>
      </c>
      <c r="G279" s="5" t="s">
        <v>84</v>
      </c>
      <c r="H279" s="5">
        <v>9992825464</v>
      </c>
      <c r="I279" s="5">
        <v>800</v>
      </c>
      <c r="J279" s="3"/>
      <c r="K279" s="5"/>
      <c r="L279" s="6"/>
      <c r="M279" s="3"/>
      <c r="N279" s="5">
        <f t="shared" si="19"/>
        <v>0</v>
      </c>
      <c r="O279" s="5">
        <v>23200</v>
      </c>
      <c r="P279" s="5">
        <f t="shared" si="20"/>
        <v>23200</v>
      </c>
    </row>
    <row r="280" spans="1:16" ht="15.75">
      <c r="A280" s="3">
        <v>6</v>
      </c>
      <c r="B280" s="4">
        <v>46182</v>
      </c>
      <c r="C280" s="3" t="s">
        <v>51</v>
      </c>
      <c r="D280" s="5" t="s">
        <v>114</v>
      </c>
      <c r="E280" s="10" t="s">
        <v>66</v>
      </c>
      <c r="F280" s="10" t="s">
        <v>120</v>
      </c>
      <c r="G280" s="10" t="s">
        <v>124</v>
      </c>
      <c r="H280" s="10">
        <v>8295596976</v>
      </c>
      <c r="I280" s="10">
        <v>750</v>
      </c>
      <c r="J280" s="3"/>
      <c r="K280" s="10"/>
      <c r="L280" s="3"/>
      <c r="M280" s="3"/>
      <c r="N280" s="5">
        <f t="shared" si="19"/>
        <v>0</v>
      </c>
      <c r="O280" s="5">
        <v>15750</v>
      </c>
      <c r="P280" s="5">
        <f t="shared" si="20"/>
        <v>15750</v>
      </c>
    </row>
    <row r="281" spans="1:16" ht="15.75">
      <c r="A281" s="3">
        <v>7</v>
      </c>
      <c r="B281" s="4">
        <v>46182</v>
      </c>
      <c r="C281" s="3" t="s">
        <v>51</v>
      </c>
      <c r="D281" s="5" t="s">
        <v>115</v>
      </c>
      <c r="E281" s="10" t="s">
        <v>66</v>
      </c>
      <c r="F281" s="10" t="s">
        <v>121</v>
      </c>
      <c r="G281" s="10" t="s">
        <v>125</v>
      </c>
      <c r="H281" s="10">
        <v>8816907186</v>
      </c>
      <c r="I281" s="10">
        <v>750</v>
      </c>
      <c r="J281" s="3"/>
      <c r="K281" s="10"/>
      <c r="L281" s="3"/>
      <c r="M281" s="3"/>
      <c r="N281" s="5">
        <f t="shared" si="19"/>
        <v>0</v>
      </c>
      <c r="O281" s="5">
        <v>15750</v>
      </c>
      <c r="P281" s="5">
        <f t="shared" si="20"/>
        <v>15750</v>
      </c>
    </row>
    <row r="282" spans="1:16" ht="15.75">
      <c r="A282" s="3">
        <v>8</v>
      </c>
      <c r="B282" s="4">
        <v>46182</v>
      </c>
      <c r="C282" s="3" t="s">
        <v>51</v>
      </c>
      <c r="D282" s="5" t="s">
        <v>145</v>
      </c>
      <c r="E282" s="5" t="s">
        <v>66</v>
      </c>
      <c r="F282" s="5" t="s">
        <v>83</v>
      </c>
      <c r="G282" s="5" t="s">
        <v>138</v>
      </c>
      <c r="H282" s="5">
        <v>9813610261</v>
      </c>
      <c r="I282" s="5">
        <v>800</v>
      </c>
      <c r="J282" s="3"/>
      <c r="K282" s="5"/>
      <c r="L282" s="3"/>
      <c r="M282" s="3"/>
      <c r="N282" s="5">
        <f t="shared" si="19"/>
        <v>0</v>
      </c>
      <c r="O282" s="5">
        <v>24000</v>
      </c>
      <c r="P282" s="5">
        <f t="shared" si="20"/>
        <v>24000</v>
      </c>
    </row>
    <row r="283" spans="1:16" ht="15.75">
      <c r="A283" s="3">
        <v>9</v>
      </c>
      <c r="B283" s="4">
        <v>46182</v>
      </c>
      <c r="C283" s="3" t="s">
        <v>51</v>
      </c>
      <c r="D283" s="5" t="s">
        <v>147</v>
      </c>
      <c r="E283" s="5" t="s">
        <v>129</v>
      </c>
      <c r="F283" s="5" t="s">
        <v>132</v>
      </c>
      <c r="G283" s="5" t="s">
        <v>140</v>
      </c>
      <c r="H283" s="5">
        <v>8397037924</v>
      </c>
      <c r="I283" s="5">
        <v>800</v>
      </c>
      <c r="J283" s="3"/>
      <c r="K283" s="5"/>
      <c r="L283" s="3"/>
      <c r="M283" s="3"/>
      <c r="N283" s="5">
        <f t="shared" si="19"/>
        <v>0</v>
      </c>
      <c r="O283" s="5">
        <v>24000</v>
      </c>
      <c r="P283" s="5">
        <f t="shared" si="20"/>
        <v>24000</v>
      </c>
    </row>
    <row r="284" spans="1:16" ht="15.75">
      <c r="A284" s="3">
        <v>10</v>
      </c>
      <c r="B284" s="4">
        <v>46182</v>
      </c>
      <c r="C284" s="3" t="s">
        <v>51</v>
      </c>
      <c r="D284" s="5" t="s">
        <v>151</v>
      </c>
      <c r="E284" s="5" t="s">
        <v>66</v>
      </c>
      <c r="F284" s="5" t="s">
        <v>136</v>
      </c>
      <c r="G284" s="5" t="s">
        <v>143</v>
      </c>
      <c r="H284" s="5">
        <v>9992969785</v>
      </c>
      <c r="I284" s="5">
        <v>800</v>
      </c>
      <c r="J284" s="3"/>
      <c r="K284" s="5"/>
      <c r="L284" s="3"/>
      <c r="M284" s="3"/>
      <c r="N284" s="5">
        <f t="shared" si="19"/>
        <v>0</v>
      </c>
      <c r="O284" s="5">
        <v>24000</v>
      </c>
      <c r="P284" s="5">
        <f t="shared" si="20"/>
        <v>24000</v>
      </c>
    </row>
    <row r="285" spans="1:16" ht="15.75">
      <c r="A285" s="3">
        <v>11</v>
      </c>
      <c r="B285" s="4">
        <v>46182</v>
      </c>
      <c r="C285" s="3" t="s">
        <v>51</v>
      </c>
      <c r="D285" s="5" t="s">
        <v>190</v>
      </c>
      <c r="E285" s="10" t="s">
        <v>195</v>
      </c>
      <c r="F285" s="10" t="s">
        <v>184</v>
      </c>
      <c r="G285" s="10" t="s">
        <v>185</v>
      </c>
      <c r="H285" s="41">
        <v>9728976039</v>
      </c>
      <c r="I285" s="43">
        <v>750</v>
      </c>
      <c r="J285" s="3"/>
      <c r="K285" s="43"/>
      <c r="L285" s="3"/>
      <c r="M285" s="3"/>
      <c r="N285" s="5">
        <f t="shared" si="19"/>
        <v>0</v>
      </c>
      <c r="O285" s="5">
        <v>18000</v>
      </c>
      <c r="P285" s="5">
        <f t="shared" si="20"/>
        <v>18000</v>
      </c>
    </row>
    <row r="286" spans="1:16" ht="15.75">
      <c r="A286" s="3">
        <v>12</v>
      </c>
      <c r="B286" s="4">
        <v>46182</v>
      </c>
      <c r="C286" s="3" t="s">
        <v>51</v>
      </c>
      <c r="D286" s="5" t="s">
        <v>191</v>
      </c>
      <c r="E286" s="10" t="s">
        <v>196</v>
      </c>
      <c r="F286" s="10" t="s">
        <v>186</v>
      </c>
      <c r="G286" s="10" t="s">
        <v>187</v>
      </c>
      <c r="H286" s="41">
        <v>9991073613</v>
      </c>
      <c r="I286" s="43">
        <v>750</v>
      </c>
      <c r="J286" s="3"/>
      <c r="K286" s="43"/>
      <c r="L286" s="3"/>
      <c r="M286" s="3"/>
      <c r="N286" s="5">
        <f t="shared" si="19"/>
        <v>0</v>
      </c>
      <c r="O286" s="5">
        <v>18000</v>
      </c>
      <c r="P286" s="5">
        <f t="shared" si="20"/>
        <v>18000</v>
      </c>
    </row>
    <row r="287" spans="1:16" ht="15.75">
      <c r="A287" s="3">
        <v>13</v>
      </c>
      <c r="B287" s="4">
        <v>46182</v>
      </c>
      <c r="C287" s="3" t="s">
        <v>51</v>
      </c>
      <c r="D287" s="5" t="s">
        <v>192</v>
      </c>
      <c r="E287" s="10" t="s">
        <v>195</v>
      </c>
      <c r="F287" s="51" t="s">
        <v>188</v>
      </c>
      <c r="G287" s="10" t="s">
        <v>198</v>
      </c>
      <c r="H287" s="41">
        <v>8047377476</v>
      </c>
      <c r="I287" s="5">
        <v>800</v>
      </c>
      <c r="J287" s="3"/>
      <c r="K287" s="5"/>
      <c r="L287" s="3"/>
      <c r="M287" s="3"/>
      <c r="N287" s="5">
        <f t="shared" si="19"/>
        <v>0</v>
      </c>
      <c r="O287" s="5">
        <v>25600</v>
      </c>
      <c r="P287" s="5">
        <f t="shared" si="20"/>
        <v>25600</v>
      </c>
    </row>
    <row r="288" spans="1:16" ht="15.75">
      <c r="A288" s="3">
        <v>14</v>
      </c>
      <c r="B288" s="4">
        <v>46182</v>
      </c>
      <c r="C288" s="3" t="s">
        <v>51</v>
      </c>
      <c r="D288" s="5" t="s">
        <v>193</v>
      </c>
      <c r="E288" s="10" t="s">
        <v>195</v>
      </c>
      <c r="F288" s="10" t="s">
        <v>83</v>
      </c>
      <c r="G288" s="10" t="s">
        <v>189</v>
      </c>
      <c r="H288" s="41">
        <v>8396804752</v>
      </c>
      <c r="I288" s="43">
        <v>750</v>
      </c>
      <c r="J288" s="3"/>
      <c r="K288" s="43"/>
      <c r="L288" s="3"/>
      <c r="M288" s="3"/>
      <c r="N288" s="5">
        <f t="shared" si="19"/>
        <v>0</v>
      </c>
      <c r="O288" s="5">
        <v>18000</v>
      </c>
      <c r="P288" s="5">
        <f t="shared" si="20"/>
        <v>18000</v>
      </c>
    </row>
    <row r="289" spans="1:16" ht="15.75">
      <c r="A289" s="3">
        <v>15</v>
      </c>
      <c r="B289" s="4">
        <v>46182</v>
      </c>
      <c r="C289" s="3" t="s">
        <v>51</v>
      </c>
      <c r="D289" s="5" t="s">
        <v>207</v>
      </c>
      <c r="E289" s="10" t="s">
        <v>225</v>
      </c>
      <c r="F289" s="10" t="s">
        <v>213</v>
      </c>
      <c r="G289" s="10" t="s">
        <v>214</v>
      </c>
      <c r="H289" s="41">
        <v>9034419162</v>
      </c>
      <c r="I289" s="43">
        <v>750</v>
      </c>
      <c r="J289" s="3"/>
      <c r="K289" s="43"/>
      <c r="L289" s="3"/>
      <c r="M289" s="3"/>
      <c r="N289" s="5">
        <f t="shared" si="19"/>
        <v>0</v>
      </c>
      <c r="O289" s="5">
        <v>18000</v>
      </c>
      <c r="P289" s="5">
        <f t="shared" si="20"/>
        <v>18000</v>
      </c>
    </row>
    <row r="290" spans="1:16" ht="15.75">
      <c r="A290" s="3">
        <v>16</v>
      </c>
      <c r="B290" s="4">
        <v>46182</v>
      </c>
      <c r="C290" s="3" t="s">
        <v>51</v>
      </c>
      <c r="D290" s="5" t="s">
        <v>209</v>
      </c>
      <c r="E290" s="10" t="s">
        <v>226</v>
      </c>
      <c r="F290" s="10" t="s">
        <v>217</v>
      </c>
      <c r="G290" s="10" t="s">
        <v>218</v>
      </c>
      <c r="H290" s="41">
        <v>9671740481</v>
      </c>
      <c r="I290" s="43">
        <v>750</v>
      </c>
      <c r="J290" s="3"/>
      <c r="K290" s="43"/>
      <c r="L290" s="3"/>
      <c r="M290" s="3"/>
      <c r="N290" s="5">
        <f t="shared" si="19"/>
        <v>0</v>
      </c>
      <c r="O290" s="5">
        <v>18000</v>
      </c>
      <c r="P290" s="5">
        <f t="shared" si="20"/>
        <v>18000</v>
      </c>
    </row>
    <row r="291" spans="1:16" ht="15.75">
      <c r="A291" s="3">
        <v>17</v>
      </c>
      <c r="B291" s="4">
        <v>46182</v>
      </c>
      <c r="C291" s="3" t="s">
        <v>51</v>
      </c>
      <c r="D291" s="5" t="s">
        <v>210</v>
      </c>
      <c r="E291" s="10" t="s">
        <v>227</v>
      </c>
      <c r="F291" s="10" t="s">
        <v>219</v>
      </c>
      <c r="G291" s="10" t="s">
        <v>220</v>
      </c>
      <c r="H291" s="41">
        <v>9311797101</v>
      </c>
      <c r="I291" s="43">
        <v>750</v>
      </c>
      <c r="J291" s="3"/>
      <c r="K291" s="43"/>
      <c r="L291" s="3"/>
      <c r="M291" s="3"/>
      <c r="N291" s="5">
        <f t="shared" si="19"/>
        <v>0</v>
      </c>
      <c r="O291" s="5">
        <v>18000</v>
      </c>
      <c r="P291" s="5">
        <f t="shared" si="20"/>
        <v>18000</v>
      </c>
    </row>
    <row r="292" spans="1:16" ht="15.75">
      <c r="A292" s="3">
        <v>18</v>
      </c>
      <c r="B292" s="4">
        <v>46182</v>
      </c>
      <c r="C292" s="3" t="s">
        <v>51</v>
      </c>
      <c r="D292" s="5" t="s">
        <v>211</v>
      </c>
      <c r="E292" s="10" t="s">
        <v>226</v>
      </c>
      <c r="F292" s="10" t="s">
        <v>221</v>
      </c>
      <c r="G292" s="10" t="s">
        <v>222</v>
      </c>
      <c r="H292" s="41">
        <v>7206610781</v>
      </c>
      <c r="I292" s="43">
        <v>750</v>
      </c>
      <c r="J292" s="3"/>
      <c r="K292" s="43"/>
      <c r="L292" s="3"/>
      <c r="M292" s="3"/>
      <c r="N292" s="5">
        <f t="shared" si="19"/>
        <v>0</v>
      </c>
      <c r="O292" s="5">
        <v>18000</v>
      </c>
      <c r="P292" s="5">
        <f t="shared" si="20"/>
        <v>18000</v>
      </c>
    </row>
    <row r="293" spans="1:16" ht="15.75">
      <c r="A293" s="3">
        <v>19</v>
      </c>
      <c r="B293" s="4">
        <v>46182</v>
      </c>
      <c r="C293" s="3" t="s">
        <v>51</v>
      </c>
      <c r="D293" s="5" t="s">
        <v>212</v>
      </c>
      <c r="E293" s="10" t="s">
        <v>226</v>
      </c>
      <c r="F293" s="10" t="s">
        <v>223</v>
      </c>
      <c r="G293" s="10" t="s">
        <v>224</v>
      </c>
      <c r="H293" s="41">
        <v>8814045633</v>
      </c>
      <c r="I293" s="43">
        <v>750</v>
      </c>
      <c r="J293" s="3"/>
      <c r="K293" s="43"/>
      <c r="L293" s="3"/>
      <c r="M293" s="3"/>
      <c r="N293" s="5">
        <f t="shared" si="19"/>
        <v>0</v>
      </c>
      <c r="O293" s="5">
        <v>18000</v>
      </c>
      <c r="P293" s="5">
        <f t="shared" si="20"/>
        <v>18000</v>
      </c>
    </row>
    <row r="294" spans="1:16" ht="15.75">
      <c r="A294" s="3">
        <v>20</v>
      </c>
      <c r="B294" s="4">
        <v>46182</v>
      </c>
      <c r="C294" s="3" t="s">
        <v>51</v>
      </c>
      <c r="D294" s="5" t="s">
        <v>228</v>
      </c>
      <c r="E294" s="52" t="s">
        <v>229</v>
      </c>
      <c r="F294" s="10" t="s">
        <v>165</v>
      </c>
      <c r="G294" s="10" t="s">
        <v>198</v>
      </c>
      <c r="H294" s="10" t="s">
        <v>230</v>
      </c>
      <c r="I294" s="43">
        <v>750</v>
      </c>
      <c r="J294" s="3"/>
      <c r="K294" s="43"/>
      <c r="L294" s="3"/>
      <c r="M294" s="3"/>
      <c r="N294" s="5">
        <f t="shared" si="19"/>
        <v>0</v>
      </c>
      <c r="O294" s="5">
        <v>18000</v>
      </c>
      <c r="P294" s="5">
        <f t="shared" si="20"/>
        <v>18000</v>
      </c>
    </row>
    <row r="295" spans="1:16" ht="15.75">
      <c r="A295" s="3">
        <v>21</v>
      </c>
      <c r="B295" s="4">
        <v>46182</v>
      </c>
      <c r="C295" s="3" t="s">
        <v>51</v>
      </c>
      <c r="D295" s="5" t="s">
        <v>233</v>
      </c>
      <c r="E295" s="10" t="s">
        <v>49</v>
      </c>
      <c r="F295" s="10" t="s">
        <v>231</v>
      </c>
      <c r="G295" s="10" t="s">
        <v>142</v>
      </c>
      <c r="H295" s="41">
        <v>7497855174</v>
      </c>
      <c r="I295" s="43">
        <v>750</v>
      </c>
      <c r="J295" s="3"/>
      <c r="K295" s="43"/>
      <c r="L295" s="3"/>
      <c r="M295" s="3"/>
      <c r="N295" s="5">
        <f t="shared" si="19"/>
        <v>0</v>
      </c>
      <c r="O295" s="5">
        <v>18750</v>
      </c>
      <c r="P295" s="5">
        <f t="shared" si="20"/>
        <v>18750</v>
      </c>
    </row>
    <row r="296" spans="1:16" ht="15.75">
      <c r="A296" s="3">
        <v>22</v>
      </c>
      <c r="B296" s="4">
        <v>46182</v>
      </c>
      <c r="C296" s="3" t="s">
        <v>51</v>
      </c>
      <c r="D296" s="5" t="s">
        <v>234</v>
      </c>
      <c r="E296" s="10" t="s">
        <v>196</v>
      </c>
      <c r="F296" s="10" t="s">
        <v>232</v>
      </c>
      <c r="G296" s="10" t="s">
        <v>235</v>
      </c>
      <c r="H296" s="41">
        <v>9817633128</v>
      </c>
      <c r="I296" s="43">
        <v>800</v>
      </c>
      <c r="J296" s="3"/>
      <c r="K296" s="43"/>
      <c r="L296" s="3"/>
      <c r="M296" s="3"/>
      <c r="N296" s="5">
        <f t="shared" si="19"/>
        <v>0</v>
      </c>
      <c r="O296" s="5">
        <v>26400</v>
      </c>
      <c r="P296" s="5">
        <f t="shared" si="20"/>
        <v>26400</v>
      </c>
    </row>
    <row r="297" spans="1:16" ht="15.75">
      <c r="A297" s="3">
        <v>23</v>
      </c>
      <c r="B297" s="4">
        <v>46182</v>
      </c>
      <c r="C297" s="3" t="s">
        <v>51</v>
      </c>
      <c r="D297" s="5" t="s">
        <v>236</v>
      </c>
      <c r="E297" s="10" t="s">
        <v>238</v>
      </c>
      <c r="F297" s="10" t="s">
        <v>180</v>
      </c>
      <c r="G297" s="10" t="s">
        <v>240</v>
      </c>
      <c r="H297" s="41">
        <v>9728727855</v>
      </c>
      <c r="I297" s="43">
        <v>750</v>
      </c>
      <c r="J297" s="3"/>
      <c r="K297" s="43"/>
      <c r="L297" s="3"/>
      <c r="M297" s="3"/>
      <c r="N297" s="5">
        <f t="shared" si="19"/>
        <v>0</v>
      </c>
      <c r="O297" s="5">
        <v>18750</v>
      </c>
      <c r="P297" s="5">
        <f t="shared" si="20"/>
        <v>18750</v>
      </c>
    </row>
    <row r="298" spans="1:16" ht="15.75">
      <c r="A298" s="3">
        <v>24</v>
      </c>
      <c r="B298" s="4">
        <v>46182</v>
      </c>
      <c r="C298" s="3" t="s">
        <v>51</v>
      </c>
      <c r="D298" s="5" t="s">
        <v>237</v>
      </c>
      <c r="E298" s="10" t="s">
        <v>238</v>
      </c>
      <c r="F298" s="10" t="s">
        <v>239</v>
      </c>
      <c r="G298" s="10" t="s">
        <v>241</v>
      </c>
      <c r="H298" s="41">
        <v>9813575389</v>
      </c>
      <c r="I298" s="43">
        <v>800</v>
      </c>
      <c r="J298" s="3"/>
      <c r="K298" s="43"/>
      <c r="L298" s="3"/>
      <c r="M298" s="3"/>
      <c r="N298" s="5">
        <f t="shared" si="19"/>
        <v>0</v>
      </c>
      <c r="O298" s="5">
        <v>26400</v>
      </c>
      <c r="P298" s="5">
        <f t="shared" si="20"/>
        <v>26400</v>
      </c>
    </row>
    <row r="299" spans="1:16" ht="15.75">
      <c r="A299" s="3">
        <v>25</v>
      </c>
      <c r="B299" s="4">
        <v>46182</v>
      </c>
      <c r="C299" s="3" t="s">
        <v>51</v>
      </c>
      <c r="D299" s="5" t="s">
        <v>242</v>
      </c>
      <c r="E299" s="10" t="s">
        <v>226</v>
      </c>
      <c r="F299" s="10" t="s">
        <v>246</v>
      </c>
      <c r="G299" s="10" t="s">
        <v>249</v>
      </c>
      <c r="H299" s="41">
        <v>9997650988</v>
      </c>
      <c r="I299" s="43">
        <v>750</v>
      </c>
      <c r="J299" s="3"/>
      <c r="K299" s="43"/>
      <c r="L299" s="3"/>
      <c r="M299" s="3"/>
      <c r="N299" s="5">
        <f t="shared" si="19"/>
        <v>0</v>
      </c>
      <c r="O299" s="5">
        <v>18750</v>
      </c>
      <c r="P299" s="5">
        <f t="shared" si="20"/>
        <v>18750</v>
      </c>
    </row>
    <row r="300" spans="1:16" ht="15.75">
      <c r="A300" s="3">
        <v>26</v>
      </c>
      <c r="B300" s="4">
        <v>46182</v>
      </c>
      <c r="C300" s="3" t="s">
        <v>51</v>
      </c>
      <c r="D300" s="5" t="s">
        <v>243</v>
      </c>
      <c r="E300" s="10" t="s">
        <v>245</v>
      </c>
      <c r="F300" s="10" t="s">
        <v>247</v>
      </c>
      <c r="G300" s="10" t="s">
        <v>250</v>
      </c>
      <c r="H300" s="41">
        <v>8607470754</v>
      </c>
      <c r="I300" s="43">
        <v>800</v>
      </c>
      <c r="J300" s="3"/>
      <c r="K300" s="43"/>
      <c r="L300" s="3"/>
      <c r="M300" s="3"/>
      <c r="N300" s="5">
        <f t="shared" si="19"/>
        <v>0</v>
      </c>
      <c r="O300" s="5">
        <v>26400</v>
      </c>
      <c r="P300" s="5">
        <f t="shared" si="20"/>
        <v>26400</v>
      </c>
    </row>
    <row r="301" spans="1:16" ht="15.75">
      <c r="A301" s="3">
        <v>27</v>
      </c>
      <c r="B301" s="4">
        <v>46182</v>
      </c>
      <c r="C301" s="3" t="s">
        <v>51</v>
      </c>
      <c r="D301" s="5" t="s">
        <v>244</v>
      </c>
      <c r="E301" s="10" t="s">
        <v>226</v>
      </c>
      <c r="F301" s="10" t="s">
        <v>248</v>
      </c>
      <c r="G301" s="10" t="s">
        <v>251</v>
      </c>
      <c r="H301" s="41">
        <v>8929903323</v>
      </c>
      <c r="I301" s="43">
        <v>800</v>
      </c>
      <c r="J301" s="3"/>
      <c r="K301" s="43"/>
      <c r="L301" s="3"/>
      <c r="M301" s="3"/>
      <c r="N301" s="5">
        <f t="shared" si="19"/>
        <v>0</v>
      </c>
      <c r="O301" s="5">
        <v>26400</v>
      </c>
      <c r="P301" s="5">
        <f t="shared" si="20"/>
        <v>26400</v>
      </c>
    </row>
    <row r="302" spans="1:16" ht="15.75">
      <c r="A302" s="3">
        <v>28</v>
      </c>
      <c r="B302" s="4">
        <v>46182</v>
      </c>
      <c r="C302" s="3" t="s">
        <v>51</v>
      </c>
      <c r="D302" s="5" t="s">
        <v>252</v>
      </c>
      <c r="E302" s="10" t="s">
        <v>226</v>
      </c>
      <c r="F302" s="10" t="s">
        <v>120</v>
      </c>
      <c r="G302" s="10" t="s">
        <v>253</v>
      </c>
      <c r="H302" s="41">
        <v>8930304731</v>
      </c>
      <c r="I302" s="43">
        <v>800</v>
      </c>
      <c r="J302" s="3"/>
      <c r="K302" s="43"/>
      <c r="L302" s="3"/>
      <c r="M302" s="3"/>
      <c r="N302" s="5">
        <f t="shared" si="19"/>
        <v>0</v>
      </c>
      <c r="O302" s="5">
        <v>26400</v>
      </c>
      <c r="P302" s="5">
        <f t="shared" si="20"/>
        <v>26400</v>
      </c>
    </row>
    <row r="303" spans="1:16" ht="15.75">
      <c r="A303" s="3">
        <v>29</v>
      </c>
      <c r="B303" s="4">
        <v>46182</v>
      </c>
      <c r="C303" s="3" t="s">
        <v>51</v>
      </c>
      <c r="D303" s="5" t="s">
        <v>256</v>
      </c>
      <c r="E303" s="10" t="s">
        <v>257</v>
      </c>
      <c r="F303" s="10" t="s">
        <v>258</v>
      </c>
      <c r="G303" s="10" t="s">
        <v>259</v>
      </c>
      <c r="H303" s="41">
        <v>7355860393</v>
      </c>
      <c r="I303" s="43">
        <v>750</v>
      </c>
      <c r="J303" s="3"/>
      <c r="K303" s="43"/>
      <c r="L303" s="3"/>
      <c r="M303" s="3"/>
      <c r="N303" s="5">
        <f t="shared" si="19"/>
        <v>0</v>
      </c>
      <c r="O303" s="5">
        <v>18750</v>
      </c>
      <c r="P303" s="5">
        <f t="shared" si="20"/>
        <v>18750</v>
      </c>
    </row>
    <row r="304" spans="1:16" ht="15.75">
      <c r="A304" s="3">
        <v>30</v>
      </c>
      <c r="B304" s="4">
        <v>46182</v>
      </c>
      <c r="C304" s="3" t="s">
        <v>51</v>
      </c>
      <c r="D304" s="5" t="s">
        <v>263</v>
      </c>
      <c r="E304" s="10" t="s">
        <v>196</v>
      </c>
      <c r="F304" s="10" t="s">
        <v>260</v>
      </c>
      <c r="G304" s="10" t="s">
        <v>268</v>
      </c>
      <c r="H304" s="41">
        <v>8936838477</v>
      </c>
      <c r="I304" s="43">
        <v>750</v>
      </c>
      <c r="J304" s="3"/>
      <c r="K304" s="10"/>
      <c r="L304" s="3"/>
      <c r="M304" s="3"/>
      <c r="N304" s="5">
        <f t="shared" si="19"/>
        <v>0</v>
      </c>
      <c r="O304" s="5">
        <v>19500</v>
      </c>
      <c r="P304" s="5">
        <f t="shared" si="20"/>
        <v>19500</v>
      </c>
    </row>
    <row r="305" spans="1:16" ht="15.75">
      <c r="A305" s="3">
        <v>31</v>
      </c>
      <c r="B305" s="4">
        <v>46182</v>
      </c>
      <c r="C305" s="3" t="s">
        <v>51</v>
      </c>
      <c r="D305" s="5" t="s">
        <v>266</v>
      </c>
      <c r="E305" s="10" t="s">
        <v>196</v>
      </c>
      <c r="F305" s="10" t="s">
        <v>239</v>
      </c>
      <c r="G305" s="10" t="s">
        <v>235</v>
      </c>
      <c r="H305" s="41">
        <v>9728139162</v>
      </c>
      <c r="I305" s="43">
        <v>750</v>
      </c>
      <c r="J305" s="3"/>
      <c r="K305" s="10"/>
      <c r="L305" s="3"/>
      <c r="M305" s="3"/>
      <c r="N305" s="5">
        <f t="shared" si="19"/>
        <v>0</v>
      </c>
      <c r="O305" s="5">
        <v>19500</v>
      </c>
      <c r="P305" s="5">
        <f t="shared" si="20"/>
        <v>19500</v>
      </c>
    </row>
    <row r="306" spans="1:16" ht="15.75">
      <c r="A306" s="3"/>
      <c r="B306" s="4"/>
      <c r="C306" s="3"/>
      <c r="D306" s="10"/>
      <c r="E306" s="10"/>
      <c r="F306" s="10"/>
      <c r="G306" s="10"/>
      <c r="H306" s="10"/>
      <c r="I306" s="10"/>
      <c r="J306" s="3"/>
      <c r="K306" s="10"/>
      <c r="L306" s="3"/>
      <c r="M306" s="3"/>
      <c r="N306" s="10"/>
      <c r="O306" s="5"/>
      <c r="P306" s="5"/>
    </row>
    <row r="307" spans="1:16" ht="15.75">
      <c r="A307" s="3"/>
      <c r="B307" s="4"/>
      <c r="C307" s="3"/>
      <c r="D307" s="10"/>
      <c r="E307" s="10"/>
      <c r="F307" s="10"/>
      <c r="G307" s="10"/>
      <c r="H307" s="10"/>
      <c r="I307" s="10"/>
      <c r="J307" s="3"/>
      <c r="K307" s="10"/>
      <c r="L307" s="3"/>
      <c r="M307" s="3"/>
      <c r="N307" s="10"/>
      <c r="O307" s="5"/>
      <c r="P307" s="5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8.75">
      <c r="A309" s="3"/>
      <c r="B309" s="3"/>
      <c r="C309" s="3"/>
      <c r="D309" s="3"/>
      <c r="E309" s="3"/>
      <c r="F309" s="3"/>
      <c r="G309" s="3"/>
      <c r="H309" s="3"/>
      <c r="I309" s="49">
        <f>SUM(I275:I308)</f>
        <v>23850</v>
      </c>
      <c r="J309" s="49"/>
      <c r="K309" s="49">
        <f>SUM(K275:K308)</f>
        <v>0</v>
      </c>
      <c r="L309" s="49"/>
      <c r="M309" s="49"/>
      <c r="N309" s="49">
        <f>SUM(N275:N308)</f>
        <v>0</v>
      </c>
      <c r="O309" s="49">
        <f>SUM(O275:O308)</f>
        <v>638200</v>
      </c>
      <c r="P309" s="49">
        <f>SUM(P275:P308)</f>
        <v>638200</v>
      </c>
    </row>
    <row r="315" spans="1:16" ht="27.75">
      <c r="A315" s="142" t="s">
        <v>102</v>
      </c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</row>
    <row r="316" spans="1:16" ht="75">
      <c r="A316" s="1" t="s">
        <v>87</v>
      </c>
      <c r="B316" s="1" t="s">
        <v>103</v>
      </c>
      <c r="C316" s="1" t="s">
        <v>88</v>
      </c>
      <c r="D316" s="1" t="s">
        <v>104</v>
      </c>
      <c r="E316" s="1" t="s">
        <v>105</v>
      </c>
      <c r="F316" s="1" t="s">
        <v>106</v>
      </c>
      <c r="G316" s="1" t="s">
        <v>93</v>
      </c>
      <c r="H316" s="1" t="s">
        <v>107</v>
      </c>
      <c r="I316" s="1" t="s">
        <v>108</v>
      </c>
      <c r="J316" s="1" t="s">
        <v>109</v>
      </c>
      <c r="K316" s="1" t="s">
        <v>110</v>
      </c>
      <c r="L316" s="1" t="s">
        <v>21</v>
      </c>
      <c r="M316" s="1" t="s">
        <v>45</v>
      </c>
      <c r="N316" s="1" t="s">
        <v>111</v>
      </c>
      <c r="O316" s="2" t="s">
        <v>112</v>
      </c>
      <c r="P316" s="1" t="s">
        <v>113</v>
      </c>
    </row>
    <row r="317" spans="1:16" ht="15.75">
      <c r="A317" s="7">
        <v>1</v>
      </c>
      <c r="B317" s="7" t="s">
        <v>304</v>
      </c>
      <c r="C317" s="7" t="s">
        <v>51</v>
      </c>
      <c r="D317" s="5" t="s">
        <v>56</v>
      </c>
      <c r="E317" s="5" t="s">
        <v>49</v>
      </c>
      <c r="F317" s="5" t="s">
        <v>53</v>
      </c>
      <c r="G317" s="5" t="s">
        <v>54</v>
      </c>
      <c r="H317" s="5">
        <v>9416205447</v>
      </c>
      <c r="I317" s="5">
        <v>750</v>
      </c>
      <c r="J317" s="7"/>
      <c r="K317" s="7"/>
      <c r="L317" s="7"/>
      <c r="M317" s="7"/>
      <c r="N317" s="7"/>
      <c r="O317" s="5">
        <v>15000</v>
      </c>
      <c r="P317" s="7"/>
    </row>
    <row r="318" spans="1:16" ht="15.75">
      <c r="A318" s="7">
        <v>2</v>
      </c>
      <c r="B318" s="7" t="s">
        <v>304</v>
      </c>
      <c r="C318" s="7" t="s">
        <v>51</v>
      </c>
      <c r="D318" s="5" t="s">
        <v>61</v>
      </c>
      <c r="E318" s="5" t="s">
        <v>58</v>
      </c>
      <c r="F318" s="5" t="s">
        <v>59</v>
      </c>
      <c r="G318" s="5" t="s">
        <v>60</v>
      </c>
      <c r="H318" s="5">
        <v>7082390753</v>
      </c>
      <c r="I318" s="5">
        <v>750</v>
      </c>
      <c r="J318" s="7"/>
      <c r="K318" s="7"/>
      <c r="L318" s="7"/>
      <c r="M318" s="7"/>
      <c r="N318" s="7"/>
      <c r="O318" s="5">
        <v>15000</v>
      </c>
      <c r="P318" s="7"/>
    </row>
    <row r="319" spans="1:16" ht="15.75">
      <c r="A319" s="7">
        <v>3</v>
      </c>
      <c r="B319" s="7" t="s">
        <v>304</v>
      </c>
      <c r="C319" s="7" t="s">
        <v>51</v>
      </c>
      <c r="D319" s="5" t="s">
        <v>65</v>
      </c>
      <c r="E319" s="5" t="s">
        <v>62</v>
      </c>
      <c r="F319" s="5" t="s">
        <v>63</v>
      </c>
      <c r="G319" s="5" t="s">
        <v>64</v>
      </c>
      <c r="H319" s="5">
        <v>9050560127</v>
      </c>
      <c r="I319" s="5">
        <v>750</v>
      </c>
      <c r="J319" s="7"/>
      <c r="K319" s="7"/>
      <c r="L319" s="7"/>
      <c r="M319" s="7"/>
      <c r="N319" s="7"/>
      <c r="O319" s="5">
        <v>15000</v>
      </c>
      <c r="P319" s="7"/>
    </row>
    <row r="320" spans="1:16" ht="15.75">
      <c r="A320" s="7">
        <v>4</v>
      </c>
      <c r="B320" s="7" t="s">
        <v>304</v>
      </c>
      <c r="C320" s="7" t="s">
        <v>51</v>
      </c>
      <c r="D320" s="5" t="s">
        <v>76</v>
      </c>
      <c r="E320" s="5" t="s">
        <v>62</v>
      </c>
      <c r="F320" s="6" t="s">
        <v>74</v>
      </c>
      <c r="G320" s="6" t="s">
        <v>75</v>
      </c>
      <c r="H320" s="6">
        <v>8607782625</v>
      </c>
      <c r="I320" s="5">
        <v>750</v>
      </c>
      <c r="J320" s="7"/>
      <c r="K320" s="7"/>
      <c r="L320" s="7"/>
      <c r="M320" s="7"/>
      <c r="N320" s="7"/>
      <c r="O320" s="5">
        <v>15000</v>
      </c>
      <c r="P320" s="7"/>
    </row>
    <row r="321" spans="1:16" ht="15.75">
      <c r="A321" s="7">
        <v>5</v>
      </c>
      <c r="B321" s="7" t="s">
        <v>304</v>
      </c>
      <c r="C321" s="7" t="s">
        <v>51</v>
      </c>
      <c r="D321" s="5" t="s">
        <v>116</v>
      </c>
      <c r="E321" s="10" t="s">
        <v>118</v>
      </c>
      <c r="F321" s="10" t="s">
        <v>122</v>
      </c>
      <c r="G321" s="10" t="s">
        <v>126</v>
      </c>
      <c r="H321" s="10">
        <v>9971164371</v>
      </c>
      <c r="I321" s="10">
        <v>750</v>
      </c>
      <c r="J321" s="7"/>
      <c r="K321" s="7"/>
      <c r="L321" s="7"/>
      <c r="M321" s="7"/>
      <c r="N321" s="7"/>
      <c r="O321" s="5">
        <v>15750</v>
      </c>
      <c r="P321" s="7"/>
    </row>
    <row r="322" spans="1:16" ht="15.75">
      <c r="A322" s="7">
        <v>6</v>
      </c>
      <c r="B322" s="7" t="s">
        <v>304</v>
      </c>
      <c r="C322" s="7" t="s">
        <v>51</v>
      </c>
      <c r="D322" s="5" t="s">
        <v>117</v>
      </c>
      <c r="E322" s="10" t="s">
        <v>119</v>
      </c>
      <c r="F322" s="10" t="s">
        <v>123</v>
      </c>
      <c r="G322" s="10" t="s">
        <v>127</v>
      </c>
      <c r="H322" s="10">
        <v>8816966347</v>
      </c>
      <c r="I322" s="10">
        <v>750</v>
      </c>
      <c r="J322" s="7"/>
      <c r="K322" s="7"/>
      <c r="L322" s="7"/>
      <c r="M322" s="7"/>
      <c r="N322" s="7"/>
      <c r="O322" s="5">
        <v>15750</v>
      </c>
      <c r="P322" s="7"/>
    </row>
    <row r="323" spans="1:16" ht="15.75">
      <c r="A323" s="7">
        <v>7</v>
      </c>
      <c r="B323" s="7" t="s">
        <v>304</v>
      </c>
      <c r="C323" s="7" t="s">
        <v>51</v>
      </c>
      <c r="D323" s="5" t="s">
        <v>146</v>
      </c>
      <c r="E323" s="5" t="s">
        <v>128</v>
      </c>
      <c r="F323" s="5" t="s">
        <v>131</v>
      </c>
      <c r="G323" s="5" t="s">
        <v>139</v>
      </c>
      <c r="H323" s="5">
        <v>8295428639</v>
      </c>
      <c r="I323" s="5">
        <v>800</v>
      </c>
      <c r="J323" s="7"/>
      <c r="K323" s="7"/>
      <c r="L323" s="7"/>
      <c r="M323" s="7"/>
      <c r="N323" s="7"/>
      <c r="O323" s="5">
        <v>24000</v>
      </c>
      <c r="P323" s="7"/>
    </row>
    <row r="324" spans="1:16" ht="15.75">
      <c r="A324" s="7">
        <v>8</v>
      </c>
      <c r="B324" s="7" t="s">
        <v>304</v>
      </c>
      <c r="C324" s="7" t="s">
        <v>51</v>
      </c>
      <c r="D324" s="5" t="s">
        <v>148</v>
      </c>
      <c r="E324" s="5" t="s">
        <v>130</v>
      </c>
      <c r="F324" s="5" t="s">
        <v>133</v>
      </c>
      <c r="G324" s="5" t="s">
        <v>68</v>
      </c>
      <c r="H324" s="5">
        <v>9050180519</v>
      </c>
      <c r="I324" s="6">
        <v>750</v>
      </c>
      <c r="J324" s="7"/>
      <c r="K324" s="7"/>
      <c r="L324" s="7"/>
      <c r="M324" s="7"/>
      <c r="N324" s="7"/>
      <c r="O324" s="5">
        <v>16500</v>
      </c>
      <c r="P324" s="7"/>
    </row>
    <row r="325" spans="1:16" ht="15.75">
      <c r="A325" s="7">
        <v>9</v>
      </c>
      <c r="B325" s="7" t="s">
        <v>304</v>
      </c>
      <c r="C325" s="7" t="s">
        <v>51</v>
      </c>
      <c r="D325" s="5" t="s">
        <v>149</v>
      </c>
      <c r="E325" s="5" t="s">
        <v>119</v>
      </c>
      <c r="F325" s="5" t="s">
        <v>134</v>
      </c>
      <c r="G325" s="5" t="s">
        <v>141</v>
      </c>
      <c r="H325" s="5">
        <v>9671597235</v>
      </c>
      <c r="I325" s="5">
        <v>800</v>
      </c>
      <c r="J325" s="7"/>
      <c r="K325" s="7"/>
      <c r="L325" s="7"/>
      <c r="M325" s="7"/>
      <c r="N325" s="7"/>
      <c r="O325" s="5">
        <v>24000</v>
      </c>
      <c r="P325" s="7"/>
    </row>
    <row r="326" spans="1:16" ht="15.75">
      <c r="A326" s="7">
        <v>10</v>
      </c>
      <c r="B326" s="7" t="s">
        <v>304</v>
      </c>
      <c r="C326" s="7" t="s">
        <v>51</v>
      </c>
      <c r="D326" s="5" t="s">
        <v>150</v>
      </c>
      <c r="E326" s="5" t="s">
        <v>119</v>
      </c>
      <c r="F326" s="5" t="s">
        <v>135</v>
      </c>
      <c r="G326" s="5" t="s">
        <v>142</v>
      </c>
      <c r="H326" s="5">
        <v>9729501850</v>
      </c>
      <c r="I326" s="5">
        <v>800</v>
      </c>
      <c r="J326" s="7"/>
      <c r="K326" s="7"/>
      <c r="L326" s="7"/>
      <c r="M326" s="7"/>
      <c r="N326" s="7"/>
      <c r="O326" s="5">
        <v>24000</v>
      </c>
      <c r="P326" s="7"/>
    </row>
    <row r="327" spans="1:16" ht="15.75">
      <c r="A327" s="7">
        <v>11</v>
      </c>
      <c r="B327" s="7" t="s">
        <v>304</v>
      </c>
      <c r="C327" s="7" t="s">
        <v>51</v>
      </c>
      <c r="D327" s="5" t="s">
        <v>152</v>
      </c>
      <c r="E327" s="5" t="s">
        <v>119</v>
      </c>
      <c r="F327" s="5" t="s">
        <v>137</v>
      </c>
      <c r="G327" s="5" t="s">
        <v>144</v>
      </c>
      <c r="H327" s="5">
        <v>9991638771</v>
      </c>
      <c r="I327" s="5">
        <v>800</v>
      </c>
      <c r="J327" s="7"/>
      <c r="K327" s="7"/>
      <c r="L327" s="7"/>
      <c r="M327" s="7"/>
      <c r="N327" s="7"/>
      <c r="O327" s="5">
        <v>24000</v>
      </c>
      <c r="P327" s="7"/>
    </row>
    <row r="328" spans="1:16" ht="15.75">
      <c r="A328" s="7">
        <v>12</v>
      </c>
      <c r="B328" s="7" t="s">
        <v>304</v>
      </c>
      <c r="C328" s="7" t="s">
        <v>51</v>
      </c>
      <c r="D328" s="5" t="s">
        <v>158</v>
      </c>
      <c r="E328" s="10" t="s">
        <v>119</v>
      </c>
      <c r="F328" s="10" t="s">
        <v>71</v>
      </c>
      <c r="G328" s="10" t="s">
        <v>167</v>
      </c>
      <c r="H328" s="10">
        <v>9992401965</v>
      </c>
      <c r="I328" s="5">
        <v>800</v>
      </c>
      <c r="J328" s="7"/>
      <c r="K328" s="7"/>
      <c r="L328" s="7"/>
      <c r="M328" s="7"/>
      <c r="N328" s="7"/>
      <c r="O328" s="5">
        <v>24000</v>
      </c>
      <c r="P328" s="7"/>
    </row>
    <row r="329" spans="1:16" ht="15.75">
      <c r="A329" s="7">
        <v>13</v>
      </c>
      <c r="B329" s="7" t="s">
        <v>304</v>
      </c>
      <c r="C329" s="7" t="s">
        <v>51</v>
      </c>
      <c r="D329" s="5" t="s">
        <v>159</v>
      </c>
      <c r="E329" s="10" t="s">
        <v>171</v>
      </c>
      <c r="F329" s="10" t="s">
        <v>163</v>
      </c>
      <c r="G329" s="10" t="s">
        <v>168</v>
      </c>
      <c r="H329" s="10">
        <v>7404474940</v>
      </c>
      <c r="I329" s="6">
        <v>750</v>
      </c>
      <c r="J329" s="7"/>
      <c r="K329" s="7"/>
      <c r="L329" s="7"/>
      <c r="M329" s="7"/>
      <c r="N329" s="7"/>
      <c r="O329" s="5">
        <v>16500</v>
      </c>
      <c r="P329" s="7"/>
    </row>
    <row r="330" spans="1:16" ht="15.75">
      <c r="A330" s="7">
        <v>14</v>
      </c>
      <c r="B330" s="7" t="s">
        <v>304</v>
      </c>
      <c r="C330" s="7" t="s">
        <v>51</v>
      </c>
      <c r="D330" s="5" t="s">
        <v>160</v>
      </c>
      <c r="E330" s="10" t="s">
        <v>172</v>
      </c>
      <c r="F330" s="10" t="s">
        <v>164</v>
      </c>
      <c r="G330" s="10" t="s">
        <v>169</v>
      </c>
      <c r="H330" s="10">
        <v>9540614028</v>
      </c>
      <c r="I330" s="5">
        <v>800</v>
      </c>
      <c r="J330" s="7"/>
      <c r="K330" s="7"/>
      <c r="L330" s="7"/>
      <c r="M330" s="7"/>
      <c r="N330" s="7"/>
      <c r="O330" s="5">
        <v>24000</v>
      </c>
      <c r="P330" s="7"/>
    </row>
    <row r="331" spans="1:16" ht="15.75">
      <c r="A331" s="7">
        <v>15</v>
      </c>
      <c r="B331" s="7" t="s">
        <v>304</v>
      </c>
      <c r="C331" s="7" t="s">
        <v>51</v>
      </c>
      <c r="D331" s="5" t="s">
        <v>161</v>
      </c>
      <c r="E331" s="10" t="s">
        <v>119</v>
      </c>
      <c r="F331" s="10" t="s">
        <v>165</v>
      </c>
      <c r="G331" s="10" t="s">
        <v>140</v>
      </c>
      <c r="H331" s="10">
        <v>8395910861</v>
      </c>
      <c r="I331" s="6">
        <v>750</v>
      </c>
      <c r="J331" s="7"/>
      <c r="K331" s="7"/>
      <c r="L331" s="7"/>
      <c r="M331" s="7"/>
      <c r="N331" s="7"/>
      <c r="O331" s="5">
        <v>16500</v>
      </c>
      <c r="P331" s="7"/>
    </row>
    <row r="332" spans="1:16" ht="15.75">
      <c r="A332" s="7">
        <v>16</v>
      </c>
      <c r="B332" s="7" t="s">
        <v>304</v>
      </c>
      <c r="C332" s="7" t="s">
        <v>51</v>
      </c>
      <c r="D332" s="5" t="s">
        <v>162</v>
      </c>
      <c r="E332" s="10" t="s">
        <v>119</v>
      </c>
      <c r="F332" s="10" t="s">
        <v>166</v>
      </c>
      <c r="G332" s="10" t="s">
        <v>170</v>
      </c>
      <c r="H332" s="10">
        <v>9671227093</v>
      </c>
      <c r="I332" s="5">
        <v>800</v>
      </c>
      <c r="J332" s="7"/>
      <c r="K332" s="7"/>
      <c r="L332" s="7"/>
      <c r="M332" s="7"/>
      <c r="N332" s="7"/>
      <c r="O332" s="5">
        <v>24000</v>
      </c>
      <c r="P332" s="7"/>
    </row>
    <row r="333" spans="1:16" ht="15.75">
      <c r="A333" s="7">
        <v>17</v>
      </c>
      <c r="B333" s="7" t="s">
        <v>304</v>
      </c>
      <c r="C333" s="7" t="s">
        <v>51</v>
      </c>
      <c r="D333" s="5" t="s">
        <v>174</v>
      </c>
      <c r="E333" s="5" t="s">
        <v>177</v>
      </c>
      <c r="F333" s="10" t="s">
        <v>179</v>
      </c>
      <c r="G333" s="10" t="s">
        <v>181</v>
      </c>
      <c r="H333" s="10">
        <v>9991575314</v>
      </c>
      <c r="I333" s="3">
        <v>800</v>
      </c>
      <c r="J333" s="7"/>
      <c r="K333" s="7"/>
      <c r="L333" s="7"/>
      <c r="M333" s="7"/>
      <c r="N333" s="7"/>
      <c r="O333" s="5">
        <v>24800</v>
      </c>
      <c r="P333" s="7"/>
    </row>
    <row r="334" spans="1:16" ht="15.75">
      <c r="A334" s="7">
        <v>18</v>
      </c>
      <c r="B334" s="7" t="s">
        <v>304</v>
      </c>
      <c r="C334" s="7" t="s">
        <v>51</v>
      </c>
      <c r="D334" s="5" t="s">
        <v>175</v>
      </c>
      <c r="E334" s="10" t="s">
        <v>171</v>
      </c>
      <c r="F334" s="10" t="s">
        <v>180</v>
      </c>
      <c r="G334" s="10" t="s">
        <v>182</v>
      </c>
      <c r="H334" s="10">
        <v>8814086202</v>
      </c>
      <c r="I334" s="3">
        <v>750</v>
      </c>
      <c r="J334" s="7"/>
      <c r="K334" s="7"/>
      <c r="L334" s="7"/>
      <c r="M334" s="7"/>
      <c r="N334" s="7"/>
      <c r="O334" s="5">
        <v>16500</v>
      </c>
      <c r="P334" s="7"/>
    </row>
    <row r="335" spans="1:16" ht="15.75">
      <c r="A335" s="7">
        <v>19</v>
      </c>
      <c r="B335" s="7" t="s">
        <v>304</v>
      </c>
      <c r="C335" s="7" t="s">
        <v>51</v>
      </c>
      <c r="D335" s="5" t="s">
        <v>176</v>
      </c>
      <c r="E335" s="10" t="s">
        <v>178</v>
      </c>
      <c r="F335" s="10" t="s">
        <v>165</v>
      </c>
      <c r="G335" s="10" t="s">
        <v>183</v>
      </c>
      <c r="H335" s="10">
        <v>9991361344</v>
      </c>
      <c r="I335" s="3">
        <v>750</v>
      </c>
      <c r="J335" s="7"/>
      <c r="K335" s="7"/>
      <c r="L335" s="7"/>
      <c r="M335" s="7"/>
      <c r="N335" s="7"/>
      <c r="O335" s="5">
        <v>17250</v>
      </c>
      <c r="P335" s="7"/>
    </row>
    <row r="336" spans="1:16" ht="15.75">
      <c r="A336" s="7">
        <v>20</v>
      </c>
      <c r="B336" s="7" t="s">
        <v>304</v>
      </c>
      <c r="C336" s="7" t="s">
        <v>51</v>
      </c>
      <c r="D336" s="5" t="s">
        <v>194</v>
      </c>
      <c r="E336" s="10" t="s">
        <v>197</v>
      </c>
      <c r="F336" s="10" t="s">
        <v>71</v>
      </c>
      <c r="G336" s="10" t="s">
        <v>125</v>
      </c>
      <c r="H336" s="41">
        <v>9053156064</v>
      </c>
      <c r="I336" s="43">
        <v>750</v>
      </c>
      <c r="J336" s="7"/>
      <c r="K336" s="7"/>
      <c r="L336" s="7"/>
      <c r="M336" s="7"/>
      <c r="N336" s="7"/>
      <c r="O336" s="5">
        <v>18000</v>
      </c>
      <c r="P336" s="7"/>
    </row>
    <row r="337" spans="1:16" ht="15.75">
      <c r="A337" s="7">
        <v>21</v>
      </c>
      <c r="B337" s="7" t="s">
        <v>304</v>
      </c>
      <c r="C337" s="7" t="s">
        <v>51</v>
      </c>
      <c r="D337" s="5" t="s">
        <v>199</v>
      </c>
      <c r="E337" s="10" t="s">
        <v>197</v>
      </c>
      <c r="F337" s="10" t="s">
        <v>53</v>
      </c>
      <c r="G337" s="10" t="s">
        <v>204</v>
      </c>
      <c r="H337" s="41">
        <v>9813304531</v>
      </c>
      <c r="I337" s="43">
        <v>750</v>
      </c>
      <c r="J337" s="7"/>
      <c r="K337" s="7"/>
      <c r="L337" s="7"/>
      <c r="M337" s="7"/>
      <c r="N337" s="7"/>
      <c r="O337" s="5">
        <v>18000</v>
      </c>
      <c r="P337" s="7"/>
    </row>
    <row r="338" spans="1:16" ht="15.75">
      <c r="A338" s="7">
        <v>22</v>
      </c>
      <c r="B338" s="7" t="s">
        <v>304</v>
      </c>
      <c r="C338" s="7" t="s">
        <v>51</v>
      </c>
      <c r="D338" s="5" t="s">
        <v>200</v>
      </c>
      <c r="E338" s="10" t="s">
        <v>197</v>
      </c>
      <c r="F338" s="10" t="s">
        <v>121</v>
      </c>
      <c r="G338" s="10" t="s">
        <v>140</v>
      </c>
      <c r="H338" s="41">
        <v>8930321437</v>
      </c>
      <c r="I338" s="43">
        <v>800</v>
      </c>
      <c r="J338" s="7"/>
      <c r="K338" s="7"/>
      <c r="L338" s="7"/>
      <c r="M338" s="7"/>
      <c r="N338" s="7"/>
      <c r="O338" s="5">
        <v>25600</v>
      </c>
      <c r="P338" s="7"/>
    </row>
    <row r="339" spans="1:16" ht="15.75">
      <c r="A339" s="7">
        <v>23</v>
      </c>
      <c r="B339" s="7" t="s">
        <v>304</v>
      </c>
      <c r="C339" s="7" t="s">
        <v>51</v>
      </c>
      <c r="D339" s="5" t="s">
        <v>201</v>
      </c>
      <c r="E339" s="10" t="s">
        <v>206</v>
      </c>
      <c r="F339" s="10" t="s">
        <v>165</v>
      </c>
      <c r="G339" s="10" t="s">
        <v>205</v>
      </c>
      <c r="H339" s="41">
        <v>8295267191</v>
      </c>
      <c r="I339" s="43">
        <v>800</v>
      </c>
      <c r="J339" s="7"/>
      <c r="K339" s="7"/>
      <c r="L339" s="7"/>
      <c r="M339" s="7"/>
      <c r="N339" s="7"/>
      <c r="O339" s="5">
        <v>25600</v>
      </c>
      <c r="P339" s="7"/>
    </row>
    <row r="340" spans="1:16" ht="15.75">
      <c r="A340" s="7">
        <v>24</v>
      </c>
      <c r="B340" s="7" t="s">
        <v>304</v>
      </c>
      <c r="C340" s="7" t="s">
        <v>51</v>
      </c>
      <c r="D340" s="5" t="s">
        <v>202</v>
      </c>
      <c r="E340" s="10" t="s">
        <v>118</v>
      </c>
      <c r="F340" s="10" t="s">
        <v>203</v>
      </c>
      <c r="G340" s="10" t="s">
        <v>185</v>
      </c>
      <c r="H340" s="41">
        <v>7988050867</v>
      </c>
      <c r="I340" s="43">
        <v>750</v>
      </c>
      <c r="J340" s="7"/>
      <c r="K340" s="7"/>
      <c r="L340" s="7"/>
      <c r="M340" s="7"/>
      <c r="N340" s="7"/>
      <c r="O340" s="5">
        <v>18000</v>
      </c>
      <c r="P340" s="7"/>
    </row>
    <row r="341" spans="1:16" ht="15.75">
      <c r="A341" s="7">
        <v>25</v>
      </c>
      <c r="B341" s="7" t="s">
        <v>304</v>
      </c>
      <c r="C341" s="7" t="s">
        <v>51</v>
      </c>
      <c r="D341" s="5" t="s">
        <v>208</v>
      </c>
      <c r="E341" s="10" t="s">
        <v>49</v>
      </c>
      <c r="F341" s="10" t="s">
        <v>215</v>
      </c>
      <c r="G341" s="10" t="s">
        <v>216</v>
      </c>
      <c r="H341" s="41">
        <v>9812012403</v>
      </c>
      <c r="I341" s="43">
        <v>800</v>
      </c>
      <c r="J341" s="7"/>
      <c r="K341" s="7"/>
      <c r="L341" s="7"/>
      <c r="M341" s="7"/>
      <c r="N341" s="7"/>
      <c r="O341" s="5">
        <v>25600</v>
      </c>
      <c r="P341" s="7"/>
    </row>
    <row r="342" spans="1:16" ht="15.75">
      <c r="A342" s="7">
        <v>26</v>
      </c>
      <c r="B342" s="7" t="s">
        <v>304</v>
      </c>
      <c r="C342" s="7" t="s">
        <v>51</v>
      </c>
      <c r="D342" s="5" t="s">
        <v>262</v>
      </c>
      <c r="E342" s="10" t="s">
        <v>197</v>
      </c>
      <c r="F342" s="10" t="s">
        <v>247</v>
      </c>
      <c r="G342" s="10" t="s">
        <v>267</v>
      </c>
      <c r="H342" s="41">
        <v>7027082504</v>
      </c>
      <c r="I342" s="43">
        <v>800</v>
      </c>
      <c r="J342" s="7"/>
      <c r="K342" s="7"/>
      <c r="L342" s="7"/>
      <c r="M342" s="7"/>
      <c r="N342" s="7"/>
      <c r="O342" s="5">
        <v>27200</v>
      </c>
      <c r="P342" s="7"/>
    </row>
    <row r="343" spans="1:16" ht="15.75">
      <c r="A343" s="7">
        <v>27</v>
      </c>
      <c r="B343" s="7" t="s">
        <v>304</v>
      </c>
      <c r="C343" s="7" t="s">
        <v>51</v>
      </c>
      <c r="D343" s="5" t="s">
        <v>264</v>
      </c>
      <c r="E343" s="10" t="s">
        <v>49</v>
      </c>
      <c r="F343" s="10" t="s">
        <v>254</v>
      </c>
      <c r="G343" s="10" t="s">
        <v>269</v>
      </c>
      <c r="H343" s="41">
        <v>9729160317</v>
      </c>
      <c r="I343" s="43">
        <v>750</v>
      </c>
      <c r="J343" s="7"/>
      <c r="K343" s="7"/>
      <c r="L343" s="7"/>
      <c r="M343" s="7"/>
      <c r="N343" s="7"/>
      <c r="O343" s="5">
        <v>18750</v>
      </c>
      <c r="P343" s="7"/>
    </row>
    <row r="344" spans="1:16" ht="15.75">
      <c r="A344" s="7">
        <v>28</v>
      </c>
      <c r="B344" s="7" t="s">
        <v>304</v>
      </c>
      <c r="C344" s="7" t="s">
        <v>51</v>
      </c>
      <c r="D344" s="5" t="s">
        <v>265</v>
      </c>
      <c r="E344" s="10" t="s">
        <v>49</v>
      </c>
      <c r="F344" s="10" t="s">
        <v>261</v>
      </c>
      <c r="G344" s="10" t="s">
        <v>270</v>
      </c>
      <c r="H344" s="41">
        <v>9991081679</v>
      </c>
      <c r="I344" s="43">
        <v>800</v>
      </c>
      <c r="J344" s="7"/>
      <c r="K344" s="7"/>
      <c r="L344" s="7"/>
      <c r="M344" s="7"/>
      <c r="N344" s="7"/>
      <c r="O344" s="5">
        <v>27200</v>
      </c>
      <c r="P344" s="7"/>
    </row>
    <row r="345" spans="1:16" ht="15.75">
      <c r="A345" s="7">
        <v>29</v>
      </c>
      <c r="B345" s="7" t="s">
        <v>304</v>
      </c>
      <c r="C345" s="7" t="s">
        <v>51</v>
      </c>
      <c r="D345" s="5" t="s">
        <v>275</v>
      </c>
      <c r="E345" s="10" t="s">
        <v>278</v>
      </c>
      <c r="F345" s="10" t="s">
        <v>271</v>
      </c>
      <c r="G345" s="10" t="s">
        <v>280</v>
      </c>
      <c r="H345" s="41">
        <v>9466502084</v>
      </c>
      <c r="I345" s="43">
        <v>750</v>
      </c>
      <c r="J345" s="7"/>
      <c r="K345" s="7"/>
      <c r="L345" s="7"/>
      <c r="M345" s="7"/>
      <c r="N345" s="7"/>
      <c r="O345" s="5">
        <v>19500</v>
      </c>
      <c r="P345" s="7"/>
    </row>
    <row r="346" spans="1:16" ht="15.75">
      <c r="A346" s="7">
        <v>30</v>
      </c>
      <c r="B346" s="7" t="s">
        <v>304</v>
      </c>
      <c r="C346" s="7" t="s">
        <v>51</v>
      </c>
      <c r="D346" s="5" t="s">
        <v>276</v>
      </c>
      <c r="E346" s="10" t="s">
        <v>279</v>
      </c>
      <c r="F346" s="10" t="s">
        <v>272</v>
      </c>
      <c r="G346" s="10" t="s">
        <v>281</v>
      </c>
      <c r="H346" s="41">
        <v>8168586120</v>
      </c>
      <c r="I346" s="43">
        <v>800</v>
      </c>
      <c r="J346" s="7"/>
      <c r="K346" s="7"/>
      <c r="L346" s="7"/>
      <c r="M346" s="7"/>
      <c r="N346" s="7"/>
      <c r="O346" s="5">
        <v>27200</v>
      </c>
      <c r="P346" s="7"/>
    </row>
    <row r="347" spans="1:16" ht="15.75">
      <c r="A347" s="7">
        <v>31</v>
      </c>
      <c r="B347" s="7" t="s">
        <v>304</v>
      </c>
      <c r="C347" s="7" t="s">
        <v>51</v>
      </c>
      <c r="D347" s="5" t="s">
        <v>277</v>
      </c>
      <c r="E347" s="10" t="s">
        <v>49</v>
      </c>
      <c r="F347" s="10" t="s">
        <v>273</v>
      </c>
      <c r="G347" s="10" t="s">
        <v>282</v>
      </c>
      <c r="H347" s="41">
        <v>8295507421</v>
      </c>
      <c r="I347" s="43">
        <v>800</v>
      </c>
      <c r="J347" s="7"/>
      <c r="K347" s="7"/>
      <c r="L347" s="7"/>
      <c r="M347" s="7"/>
      <c r="N347" s="7"/>
      <c r="O347" s="5">
        <v>27200</v>
      </c>
      <c r="P347" s="7"/>
    </row>
    <row r="348" spans="1:16" ht="15.75">
      <c r="A348" s="7">
        <v>32</v>
      </c>
      <c r="B348" s="7" t="s">
        <v>304</v>
      </c>
      <c r="C348" s="7" t="s">
        <v>51</v>
      </c>
      <c r="D348" s="5" t="s">
        <v>255</v>
      </c>
      <c r="E348" s="10" t="s">
        <v>278</v>
      </c>
      <c r="F348" s="10" t="s">
        <v>274</v>
      </c>
      <c r="G348" s="10" t="s">
        <v>189</v>
      </c>
      <c r="H348" s="41">
        <v>7828359630</v>
      </c>
      <c r="I348" s="43">
        <v>750</v>
      </c>
      <c r="J348" s="7"/>
      <c r="K348" s="7"/>
      <c r="L348" s="7"/>
      <c r="M348" s="7"/>
      <c r="N348" s="7"/>
      <c r="O348" s="5">
        <v>19500</v>
      </c>
      <c r="P348" s="7"/>
    </row>
    <row r="349" spans="1:1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8.75">
      <c r="A351" s="7"/>
      <c r="B351" s="7"/>
      <c r="C351" s="7"/>
      <c r="D351" s="7"/>
      <c r="E351" s="7"/>
      <c r="F351" s="7"/>
      <c r="G351" s="7"/>
      <c r="H351" s="7"/>
      <c r="I351" s="13">
        <f>SUM(I317:I350)</f>
        <v>24750</v>
      </c>
      <c r="J351" s="7"/>
      <c r="K351" s="7"/>
      <c r="L351" s="7"/>
      <c r="M351" s="7"/>
      <c r="N351" s="7"/>
      <c r="O351" s="13">
        <f>SUM(O317:O350)</f>
        <v>664900</v>
      </c>
      <c r="P351" s="7"/>
    </row>
    <row r="358" spans="1:16" ht="27.75">
      <c r="A358" s="142" t="s">
        <v>155</v>
      </c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</row>
    <row r="359" spans="1:16" ht="75">
      <c r="A359" s="1" t="s">
        <v>87</v>
      </c>
      <c r="B359" s="1" t="s">
        <v>103</v>
      </c>
      <c r="C359" s="1" t="s">
        <v>88</v>
      </c>
      <c r="D359" s="1" t="s">
        <v>104</v>
      </c>
      <c r="E359" s="1" t="s">
        <v>105</v>
      </c>
      <c r="F359" s="1" t="s">
        <v>106</v>
      </c>
      <c r="G359" s="1" t="s">
        <v>93</v>
      </c>
      <c r="H359" s="1" t="s">
        <v>107</v>
      </c>
      <c r="I359" s="1" t="s">
        <v>108</v>
      </c>
      <c r="J359" s="1" t="s">
        <v>109</v>
      </c>
      <c r="K359" s="1" t="s">
        <v>110</v>
      </c>
      <c r="L359" s="1" t="s">
        <v>21</v>
      </c>
      <c r="M359" s="1" t="s">
        <v>45</v>
      </c>
      <c r="N359" s="1" t="s">
        <v>111</v>
      </c>
      <c r="O359" s="2" t="s">
        <v>112</v>
      </c>
      <c r="P359" s="1" t="s">
        <v>113</v>
      </c>
    </row>
    <row r="360" spans="1:16" ht="15.75">
      <c r="A360" s="3">
        <v>1</v>
      </c>
      <c r="B360" s="4">
        <v>46189</v>
      </c>
      <c r="C360" s="3" t="s">
        <v>51</v>
      </c>
      <c r="D360" s="5" t="s">
        <v>70</v>
      </c>
      <c r="E360" s="5" t="s">
        <v>66</v>
      </c>
      <c r="F360" s="5" t="s">
        <v>67</v>
      </c>
      <c r="G360" s="5" t="s">
        <v>68</v>
      </c>
      <c r="H360" s="5">
        <v>8395916139</v>
      </c>
      <c r="I360" s="5">
        <v>800</v>
      </c>
      <c r="J360" s="3"/>
      <c r="K360" s="3"/>
      <c r="L360" s="3"/>
      <c r="M360" s="3"/>
      <c r="N360" s="3"/>
      <c r="O360" s="5">
        <v>22400</v>
      </c>
      <c r="P360" s="3"/>
    </row>
    <row r="361" spans="1:16" ht="15.75">
      <c r="A361" s="3">
        <v>2</v>
      </c>
      <c r="B361" s="4">
        <v>46189</v>
      </c>
      <c r="C361" s="3" t="s">
        <v>51</v>
      </c>
      <c r="D361" s="5" t="s">
        <v>73</v>
      </c>
      <c r="E361" s="5" t="s">
        <v>66</v>
      </c>
      <c r="F361" s="5" t="s">
        <v>71</v>
      </c>
      <c r="G361" s="5" t="s">
        <v>72</v>
      </c>
      <c r="H361" s="5">
        <v>7289049720</v>
      </c>
      <c r="I361" s="5">
        <v>750</v>
      </c>
      <c r="J361" s="3"/>
      <c r="K361" s="3"/>
      <c r="L361" s="3"/>
      <c r="M361" s="3"/>
      <c r="N361" s="3"/>
      <c r="O361" s="5">
        <v>15000</v>
      </c>
      <c r="P361" s="3"/>
    </row>
    <row r="362" spans="1:16" ht="15.75">
      <c r="A362" s="3">
        <v>3</v>
      </c>
      <c r="B362" s="4">
        <v>46189</v>
      </c>
      <c r="C362" s="3" t="s">
        <v>51</v>
      </c>
      <c r="D362" s="5" t="s">
        <v>79</v>
      </c>
      <c r="E362" s="5" t="s">
        <v>66</v>
      </c>
      <c r="F362" s="6" t="s">
        <v>77</v>
      </c>
      <c r="G362" s="6" t="s">
        <v>78</v>
      </c>
      <c r="H362" s="6">
        <v>7355817478</v>
      </c>
      <c r="I362" s="5">
        <v>750</v>
      </c>
      <c r="J362" s="3"/>
      <c r="K362" s="3"/>
      <c r="L362" s="3"/>
      <c r="M362" s="3"/>
      <c r="N362" s="3"/>
      <c r="O362" s="5">
        <v>15000</v>
      </c>
      <c r="P362" s="3"/>
    </row>
    <row r="363" spans="1:16" ht="15.75">
      <c r="A363" s="3">
        <v>4</v>
      </c>
      <c r="B363" s="4">
        <v>46189</v>
      </c>
      <c r="C363" s="3" t="s">
        <v>51</v>
      </c>
      <c r="D363" s="5" t="s">
        <v>82</v>
      </c>
      <c r="E363" s="6" t="s">
        <v>66</v>
      </c>
      <c r="F363" s="6" t="s">
        <v>80</v>
      </c>
      <c r="G363" s="6" t="s">
        <v>81</v>
      </c>
      <c r="H363" s="6">
        <v>7027566795</v>
      </c>
      <c r="I363" s="5">
        <v>800</v>
      </c>
      <c r="J363" s="3"/>
      <c r="K363" s="3"/>
      <c r="L363" s="3"/>
      <c r="M363" s="3"/>
      <c r="N363" s="3"/>
      <c r="O363" s="5">
        <v>22400</v>
      </c>
      <c r="P363" s="3"/>
    </row>
    <row r="364" spans="1:16" ht="15.75">
      <c r="A364" s="3">
        <v>5</v>
      </c>
      <c r="B364" s="4">
        <v>46189</v>
      </c>
      <c r="C364" s="3" t="s">
        <v>51</v>
      </c>
      <c r="D364" s="5" t="s">
        <v>85</v>
      </c>
      <c r="E364" s="6" t="s">
        <v>66</v>
      </c>
      <c r="F364" s="5" t="s">
        <v>83</v>
      </c>
      <c r="G364" s="5" t="s">
        <v>84</v>
      </c>
      <c r="H364" s="5">
        <v>9992825464</v>
      </c>
      <c r="I364" s="5">
        <v>800</v>
      </c>
      <c r="J364" s="3"/>
      <c r="K364" s="3"/>
      <c r="L364" s="3"/>
      <c r="M364" s="3"/>
      <c r="N364" s="3"/>
      <c r="O364" s="5">
        <v>22400</v>
      </c>
      <c r="P364" s="3"/>
    </row>
    <row r="365" spans="1:16" ht="15.75">
      <c r="A365" s="3">
        <v>6</v>
      </c>
      <c r="B365" s="4">
        <v>46189</v>
      </c>
      <c r="C365" s="3" t="s">
        <v>51</v>
      </c>
      <c r="D365" s="5" t="s">
        <v>114</v>
      </c>
      <c r="E365" s="10" t="s">
        <v>66</v>
      </c>
      <c r="F365" s="10" t="s">
        <v>120</v>
      </c>
      <c r="G365" s="10" t="s">
        <v>124</v>
      </c>
      <c r="H365" s="10">
        <v>8295596976</v>
      </c>
      <c r="I365" s="10">
        <v>750</v>
      </c>
      <c r="J365" s="3"/>
      <c r="K365" s="3"/>
      <c r="L365" s="3"/>
      <c r="M365" s="3"/>
      <c r="N365" s="3"/>
      <c r="O365" s="5">
        <v>15000</v>
      </c>
      <c r="P365" s="3"/>
    </row>
    <row r="366" spans="1:16" ht="15.75">
      <c r="A366" s="3">
        <v>7</v>
      </c>
      <c r="B366" s="4">
        <v>46189</v>
      </c>
      <c r="C366" s="3" t="s">
        <v>51</v>
      </c>
      <c r="D366" s="5" t="s">
        <v>115</v>
      </c>
      <c r="E366" s="10" t="s">
        <v>66</v>
      </c>
      <c r="F366" s="10" t="s">
        <v>121</v>
      </c>
      <c r="G366" s="10" t="s">
        <v>125</v>
      </c>
      <c r="H366" s="10">
        <v>8816907186</v>
      </c>
      <c r="I366" s="10">
        <v>750</v>
      </c>
      <c r="J366" s="3"/>
      <c r="K366" s="3"/>
      <c r="L366" s="3"/>
      <c r="M366" s="3"/>
      <c r="N366" s="3"/>
      <c r="O366" s="5">
        <v>15000</v>
      </c>
      <c r="P366" s="3"/>
    </row>
    <row r="367" spans="1:16" ht="15.75">
      <c r="A367" s="3">
        <v>8</v>
      </c>
      <c r="B367" s="4">
        <v>46189</v>
      </c>
      <c r="C367" s="3" t="s">
        <v>51</v>
      </c>
      <c r="D367" s="5" t="s">
        <v>145</v>
      </c>
      <c r="E367" s="5" t="s">
        <v>66</v>
      </c>
      <c r="F367" s="5" t="s">
        <v>83</v>
      </c>
      <c r="G367" s="5" t="s">
        <v>138</v>
      </c>
      <c r="H367" s="5">
        <v>9813610261</v>
      </c>
      <c r="I367" s="5">
        <v>800</v>
      </c>
      <c r="J367" s="3"/>
      <c r="K367" s="3"/>
      <c r="L367" s="3"/>
      <c r="M367" s="3"/>
      <c r="N367" s="3"/>
      <c r="O367" s="5">
        <v>23200</v>
      </c>
      <c r="P367" s="3"/>
    </row>
    <row r="368" spans="1:16" ht="15.75">
      <c r="A368" s="3">
        <v>9</v>
      </c>
      <c r="B368" s="4">
        <v>46189</v>
      </c>
      <c r="C368" s="3" t="s">
        <v>51</v>
      </c>
      <c r="D368" s="5" t="s">
        <v>147</v>
      </c>
      <c r="E368" s="5" t="s">
        <v>129</v>
      </c>
      <c r="F368" s="5" t="s">
        <v>132</v>
      </c>
      <c r="G368" s="5" t="s">
        <v>140</v>
      </c>
      <c r="H368" s="5">
        <v>8397037924</v>
      </c>
      <c r="I368" s="5">
        <v>800</v>
      </c>
      <c r="J368" s="3"/>
      <c r="K368" s="3"/>
      <c r="L368" s="3"/>
      <c r="M368" s="3"/>
      <c r="N368" s="3"/>
      <c r="O368" s="5">
        <v>23200</v>
      </c>
      <c r="P368" s="3"/>
    </row>
    <row r="369" spans="1:16" ht="15.75">
      <c r="A369" s="3">
        <v>10</v>
      </c>
      <c r="B369" s="4">
        <v>46189</v>
      </c>
      <c r="C369" s="3" t="s">
        <v>51</v>
      </c>
      <c r="D369" s="5" t="s">
        <v>151</v>
      </c>
      <c r="E369" s="5" t="s">
        <v>66</v>
      </c>
      <c r="F369" s="5" t="s">
        <v>136</v>
      </c>
      <c r="G369" s="5" t="s">
        <v>143</v>
      </c>
      <c r="H369" s="5">
        <v>992969785</v>
      </c>
      <c r="I369" s="5">
        <v>800</v>
      </c>
      <c r="J369" s="3"/>
      <c r="K369" s="3"/>
      <c r="L369" s="3"/>
      <c r="M369" s="3"/>
      <c r="N369" s="3"/>
      <c r="O369" s="5">
        <v>23200</v>
      </c>
      <c r="P369" s="3"/>
    </row>
    <row r="370" spans="1:16" ht="15.75">
      <c r="A370" s="3">
        <v>11</v>
      </c>
      <c r="B370" s="4">
        <v>46189</v>
      </c>
      <c r="C370" s="3" t="s">
        <v>51</v>
      </c>
      <c r="D370" s="5" t="s">
        <v>190</v>
      </c>
      <c r="E370" s="10" t="s">
        <v>195</v>
      </c>
      <c r="F370" s="10" t="s">
        <v>184</v>
      </c>
      <c r="G370" s="10" t="s">
        <v>185</v>
      </c>
      <c r="H370" s="10">
        <v>9728976039</v>
      </c>
      <c r="I370" s="3">
        <v>750</v>
      </c>
      <c r="J370" s="3"/>
      <c r="K370" s="3"/>
      <c r="L370" s="3"/>
      <c r="M370" s="3"/>
      <c r="N370" s="3"/>
      <c r="O370" s="5">
        <v>17250</v>
      </c>
      <c r="P370" s="3"/>
    </row>
    <row r="371" spans="1:16" ht="15.75">
      <c r="A371" s="3">
        <v>12</v>
      </c>
      <c r="B371" s="4">
        <v>46189</v>
      </c>
      <c r="C371" s="3" t="s">
        <v>51</v>
      </c>
      <c r="D371" s="5" t="s">
        <v>191</v>
      </c>
      <c r="E371" s="10" t="s">
        <v>196</v>
      </c>
      <c r="F371" s="10" t="s">
        <v>186</v>
      </c>
      <c r="G371" s="10" t="s">
        <v>187</v>
      </c>
      <c r="H371" s="10">
        <v>9991073613</v>
      </c>
      <c r="I371" s="3">
        <v>750</v>
      </c>
      <c r="J371" s="3"/>
      <c r="K371" s="3"/>
      <c r="L371" s="3"/>
      <c r="M371" s="3"/>
      <c r="N371" s="3"/>
      <c r="O371" s="5">
        <v>17250</v>
      </c>
      <c r="P371" s="3"/>
    </row>
    <row r="372" spans="1:16" ht="15.75">
      <c r="A372" s="3">
        <v>13</v>
      </c>
      <c r="B372" s="4">
        <v>46189</v>
      </c>
      <c r="C372" s="3" t="s">
        <v>51</v>
      </c>
      <c r="D372" s="5" t="s">
        <v>192</v>
      </c>
      <c r="E372" s="10" t="s">
        <v>195</v>
      </c>
      <c r="F372" s="10" t="s">
        <v>188</v>
      </c>
      <c r="G372" s="10" t="s">
        <v>198</v>
      </c>
      <c r="H372" s="10">
        <v>8047377476</v>
      </c>
      <c r="I372" s="5">
        <v>800</v>
      </c>
      <c r="J372" s="3"/>
      <c r="K372" s="3"/>
      <c r="L372" s="3"/>
      <c r="M372" s="3"/>
      <c r="N372" s="3"/>
      <c r="O372" s="5">
        <v>24800</v>
      </c>
      <c r="P372" s="3"/>
    </row>
    <row r="373" spans="1:16" ht="15.75">
      <c r="A373" s="3">
        <v>14</v>
      </c>
      <c r="B373" s="4">
        <v>46189</v>
      </c>
      <c r="C373" s="3" t="s">
        <v>51</v>
      </c>
      <c r="D373" s="5" t="s">
        <v>193</v>
      </c>
      <c r="E373" s="10" t="s">
        <v>195</v>
      </c>
      <c r="F373" s="10" t="s">
        <v>83</v>
      </c>
      <c r="G373" s="10" t="s">
        <v>189</v>
      </c>
      <c r="H373" s="10">
        <v>8396804752</v>
      </c>
      <c r="I373" s="3">
        <v>750</v>
      </c>
      <c r="J373" s="3"/>
      <c r="K373" s="3"/>
      <c r="L373" s="3"/>
      <c r="M373" s="3"/>
      <c r="N373" s="3"/>
      <c r="O373" s="5">
        <v>17250</v>
      </c>
      <c r="P373" s="3"/>
    </row>
    <row r="374" spans="1:16" ht="15.75">
      <c r="A374" s="3">
        <v>15</v>
      </c>
      <c r="B374" s="4">
        <v>46189</v>
      </c>
      <c r="C374" s="3" t="s">
        <v>51</v>
      </c>
      <c r="D374" s="5" t="s">
        <v>207</v>
      </c>
      <c r="E374" s="10" t="s">
        <v>225</v>
      </c>
      <c r="F374" s="10" t="s">
        <v>213</v>
      </c>
      <c r="G374" s="10" t="s">
        <v>214</v>
      </c>
      <c r="H374" s="10">
        <v>9034419162</v>
      </c>
      <c r="I374" s="3">
        <v>750</v>
      </c>
      <c r="J374" s="3"/>
      <c r="K374" s="3"/>
      <c r="L374" s="3"/>
      <c r="M374" s="3"/>
      <c r="N374" s="3"/>
      <c r="O374" s="5">
        <v>17250</v>
      </c>
      <c r="P374" s="3"/>
    </row>
    <row r="375" spans="1:16" ht="15.75">
      <c r="A375" s="3">
        <v>16</v>
      </c>
      <c r="B375" s="4">
        <v>46189</v>
      </c>
      <c r="C375" s="3" t="s">
        <v>51</v>
      </c>
      <c r="D375" s="5" t="s">
        <v>209</v>
      </c>
      <c r="E375" s="10" t="s">
        <v>226</v>
      </c>
      <c r="F375" s="10" t="s">
        <v>217</v>
      </c>
      <c r="G375" s="10" t="s">
        <v>218</v>
      </c>
      <c r="H375" s="10">
        <v>9671740481</v>
      </c>
      <c r="I375" s="3">
        <v>750</v>
      </c>
      <c r="J375" s="3"/>
      <c r="K375" s="3"/>
      <c r="L375" s="3"/>
      <c r="M375" s="3"/>
      <c r="N375" s="3"/>
      <c r="O375" s="5">
        <v>17250</v>
      </c>
      <c r="P375" s="3"/>
    </row>
    <row r="376" spans="1:16" ht="15.75">
      <c r="A376" s="3">
        <v>17</v>
      </c>
      <c r="B376" s="4">
        <v>46189</v>
      </c>
      <c r="C376" s="3" t="s">
        <v>51</v>
      </c>
      <c r="D376" s="5" t="s">
        <v>210</v>
      </c>
      <c r="E376" s="10" t="s">
        <v>227</v>
      </c>
      <c r="F376" s="10" t="s">
        <v>219</v>
      </c>
      <c r="G376" s="10" t="s">
        <v>220</v>
      </c>
      <c r="H376" s="10">
        <v>9311797101</v>
      </c>
      <c r="I376" s="3">
        <v>750</v>
      </c>
      <c r="J376" s="3"/>
      <c r="K376" s="3"/>
      <c r="L376" s="3"/>
      <c r="M376" s="3"/>
      <c r="N376" s="3"/>
      <c r="O376" s="5">
        <v>17250</v>
      </c>
      <c r="P376" s="3"/>
    </row>
    <row r="377" spans="1:16" ht="15.75">
      <c r="A377" s="3">
        <v>18</v>
      </c>
      <c r="B377" s="4">
        <v>46189</v>
      </c>
      <c r="C377" s="3" t="s">
        <v>51</v>
      </c>
      <c r="D377" s="5" t="s">
        <v>211</v>
      </c>
      <c r="E377" s="10" t="s">
        <v>226</v>
      </c>
      <c r="F377" s="10" t="s">
        <v>221</v>
      </c>
      <c r="G377" s="10" t="s">
        <v>222</v>
      </c>
      <c r="H377" s="10">
        <v>7206610781</v>
      </c>
      <c r="I377" s="3">
        <v>750</v>
      </c>
      <c r="J377" s="3"/>
      <c r="K377" s="3"/>
      <c r="L377" s="3"/>
      <c r="M377" s="3"/>
      <c r="N377" s="3"/>
      <c r="O377" s="5">
        <v>17250</v>
      </c>
      <c r="P377" s="3"/>
    </row>
    <row r="378" spans="1:16" ht="15.75">
      <c r="A378" s="3">
        <v>19</v>
      </c>
      <c r="B378" s="4">
        <v>46189</v>
      </c>
      <c r="C378" s="3" t="s">
        <v>51</v>
      </c>
      <c r="D378" s="5" t="s">
        <v>212</v>
      </c>
      <c r="E378" s="10" t="s">
        <v>226</v>
      </c>
      <c r="F378" s="10" t="s">
        <v>223</v>
      </c>
      <c r="G378" s="10" t="s">
        <v>224</v>
      </c>
      <c r="H378" s="10">
        <v>8814045633</v>
      </c>
      <c r="I378" s="3">
        <v>750</v>
      </c>
      <c r="J378" s="3"/>
      <c r="K378" s="3"/>
      <c r="L378" s="3"/>
      <c r="M378" s="3"/>
      <c r="N378" s="3"/>
      <c r="O378" s="5">
        <v>17250</v>
      </c>
      <c r="P378" s="3"/>
    </row>
    <row r="379" spans="1:16" ht="15.75">
      <c r="A379" s="3">
        <v>20</v>
      </c>
      <c r="B379" s="4">
        <v>46189</v>
      </c>
      <c r="C379" s="3" t="s">
        <v>51</v>
      </c>
      <c r="D379" s="5" t="s">
        <v>228</v>
      </c>
      <c r="E379" s="3" t="s">
        <v>229</v>
      </c>
      <c r="F379" s="10" t="s">
        <v>165</v>
      </c>
      <c r="G379" s="10" t="s">
        <v>198</v>
      </c>
      <c r="H379" s="10" t="s">
        <v>230</v>
      </c>
      <c r="I379" s="3">
        <v>750</v>
      </c>
      <c r="J379" s="3"/>
      <c r="K379" s="3"/>
      <c r="L379" s="3"/>
      <c r="M379" s="3"/>
      <c r="N379" s="3"/>
      <c r="O379" s="5">
        <v>17250</v>
      </c>
      <c r="P379" s="3"/>
    </row>
    <row r="380" spans="1:16" ht="15.75">
      <c r="A380" s="3">
        <v>21</v>
      </c>
      <c r="B380" s="4">
        <v>46189</v>
      </c>
      <c r="C380" s="3" t="s">
        <v>51</v>
      </c>
      <c r="D380" s="5" t="s">
        <v>233</v>
      </c>
      <c r="E380" s="10" t="s">
        <v>49</v>
      </c>
      <c r="F380" s="10" t="s">
        <v>231</v>
      </c>
      <c r="G380" s="10" t="s">
        <v>142</v>
      </c>
      <c r="H380" s="10">
        <v>7497855174</v>
      </c>
      <c r="I380" s="3">
        <v>750</v>
      </c>
      <c r="J380" s="3"/>
      <c r="K380" s="3"/>
      <c r="L380" s="3"/>
      <c r="M380" s="3"/>
      <c r="N380" s="3"/>
      <c r="O380" s="5">
        <v>18000</v>
      </c>
      <c r="P380" s="3"/>
    </row>
    <row r="381" spans="1:16" ht="15.75">
      <c r="A381" s="3">
        <v>22</v>
      </c>
      <c r="B381" s="4">
        <v>46189</v>
      </c>
      <c r="C381" s="3" t="s">
        <v>51</v>
      </c>
      <c r="D381" s="5" t="s">
        <v>234</v>
      </c>
      <c r="E381" s="10" t="s">
        <v>196</v>
      </c>
      <c r="F381" s="10" t="s">
        <v>232</v>
      </c>
      <c r="G381" s="10" t="s">
        <v>235</v>
      </c>
      <c r="H381" s="10">
        <v>9817633128</v>
      </c>
      <c r="I381" s="3">
        <v>800</v>
      </c>
      <c r="J381" s="3"/>
      <c r="K381" s="3"/>
      <c r="L381" s="3"/>
      <c r="M381" s="3"/>
      <c r="N381" s="3"/>
      <c r="O381" s="5">
        <v>25600</v>
      </c>
      <c r="P381" s="3"/>
    </row>
    <row r="382" spans="1:16" ht="15.75">
      <c r="A382" s="3">
        <v>23</v>
      </c>
      <c r="B382" s="4">
        <v>46189</v>
      </c>
      <c r="C382" s="3" t="s">
        <v>51</v>
      </c>
      <c r="D382" s="5" t="s">
        <v>236</v>
      </c>
      <c r="E382" s="10" t="s">
        <v>238</v>
      </c>
      <c r="F382" s="10" t="s">
        <v>180</v>
      </c>
      <c r="G382" s="10" t="s">
        <v>240</v>
      </c>
      <c r="H382" s="10">
        <v>9728727855</v>
      </c>
      <c r="I382" s="3">
        <v>750</v>
      </c>
      <c r="J382" s="3"/>
      <c r="K382" s="3"/>
      <c r="L382" s="3"/>
      <c r="M382" s="3"/>
      <c r="N382" s="3"/>
      <c r="O382" s="5">
        <v>18000</v>
      </c>
      <c r="P382" s="3"/>
    </row>
    <row r="383" spans="1:16" ht="15.75">
      <c r="A383" s="3">
        <v>24</v>
      </c>
      <c r="B383" s="4">
        <v>46189</v>
      </c>
      <c r="C383" s="3" t="s">
        <v>51</v>
      </c>
      <c r="D383" s="5" t="s">
        <v>237</v>
      </c>
      <c r="E383" s="10" t="s">
        <v>238</v>
      </c>
      <c r="F383" s="10" t="s">
        <v>239</v>
      </c>
      <c r="G383" s="10" t="s">
        <v>241</v>
      </c>
      <c r="H383" s="10">
        <v>9813575389</v>
      </c>
      <c r="I383" s="3">
        <v>800</v>
      </c>
      <c r="J383" s="3"/>
      <c r="K383" s="3"/>
      <c r="L383" s="3"/>
      <c r="M383" s="3"/>
      <c r="N383" s="3"/>
      <c r="O383" s="5">
        <v>25600</v>
      </c>
      <c r="P383" s="3"/>
    </row>
    <row r="384" spans="1:16" ht="15.75">
      <c r="A384" s="3">
        <v>25</v>
      </c>
      <c r="B384" s="4">
        <v>46189</v>
      </c>
      <c r="C384" s="3" t="s">
        <v>51</v>
      </c>
      <c r="D384" s="5" t="s">
        <v>242</v>
      </c>
      <c r="E384" s="10" t="s">
        <v>226</v>
      </c>
      <c r="F384" s="10" t="s">
        <v>246</v>
      </c>
      <c r="G384" s="10" t="s">
        <v>249</v>
      </c>
      <c r="H384" s="10">
        <v>9997650988</v>
      </c>
      <c r="I384" s="3">
        <v>750</v>
      </c>
      <c r="J384" s="3"/>
      <c r="K384" s="3"/>
      <c r="L384" s="3"/>
      <c r="M384" s="3"/>
      <c r="N384" s="3"/>
      <c r="O384" s="5">
        <v>18000</v>
      </c>
      <c r="P384" s="3"/>
    </row>
    <row r="385" spans="1:16" ht="15.75">
      <c r="A385" s="3">
        <v>26</v>
      </c>
      <c r="B385" s="4">
        <v>46189</v>
      </c>
      <c r="C385" s="3" t="s">
        <v>51</v>
      </c>
      <c r="D385" s="5" t="s">
        <v>243</v>
      </c>
      <c r="E385" s="10" t="s">
        <v>225</v>
      </c>
      <c r="F385" s="10" t="s">
        <v>247</v>
      </c>
      <c r="G385" s="10" t="s">
        <v>250</v>
      </c>
      <c r="H385" s="10">
        <v>8607470754</v>
      </c>
      <c r="I385" s="3">
        <v>800</v>
      </c>
      <c r="J385" s="3"/>
      <c r="K385" s="3"/>
      <c r="L385" s="3"/>
      <c r="M385" s="3"/>
      <c r="N385" s="3"/>
      <c r="O385" s="5">
        <v>25600</v>
      </c>
      <c r="P385" s="3"/>
    </row>
    <row r="386" spans="1:16" ht="15.75">
      <c r="A386" s="3">
        <v>27</v>
      </c>
      <c r="B386" s="4">
        <v>46189</v>
      </c>
      <c r="C386" s="3" t="s">
        <v>51</v>
      </c>
      <c r="D386" s="5" t="s">
        <v>244</v>
      </c>
      <c r="E386" s="10" t="s">
        <v>226</v>
      </c>
      <c r="F386" s="10" t="s">
        <v>248</v>
      </c>
      <c r="G386" s="10" t="s">
        <v>251</v>
      </c>
      <c r="H386" s="10">
        <v>8929903323</v>
      </c>
      <c r="I386" s="3">
        <v>800</v>
      </c>
      <c r="J386" s="3"/>
      <c r="K386" s="3"/>
      <c r="L386" s="3"/>
      <c r="M386" s="3"/>
      <c r="N386" s="3"/>
      <c r="O386" s="5">
        <v>25600</v>
      </c>
      <c r="P386" s="3"/>
    </row>
    <row r="387" spans="1:16" ht="15.75">
      <c r="A387" s="3">
        <v>28</v>
      </c>
      <c r="B387" s="4">
        <v>46189</v>
      </c>
      <c r="C387" s="3" t="s">
        <v>51</v>
      </c>
      <c r="D387" s="5" t="s">
        <v>252</v>
      </c>
      <c r="E387" s="10" t="s">
        <v>226</v>
      </c>
      <c r="F387" s="10" t="s">
        <v>120</v>
      </c>
      <c r="G387" s="10" t="s">
        <v>253</v>
      </c>
      <c r="H387" s="10">
        <v>8930304731</v>
      </c>
      <c r="I387" s="3">
        <v>800</v>
      </c>
      <c r="J387" s="3"/>
      <c r="K387" s="3"/>
      <c r="L387" s="3"/>
      <c r="M387" s="3"/>
      <c r="N387" s="3"/>
      <c r="O387" s="5">
        <v>25600</v>
      </c>
      <c r="P387" s="3"/>
    </row>
    <row r="388" spans="1:16" ht="15.75">
      <c r="A388" s="3">
        <v>29</v>
      </c>
      <c r="B388" s="4">
        <v>46189</v>
      </c>
      <c r="C388" s="3" t="s">
        <v>51</v>
      </c>
      <c r="D388" s="5" t="s">
        <v>256</v>
      </c>
      <c r="E388" s="10" t="s">
        <v>257</v>
      </c>
      <c r="F388" s="10" t="s">
        <v>258</v>
      </c>
      <c r="G388" s="10" t="s">
        <v>259</v>
      </c>
      <c r="H388" s="10">
        <v>7355860393</v>
      </c>
      <c r="I388" s="3">
        <v>750</v>
      </c>
      <c r="J388" s="3"/>
      <c r="K388" s="3"/>
      <c r="L388" s="3"/>
      <c r="M388" s="3"/>
      <c r="N388" s="3"/>
      <c r="O388" s="5">
        <v>18000</v>
      </c>
      <c r="P388" s="3"/>
    </row>
    <row r="389" spans="1:16" ht="15.75">
      <c r="A389" s="3">
        <v>30</v>
      </c>
      <c r="B389" s="4">
        <v>46189</v>
      </c>
      <c r="C389" s="3" t="s">
        <v>51</v>
      </c>
      <c r="D389" s="5" t="s">
        <v>263</v>
      </c>
      <c r="E389" s="10" t="s">
        <v>196</v>
      </c>
      <c r="F389" s="10" t="s">
        <v>260</v>
      </c>
      <c r="G389" s="10" t="s">
        <v>268</v>
      </c>
      <c r="H389" s="10">
        <v>8936838477</v>
      </c>
      <c r="I389" s="3">
        <v>750</v>
      </c>
      <c r="J389" s="3"/>
      <c r="K389" s="3"/>
      <c r="L389" s="3"/>
      <c r="M389" s="3"/>
      <c r="N389" s="3"/>
      <c r="O389" s="5">
        <v>18750</v>
      </c>
      <c r="P389" s="3"/>
    </row>
    <row r="390" spans="1:16" ht="15.75">
      <c r="A390" s="3">
        <v>31</v>
      </c>
      <c r="B390" s="4">
        <v>46189</v>
      </c>
      <c r="C390" s="3" t="s">
        <v>51</v>
      </c>
      <c r="D390" s="5" t="s">
        <v>266</v>
      </c>
      <c r="E390" s="10" t="s">
        <v>196</v>
      </c>
      <c r="F390" s="10" t="s">
        <v>239</v>
      </c>
      <c r="G390" s="10" t="s">
        <v>235</v>
      </c>
      <c r="H390" s="10">
        <v>9728139162</v>
      </c>
      <c r="I390" s="3">
        <v>750</v>
      </c>
      <c r="J390" s="3"/>
      <c r="K390" s="3"/>
      <c r="L390" s="3"/>
      <c r="M390" s="3"/>
      <c r="N390" s="3"/>
      <c r="O390" s="5">
        <v>18750</v>
      </c>
      <c r="P390" s="3"/>
    </row>
    <row r="391" spans="1:16" ht="15.75">
      <c r="A391" s="3">
        <v>32</v>
      </c>
      <c r="B391" s="4">
        <v>46189</v>
      </c>
      <c r="C391" s="3" t="s">
        <v>51</v>
      </c>
      <c r="D391" s="5" t="s">
        <v>289</v>
      </c>
      <c r="E391" s="3" t="s">
        <v>291</v>
      </c>
      <c r="F391" s="3" t="s">
        <v>292</v>
      </c>
      <c r="G391" s="3" t="s">
        <v>296</v>
      </c>
      <c r="H391" s="3">
        <v>9343799675</v>
      </c>
      <c r="I391" s="3">
        <v>800</v>
      </c>
      <c r="J391" s="3"/>
      <c r="K391" s="3"/>
      <c r="L391" s="3"/>
      <c r="M391" s="3"/>
      <c r="N391" s="3"/>
      <c r="O391" s="5">
        <v>27200</v>
      </c>
      <c r="P391" s="3"/>
    </row>
    <row r="392" spans="1:16" ht="15.75">
      <c r="A392" s="3">
        <v>33</v>
      </c>
      <c r="B392" s="4">
        <v>46189</v>
      </c>
      <c r="C392" s="3" t="s">
        <v>51</v>
      </c>
      <c r="D392" s="5" t="s">
        <v>298</v>
      </c>
      <c r="E392" s="3" t="s">
        <v>300</v>
      </c>
      <c r="F392" s="3" t="s">
        <v>71</v>
      </c>
      <c r="G392" s="3" t="s">
        <v>302</v>
      </c>
      <c r="H392" s="3">
        <v>7056212672</v>
      </c>
      <c r="I392" s="3">
        <v>750</v>
      </c>
      <c r="J392" s="3"/>
      <c r="K392" s="3"/>
      <c r="L392" s="3"/>
      <c r="M392" s="3"/>
      <c r="N392" s="3"/>
      <c r="O392" s="5">
        <v>19500</v>
      </c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>
        <f>SUM(I360:I394)</f>
        <v>25400</v>
      </c>
      <c r="J395" s="3"/>
      <c r="K395" s="3"/>
      <c r="L395" s="3"/>
      <c r="M395" s="3"/>
      <c r="N395" s="3"/>
      <c r="O395" s="3">
        <f>SUM(O360:O394)</f>
        <v>661050</v>
      </c>
      <c r="P395" s="3"/>
    </row>
    <row r="402" spans="1:16" ht="27.75">
      <c r="A402" s="142" t="s">
        <v>102</v>
      </c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</row>
    <row r="403" spans="1:16" ht="75">
      <c r="A403" s="1" t="s">
        <v>87</v>
      </c>
      <c r="B403" s="1" t="s">
        <v>103</v>
      </c>
      <c r="C403" s="1" t="s">
        <v>88</v>
      </c>
      <c r="D403" s="1" t="s">
        <v>104</v>
      </c>
      <c r="E403" s="1" t="s">
        <v>105</v>
      </c>
      <c r="F403" s="1" t="s">
        <v>106</v>
      </c>
      <c r="G403" s="1" t="s">
        <v>93</v>
      </c>
      <c r="H403" s="1" t="s">
        <v>107</v>
      </c>
      <c r="I403" s="1" t="s">
        <v>108</v>
      </c>
      <c r="J403" s="1" t="s">
        <v>109</v>
      </c>
      <c r="K403" s="1" t="s">
        <v>110</v>
      </c>
      <c r="L403" s="1" t="s">
        <v>21</v>
      </c>
      <c r="M403" s="1" t="s">
        <v>45</v>
      </c>
      <c r="N403" s="1" t="s">
        <v>111</v>
      </c>
      <c r="O403" s="2" t="s">
        <v>112</v>
      </c>
      <c r="P403" s="1" t="s">
        <v>113</v>
      </c>
    </row>
    <row r="404" spans="1:16" ht="15.75">
      <c r="A404" s="3">
        <v>1</v>
      </c>
      <c r="B404" s="4">
        <v>46190</v>
      </c>
      <c r="C404" s="3" t="s">
        <v>51</v>
      </c>
      <c r="D404" s="5" t="s">
        <v>56</v>
      </c>
      <c r="E404" s="5" t="s">
        <v>49</v>
      </c>
      <c r="F404" s="5" t="s">
        <v>53</v>
      </c>
      <c r="G404" s="5" t="s">
        <v>54</v>
      </c>
      <c r="H404" s="5">
        <v>9416205447</v>
      </c>
      <c r="I404" s="5">
        <v>750</v>
      </c>
      <c r="J404" s="3"/>
      <c r="K404" s="3"/>
      <c r="L404" s="3"/>
      <c r="M404" s="3"/>
      <c r="N404" s="3">
        <f>K404+L404</f>
        <v>0</v>
      </c>
      <c r="O404" s="5">
        <v>14250</v>
      </c>
      <c r="P404" s="3">
        <f>O404-N404</f>
        <v>14250</v>
      </c>
    </row>
    <row r="405" spans="1:16" ht="15.75">
      <c r="A405" s="3">
        <v>2</v>
      </c>
      <c r="B405" s="4">
        <v>46190</v>
      </c>
      <c r="C405" s="3" t="s">
        <v>51</v>
      </c>
      <c r="D405" s="5" t="s">
        <v>61</v>
      </c>
      <c r="E405" s="5" t="s">
        <v>58</v>
      </c>
      <c r="F405" s="5" t="s">
        <v>59</v>
      </c>
      <c r="G405" s="5" t="s">
        <v>60</v>
      </c>
      <c r="H405" s="5">
        <v>7082390753</v>
      </c>
      <c r="I405" s="5">
        <v>750</v>
      </c>
      <c r="J405" s="3"/>
      <c r="K405" s="3"/>
      <c r="L405" s="3"/>
      <c r="M405" s="3"/>
      <c r="N405" s="3">
        <f t="shared" ref="N405:N439" si="21">K405+L405</f>
        <v>0</v>
      </c>
      <c r="O405" s="5">
        <v>14250</v>
      </c>
      <c r="P405" s="3">
        <f t="shared" ref="P405:P439" si="22">O405-N405</f>
        <v>14250</v>
      </c>
    </row>
    <row r="406" spans="1:16" ht="15.75">
      <c r="A406" s="3">
        <v>3</v>
      </c>
      <c r="B406" s="4">
        <v>46190</v>
      </c>
      <c r="C406" s="3" t="s">
        <v>51</v>
      </c>
      <c r="D406" s="5" t="s">
        <v>65</v>
      </c>
      <c r="E406" s="5" t="s">
        <v>62</v>
      </c>
      <c r="F406" s="5" t="s">
        <v>63</v>
      </c>
      <c r="G406" s="5" t="s">
        <v>64</v>
      </c>
      <c r="H406" s="5">
        <v>9050560127</v>
      </c>
      <c r="I406" s="5">
        <v>750</v>
      </c>
      <c r="J406" s="3"/>
      <c r="K406" s="3"/>
      <c r="L406" s="3"/>
      <c r="M406" s="3"/>
      <c r="N406" s="3">
        <f t="shared" si="21"/>
        <v>0</v>
      </c>
      <c r="O406" s="5">
        <v>14250</v>
      </c>
      <c r="P406" s="3">
        <f t="shared" si="22"/>
        <v>14250</v>
      </c>
    </row>
    <row r="407" spans="1:16" ht="15.75">
      <c r="A407" s="3">
        <v>4</v>
      </c>
      <c r="B407" s="4">
        <v>46190</v>
      </c>
      <c r="C407" s="3" t="s">
        <v>51</v>
      </c>
      <c r="D407" s="5" t="s">
        <v>76</v>
      </c>
      <c r="E407" s="5" t="s">
        <v>62</v>
      </c>
      <c r="F407" s="6" t="s">
        <v>74</v>
      </c>
      <c r="G407" s="6" t="s">
        <v>75</v>
      </c>
      <c r="H407" s="6">
        <v>8607782625</v>
      </c>
      <c r="I407" s="5">
        <v>750</v>
      </c>
      <c r="J407" s="3"/>
      <c r="K407" s="3"/>
      <c r="L407" s="3"/>
      <c r="M407" s="3"/>
      <c r="N407" s="3">
        <f t="shared" si="21"/>
        <v>0</v>
      </c>
      <c r="O407" s="5">
        <v>14250</v>
      </c>
      <c r="P407" s="3">
        <f t="shared" si="22"/>
        <v>14250</v>
      </c>
    </row>
    <row r="408" spans="1:16" ht="15.75">
      <c r="A408" s="3">
        <v>5</v>
      </c>
      <c r="B408" s="4">
        <v>46190</v>
      </c>
      <c r="C408" s="3" t="s">
        <v>51</v>
      </c>
      <c r="D408" s="5" t="s">
        <v>116</v>
      </c>
      <c r="E408" s="10" t="s">
        <v>118</v>
      </c>
      <c r="F408" s="10" t="s">
        <v>122</v>
      </c>
      <c r="G408" s="10" t="s">
        <v>126</v>
      </c>
      <c r="H408" s="10">
        <v>9971164371</v>
      </c>
      <c r="I408" s="10">
        <v>750</v>
      </c>
      <c r="J408" s="3"/>
      <c r="K408" s="3"/>
      <c r="L408" s="3"/>
      <c r="M408" s="3"/>
      <c r="N408" s="3">
        <f t="shared" si="21"/>
        <v>0</v>
      </c>
      <c r="O408" s="5">
        <v>15000</v>
      </c>
      <c r="P408" s="3">
        <f t="shared" si="22"/>
        <v>15000</v>
      </c>
    </row>
    <row r="409" spans="1:16" ht="15.75">
      <c r="A409" s="3">
        <v>6</v>
      </c>
      <c r="B409" s="4">
        <v>46190</v>
      </c>
      <c r="C409" s="3" t="s">
        <v>51</v>
      </c>
      <c r="D409" s="5" t="s">
        <v>117</v>
      </c>
      <c r="E409" s="10" t="s">
        <v>119</v>
      </c>
      <c r="F409" s="10" t="s">
        <v>123</v>
      </c>
      <c r="G409" s="10" t="s">
        <v>127</v>
      </c>
      <c r="H409" s="10">
        <v>8816966347</v>
      </c>
      <c r="I409" s="10">
        <v>750</v>
      </c>
      <c r="J409" s="3"/>
      <c r="K409" s="3"/>
      <c r="L409" s="3"/>
      <c r="M409" s="3"/>
      <c r="N409" s="3">
        <f t="shared" si="21"/>
        <v>0</v>
      </c>
      <c r="O409" s="5">
        <v>15000</v>
      </c>
      <c r="P409" s="3">
        <f t="shared" si="22"/>
        <v>15000</v>
      </c>
    </row>
    <row r="410" spans="1:16" ht="15.75">
      <c r="A410" s="3">
        <v>7</v>
      </c>
      <c r="B410" s="4">
        <v>46190</v>
      </c>
      <c r="C410" s="3" t="s">
        <v>51</v>
      </c>
      <c r="D410" s="5" t="s">
        <v>146</v>
      </c>
      <c r="E410" s="5" t="s">
        <v>128</v>
      </c>
      <c r="F410" s="5" t="s">
        <v>131</v>
      </c>
      <c r="G410" s="5" t="s">
        <v>139</v>
      </c>
      <c r="H410" s="5">
        <v>8295428639</v>
      </c>
      <c r="I410" s="5">
        <v>800</v>
      </c>
      <c r="J410" s="3"/>
      <c r="K410" s="3"/>
      <c r="L410" s="3"/>
      <c r="M410" s="3"/>
      <c r="N410" s="3">
        <f t="shared" si="21"/>
        <v>0</v>
      </c>
      <c r="O410" s="5">
        <v>23200</v>
      </c>
      <c r="P410" s="3">
        <f t="shared" si="22"/>
        <v>23200</v>
      </c>
    </row>
    <row r="411" spans="1:16" ht="15.75">
      <c r="A411" s="3">
        <v>8</v>
      </c>
      <c r="B411" s="4">
        <v>46190</v>
      </c>
      <c r="C411" s="3" t="s">
        <v>51</v>
      </c>
      <c r="D411" s="5" t="s">
        <v>148</v>
      </c>
      <c r="E411" s="5" t="s">
        <v>130</v>
      </c>
      <c r="F411" s="5" t="s">
        <v>133</v>
      </c>
      <c r="G411" s="5" t="s">
        <v>68</v>
      </c>
      <c r="H411" s="5">
        <v>9050180519</v>
      </c>
      <c r="I411" s="6">
        <v>750</v>
      </c>
      <c r="J411" s="3"/>
      <c r="K411" s="3"/>
      <c r="L411" s="3"/>
      <c r="M411" s="3"/>
      <c r="N411" s="3">
        <f t="shared" si="21"/>
        <v>0</v>
      </c>
      <c r="O411" s="5">
        <v>15750</v>
      </c>
      <c r="P411" s="3">
        <f t="shared" si="22"/>
        <v>15750</v>
      </c>
    </row>
    <row r="412" spans="1:16" ht="15.75">
      <c r="A412" s="3">
        <v>9</v>
      </c>
      <c r="B412" s="4">
        <v>46190</v>
      </c>
      <c r="C412" s="3" t="s">
        <v>51</v>
      </c>
      <c r="D412" s="5" t="s">
        <v>149</v>
      </c>
      <c r="E412" s="5" t="s">
        <v>119</v>
      </c>
      <c r="F412" s="5" t="s">
        <v>134</v>
      </c>
      <c r="G412" s="5" t="s">
        <v>141</v>
      </c>
      <c r="H412" s="5">
        <v>9671597235</v>
      </c>
      <c r="I412" s="5">
        <v>800</v>
      </c>
      <c r="J412" s="3"/>
      <c r="K412" s="3"/>
      <c r="L412" s="3"/>
      <c r="M412" s="3"/>
      <c r="N412" s="3">
        <f t="shared" si="21"/>
        <v>0</v>
      </c>
      <c r="O412" s="5">
        <v>23200</v>
      </c>
      <c r="P412" s="3">
        <f t="shared" si="22"/>
        <v>23200</v>
      </c>
    </row>
    <row r="413" spans="1:16" ht="15.75">
      <c r="A413" s="3">
        <v>10</v>
      </c>
      <c r="B413" s="4">
        <v>46190</v>
      </c>
      <c r="C413" s="3" t="s">
        <v>51</v>
      </c>
      <c r="D413" s="5" t="s">
        <v>150</v>
      </c>
      <c r="E413" s="5" t="s">
        <v>119</v>
      </c>
      <c r="F413" s="5" t="s">
        <v>135</v>
      </c>
      <c r="G413" s="5" t="s">
        <v>142</v>
      </c>
      <c r="H413" s="5">
        <v>9729501850</v>
      </c>
      <c r="I413" s="5">
        <v>800</v>
      </c>
      <c r="J413" s="3"/>
      <c r="K413" s="3"/>
      <c r="L413" s="3"/>
      <c r="M413" s="3"/>
      <c r="N413" s="3">
        <f t="shared" si="21"/>
        <v>0</v>
      </c>
      <c r="O413" s="5">
        <v>23200</v>
      </c>
      <c r="P413" s="3">
        <f t="shared" si="22"/>
        <v>23200</v>
      </c>
    </row>
    <row r="414" spans="1:16" ht="15.75">
      <c r="A414" s="3">
        <v>11</v>
      </c>
      <c r="B414" s="4">
        <v>46190</v>
      </c>
      <c r="C414" s="3" t="s">
        <v>51</v>
      </c>
      <c r="D414" s="5" t="s">
        <v>152</v>
      </c>
      <c r="E414" s="5" t="s">
        <v>119</v>
      </c>
      <c r="F414" s="5" t="s">
        <v>137</v>
      </c>
      <c r="G414" s="5" t="s">
        <v>144</v>
      </c>
      <c r="H414" s="5">
        <v>9991638771</v>
      </c>
      <c r="I414" s="5">
        <v>800</v>
      </c>
      <c r="J414" s="3"/>
      <c r="K414" s="3"/>
      <c r="L414" s="3"/>
      <c r="M414" s="3"/>
      <c r="N414" s="3">
        <f t="shared" si="21"/>
        <v>0</v>
      </c>
      <c r="O414" s="5">
        <v>23200</v>
      </c>
      <c r="P414" s="3">
        <f t="shared" si="22"/>
        <v>23200</v>
      </c>
    </row>
    <row r="415" spans="1:16" ht="15.75">
      <c r="A415" s="3">
        <v>12</v>
      </c>
      <c r="B415" s="4">
        <v>46190</v>
      </c>
      <c r="C415" s="3" t="s">
        <v>51</v>
      </c>
      <c r="D415" s="5" t="s">
        <v>158</v>
      </c>
      <c r="E415" s="10" t="s">
        <v>119</v>
      </c>
      <c r="F415" s="10" t="s">
        <v>71</v>
      </c>
      <c r="G415" s="10" t="s">
        <v>167</v>
      </c>
      <c r="H415" s="10">
        <v>9992401965</v>
      </c>
      <c r="I415" s="5">
        <v>800</v>
      </c>
      <c r="J415" s="3"/>
      <c r="K415" s="3"/>
      <c r="L415" s="3"/>
      <c r="M415" s="3"/>
      <c r="N415" s="3">
        <f t="shared" si="21"/>
        <v>0</v>
      </c>
      <c r="O415" s="5">
        <v>23200</v>
      </c>
      <c r="P415" s="3">
        <f t="shared" si="22"/>
        <v>23200</v>
      </c>
    </row>
    <row r="416" spans="1:16" ht="15.75">
      <c r="A416" s="3">
        <v>13</v>
      </c>
      <c r="B416" s="4">
        <v>46190</v>
      </c>
      <c r="C416" s="3" t="s">
        <v>51</v>
      </c>
      <c r="D416" s="5" t="s">
        <v>159</v>
      </c>
      <c r="E416" s="10" t="s">
        <v>171</v>
      </c>
      <c r="F416" s="10" t="s">
        <v>163</v>
      </c>
      <c r="G416" s="10" t="s">
        <v>168</v>
      </c>
      <c r="H416" s="10">
        <v>7404474940</v>
      </c>
      <c r="I416" s="6">
        <v>750</v>
      </c>
      <c r="J416" s="3"/>
      <c r="K416" s="3"/>
      <c r="L416" s="3"/>
      <c r="M416" s="3"/>
      <c r="N416" s="3">
        <f t="shared" si="21"/>
        <v>0</v>
      </c>
      <c r="O416" s="5">
        <v>15750</v>
      </c>
      <c r="P416" s="3">
        <f t="shared" si="22"/>
        <v>15750</v>
      </c>
    </row>
    <row r="417" spans="1:16" ht="15.75">
      <c r="A417" s="3">
        <v>14</v>
      </c>
      <c r="B417" s="4">
        <v>46190</v>
      </c>
      <c r="C417" s="3" t="s">
        <v>51</v>
      </c>
      <c r="D417" s="5" t="s">
        <v>160</v>
      </c>
      <c r="E417" s="10" t="s">
        <v>172</v>
      </c>
      <c r="F417" s="10" t="s">
        <v>164</v>
      </c>
      <c r="G417" s="10" t="s">
        <v>169</v>
      </c>
      <c r="H417" s="10">
        <v>9540614028</v>
      </c>
      <c r="I417" s="5">
        <v>800</v>
      </c>
      <c r="J417" s="3"/>
      <c r="K417" s="3"/>
      <c r="L417" s="3"/>
      <c r="M417" s="3"/>
      <c r="N417" s="3">
        <f t="shared" si="21"/>
        <v>0</v>
      </c>
      <c r="O417" s="5">
        <v>23200</v>
      </c>
      <c r="P417" s="3">
        <f t="shared" si="22"/>
        <v>23200</v>
      </c>
    </row>
    <row r="418" spans="1:16" ht="15.75">
      <c r="A418" s="3">
        <v>15</v>
      </c>
      <c r="B418" s="4">
        <v>46190</v>
      </c>
      <c r="C418" s="3" t="s">
        <v>51</v>
      </c>
      <c r="D418" s="5" t="s">
        <v>161</v>
      </c>
      <c r="E418" s="10" t="s">
        <v>119</v>
      </c>
      <c r="F418" s="10" t="s">
        <v>165</v>
      </c>
      <c r="G418" s="10" t="s">
        <v>140</v>
      </c>
      <c r="H418" s="10">
        <v>8395910861</v>
      </c>
      <c r="I418" s="6">
        <v>750</v>
      </c>
      <c r="J418" s="3"/>
      <c r="K418" s="3"/>
      <c r="L418" s="3"/>
      <c r="M418" s="3"/>
      <c r="N418" s="3">
        <f t="shared" si="21"/>
        <v>0</v>
      </c>
      <c r="O418" s="5">
        <v>15750</v>
      </c>
      <c r="P418" s="3">
        <f t="shared" si="22"/>
        <v>15750</v>
      </c>
    </row>
    <row r="419" spans="1:16" ht="15.75">
      <c r="A419" s="3">
        <v>16</v>
      </c>
      <c r="B419" s="4">
        <v>46190</v>
      </c>
      <c r="C419" s="3" t="s">
        <v>51</v>
      </c>
      <c r="D419" s="5" t="s">
        <v>162</v>
      </c>
      <c r="E419" s="10" t="s">
        <v>119</v>
      </c>
      <c r="F419" s="10" t="s">
        <v>166</v>
      </c>
      <c r="G419" s="10" t="s">
        <v>170</v>
      </c>
      <c r="H419" s="10">
        <v>9671227093</v>
      </c>
      <c r="I419" s="5">
        <v>800</v>
      </c>
      <c r="J419" s="3"/>
      <c r="K419" s="3"/>
      <c r="L419" s="3"/>
      <c r="M419" s="3"/>
      <c r="N419" s="3">
        <f t="shared" si="21"/>
        <v>0</v>
      </c>
      <c r="O419" s="5">
        <v>23200</v>
      </c>
      <c r="P419" s="3">
        <f t="shared" si="22"/>
        <v>23200</v>
      </c>
    </row>
    <row r="420" spans="1:16" ht="15.75">
      <c r="A420" s="3">
        <v>17</v>
      </c>
      <c r="B420" s="4">
        <v>46190</v>
      </c>
      <c r="C420" s="3" t="s">
        <v>51</v>
      </c>
      <c r="D420" s="5" t="s">
        <v>174</v>
      </c>
      <c r="E420" s="5" t="s">
        <v>177</v>
      </c>
      <c r="F420" s="10" t="s">
        <v>179</v>
      </c>
      <c r="G420" s="10" t="s">
        <v>181</v>
      </c>
      <c r="H420" s="10">
        <v>9991575314</v>
      </c>
      <c r="I420" s="3">
        <v>800</v>
      </c>
      <c r="J420" s="3"/>
      <c r="K420" s="3"/>
      <c r="L420" s="3"/>
      <c r="M420" s="3"/>
      <c r="N420" s="3">
        <f t="shared" si="21"/>
        <v>0</v>
      </c>
      <c r="O420" s="5">
        <v>24000</v>
      </c>
      <c r="P420" s="3">
        <f t="shared" si="22"/>
        <v>24000</v>
      </c>
    </row>
    <row r="421" spans="1:16" ht="15.75">
      <c r="A421" s="3">
        <v>18</v>
      </c>
      <c r="B421" s="4">
        <v>46190</v>
      </c>
      <c r="C421" s="3" t="s">
        <v>51</v>
      </c>
      <c r="D421" s="5" t="s">
        <v>175</v>
      </c>
      <c r="E421" s="10" t="s">
        <v>171</v>
      </c>
      <c r="F421" s="10" t="s">
        <v>180</v>
      </c>
      <c r="G421" s="10" t="s">
        <v>182</v>
      </c>
      <c r="H421" s="10">
        <v>8814086202</v>
      </c>
      <c r="I421" s="3">
        <v>750</v>
      </c>
      <c r="J421" s="3"/>
      <c r="K421" s="3"/>
      <c r="L421" s="3"/>
      <c r="M421" s="3"/>
      <c r="N421" s="3">
        <f t="shared" si="21"/>
        <v>0</v>
      </c>
      <c r="O421" s="5">
        <v>15750</v>
      </c>
      <c r="P421" s="3">
        <f t="shared" si="22"/>
        <v>15750</v>
      </c>
    </row>
    <row r="422" spans="1:16" ht="15.75">
      <c r="A422" s="3">
        <v>19</v>
      </c>
      <c r="B422" s="4">
        <v>46190</v>
      </c>
      <c r="C422" s="3" t="s">
        <v>51</v>
      </c>
      <c r="D422" s="5" t="s">
        <v>176</v>
      </c>
      <c r="E422" s="10" t="s">
        <v>178</v>
      </c>
      <c r="F422" s="10" t="s">
        <v>165</v>
      </c>
      <c r="G422" s="10" t="s">
        <v>183</v>
      </c>
      <c r="H422" s="10">
        <v>9991361344</v>
      </c>
      <c r="I422" s="3">
        <v>750</v>
      </c>
      <c r="J422" s="3"/>
      <c r="K422" s="3"/>
      <c r="L422" s="3"/>
      <c r="M422" s="3"/>
      <c r="N422" s="3">
        <f t="shared" si="21"/>
        <v>0</v>
      </c>
      <c r="O422" s="5">
        <v>16500</v>
      </c>
      <c r="P422" s="3">
        <f t="shared" si="22"/>
        <v>16500</v>
      </c>
    </row>
    <row r="423" spans="1:16" ht="15.75">
      <c r="A423" s="3">
        <v>20</v>
      </c>
      <c r="B423" s="4">
        <v>46190</v>
      </c>
      <c r="C423" s="3" t="s">
        <v>51</v>
      </c>
      <c r="D423" s="5" t="s">
        <v>194</v>
      </c>
      <c r="E423" s="10" t="s">
        <v>197</v>
      </c>
      <c r="F423" s="10" t="s">
        <v>71</v>
      </c>
      <c r="G423" s="10" t="s">
        <v>125</v>
      </c>
      <c r="H423" s="10">
        <v>9053156064</v>
      </c>
      <c r="I423" s="3">
        <v>750</v>
      </c>
      <c r="J423" s="3"/>
      <c r="K423" s="3"/>
      <c r="L423" s="3"/>
      <c r="M423" s="3"/>
      <c r="N423" s="3">
        <f t="shared" si="21"/>
        <v>0</v>
      </c>
      <c r="O423" s="5">
        <v>17250</v>
      </c>
      <c r="P423" s="3">
        <f t="shared" si="22"/>
        <v>17250</v>
      </c>
    </row>
    <row r="424" spans="1:16" ht="15.75">
      <c r="A424" s="3">
        <v>21</v>
      </c>
      <c r="B424" s="4">
        <v>46190</v>
      </c>
      <c r="C424" s="3" t="s">
        <v>51</v>
      </c>
      <c r="D424" s="5" t="s">
        <v>199</v>
      </c>
      <c r="E424" s="10" t="s">
        <v>197</v>
      </c>
      <c r="F424" s="10" t="s">
        <v>53</v>
      </c>
      <c r="G424" s="10" t="s">
        <v>204</v>
      </c>
      <c r="H424" s="10">
        <v>9813304531</v>
      </c>
      <c r="I424" s="3">
        <v>750</v>
      </c>
      <c r="J424" s="3"/>
      <c r="K424" s="3"/>
      <c r="L424" s="3"/>
      <c r="M424" s="3"/>
      <c r="N424" s="3">
        <f t="shared" si="21"/>
        <v>0</v>
      </c>
      <c r="O424" s="5">
        <v>17250</v>
      </c>
      <c r="P424" s="3">
        <f t="shared" si="22"/>
        <v>17250</v>
      </c>
    </row>
    <row r="425" spans="1:16" ht="15.75">
      <c r="A425" s="3">
        <v>22</v>
      </c>
      <c r="B425" s="4">
        <v>46190</v>
      </c>
      <c r="C425" s="3" t="s">
        <v>51</v>
      </c>
      <c r="D425" s="5" t="s">
        <v>200</v>
      </c>
      <c r="E425" s="10" t="s">
        <v>197</v>
      </c>
      <c r="F425" s="10" t="s">
        <v>121</v>
      </c>
      <c r="G425" s="10" t="s">
        <v>140</v>
      </c>
      <c r="H425" s="10">
        <v>8930321437</v>
      </c>
      <c r="I425" s="3">
        <v>800</v>
      </c>
      <c r="J425" s="3"/>
      <c r="K425" s="3"/>
      <c r="L425" s="3"/>
      <c r="M425" s="3"/>
      <c r="N425" s="3">
        <f t="shared" si="21"/>
        <v>0</v>
      </c>
      <c r="O425" s="5">
        <v>24800</v>
      </c>
      <c r="P425" s="3">
        <f t="shared" si="22"/>
        <v>24800</v>
      </c>
    </row>
    <row r="426" spans="1:16" ht="15.75">
      <c r="A426" s="3">
        <v>23</v>
      </c>
      <c r="B426" s="4">
        <v>46190</v>
      </c>
      <c r="C426" s="3" t="s">
        <v>51</v>
      </c>
      <c r="D426" s="5" t="s">
        <v>201</v>
      </c>
      <c r="E426" s="10" t="s">
        <v>206</v>
      </c>
      <c r="F426" s="10" t="s">
        <v>165</v>
      </c>
      <c r="G426" s="10" t="s">
        <v>205</v>
      </c>
      <c r="H426" s="10">
        <v>8295267191</v>
      </c>
      <c r="I426" s="3">
        <v>800</v>
      </c>
      <c r="J426" s="3"/>
      <c r="K426" s="3"/>
      <c r="L426" s="3"/>
      <c r="M426" s="3"/>
      <c r="N426" s="3">
        <f t="shared" si="21"/>
        <v>0</v>
      </c>
      <c r="O426" s="5">
        <v>24800</v>
      </c>
      <c r="P426" s="3">
        <f t="shared" si="22"/>
        <v>24800</v>
      </c>
    </row>
    <row r="427" spans="1:16" ht="15.75">
      <c r="A427" s="3">
        <v>24</v>
      </c>
      <c r="B427" s="4">
        <v>46190</v>
      </c>
      <c r="C427" s="3" t="s">
        <v>51</v>
      </c>
      <c r="D427" s="5" t="s">
        <v>202</v>
      </c>
      <c r="E427" s="10" t="s">
        <v>118</v>
      </c>
      <c r="F427" s="10" t="s">
        <v>203</v>
      </c>
      <c r="G427" s="10" t="s">
        <v>185</v>
      </c>
      <c r="H427" s="10">
        <v>7988050867</v>
      </c>
      <c r="I427" s="3">
        <v>750</v>
      </c>
      <c r="J427" s="3"/>
      <c r="K427" s="3"/>
      <c r="L427" s="3"/>
      <c r="M427" s="3"/>
      <c r="N427" s="3">
        <f t="shared" si="21"/>
        <v>0</v>
      </c>
      <c r="O427" s="5">
        <v>17250</v>
      </c>
      <c r="P427" s="3">
        <f t="shared" si="22"/>
        <v>17250</v>
      </c>
    </row>
    <row r="428" spans="1:16" ht="15.75">
      <c r="A428" s="3">
        <v>25</v>
      </c>
      <c r="B428" s="4">
        <v>46190</v>
      </c>
      <c r="C428" s="3" t="s">
        <v>51</v>
      </c>
      <c r="D428" s="5" t="s">
        <v>208</v>
      </c>
      <c r="E428" s="10" t="s">
        <v>49</v>
      </c>
      <c r="F428" s="10" t="s">
        <v>215</v>
      </c>
      <c r="G428" s="10" t="s">
        <v>216</v>
      </c>
      <c r="H428" s="10">
        <v>9812012403</v>
      </c>
      <c r="I428" s="3">
        <v>800</v>
      </c>
      <c r="J428" s="3"/>
      <c r="K428" s="3"/>
      <c r="L428" s="3"/>
      <c r="M428" s="3"/>
      <c r="N428" s="3">
        <f t="shared" si="21"/>
        <v>0</v>
      </c>
      <c r="O428" s="5">
        <v>24800</v>
      </c>
      <c r="P428" s="3">
        <f t="shared" si="22"/>
        <v>24800</v>
      </c>
    </row>
    <row r="429" spans="1:16" ht="15.75">
      <c r="A429" s="3">
        <v>26</v>
      </c>
      <c r="B429" s="4">
        <v>46190</v>
      </c>
      <c r="C429" s="3" t="s">
        <v>51</v>
      </c>
      <c r="D429" s="5" t="s">
        <v>262</v>
      </c>
      <c r="E429" s="10" t="s">
        <v>197</v>
      </c>
      <c r="F429" s="10" t="s">
        <v>247</v>
      </c>
      <c r="G429" s="10" t="s">
        <v>267</v>
      </c>
      <c r="H429" s="10">
        <v>7027082504</v>
      </c>
      <c r="I429" s="3">
        <v>800</v>
      </c>
      <c r="J429" s="3"/>
      <c r="K429" s="3"/>
      <c r="L429" s="3"/>
      <c r="M429" s="3"/>
      <c r="N429" s="3">
        <f t="shared" si="21"/>
        <v>0</v>
      </c>
      <c r="O429" s="5">
        <v>26400</v>
      </c>
      <c r="P429" s="3">
        <f t="shared" si="22"/>
        <v>26400</v>
      </c>
    </row>
    <row r="430" spans="1:16" ht="15.75">
      <c r="A430" s="3">
        <v>27</v>
      </c>
      <c r="B430" s="4">
        <v>46190</v>
      </c>
      <c r="C430" s="3" t="s">
        <v>51</v>
      </c>
      <c r="D430" s="5" t="s">
        <v>264</v>
      </c>
      <c r="E430" s="10" t="s">
        <v>49</v>
      </c>
      <c r="F430" s="10" t="s">
        <v>254</v>
      </c>
      <c r="G430" s="10" t="s">
        <v>269</v>
      </c>
      <c r="H430" s="10">
        <v>9729160317</v>
      </c>
      <c r="I430" s="3">
        <v>750</v>
      </c>
      <c r="J430" s="3"/>
      <c r="K430" s="3"/>
      <c r="L430" s="3"/>
      <c r="M430" s="3"/>
      <c r="N430" s="3">
        <f t="shared" si="21"/>
        <v>0</v>
      </c>
      <c r="O430" s="5">
        <v>18000</v>
      </c>
      <c r="P430" s="3">
        <f t="shared" si="22"/>
        <v>18000</v>
      </c>
    </row>
    <row r="431" spans="1:16" ht="15.75">
      <c r="A431" s="3">
        <v>28</v>
      </c>
      <c r="B431" s="4">
        <v>46190</v>
      </c>
      <c r="C431" s="3" t="s">
        <v>51</v>
      </c>
      <c r="D431" s="5" t="s">
        <v>265</v>
      </c>
      <c r="E431" s="10" t="s">
        <v>49</v>
      </c>
      <c r="F431" s="10" t="s">
        <v>261</v>
      </c>
      <c r="G431" s="10" t="s">
        <v>270</v>
      </c>
      <c r="H431" s="10">
        <v>9991081679</v>
      </c>
      <c r="I431" s="3">
        <v>800</v>
      </c>
      <c r="J431" s="3"/>
      <c r="K431" s="3"/>
      <c r="L431" s="3"/>
      <c r="M431" s="3"/>
      <c r="N431" s="3">
        <f t="shared" si="21"/>
        <v>0</v>
      </c>
      <c r="O431" s="5">
        <v>26400</v>
      </c>
      <c r="P431" s="3">
        <f t="shared" si="22"/>
        <v>26400</v>
      </c>
    </row>
    <row r="432" spans="1:16" ht="15.75">
      <c r="A432" s="3">
        <v>29</v>
      </c>
      <c r="B432" s="4">
        <v>46190</v>
      </c>
      <c r="C432" s="3" t="s">
        <v>51</v>
      </c>
      <c r="D432" s="5" t="s">
        <v>275</v>
      </c>
      <c r="E432" s="10" t="s">
        <v>278</v>
      </c>
      <c r="F432" s="10" t="s">
        <v>271</v>
      </c>
      <c r="G432" s="10" t="s">
        <v>280</v>
      </c>
      <c r="H432" s="10">
        <v>9466502084</v>
      </c>
      <c r="I432" s="3">
        <v>750</v>
      </c>
      <c r="J432" s="3"/>
      <c r="K432" s="3"/>
      <c r="L432" s="3"/>
      <c r="M432" s="3"/>
      <c r="N432" s="3">
        <f t="shared" si="21"/>
        <v>0</v>
      </c>
      <c r="O432" s="5">
        <v>18750</v>
      </c>
      <c r="P432" s="3">
        <f t="shared" si="22"/>
        <v>18750</v>
      </c>
    </row>
    <row r="433" spans="1:16" ht="15.75">
      <c r="A433" s="3">
        <v>30</v>
      </c>
      <c r="B433" s="4">
        <v>46190</v>
      </c>
      <c r="C433" s="3" t="s">
        <v>51</v>
      </c>
      <c r="D433" s="5" t="s">
        <v>276</v>
      </c>
      <c r="E433" s="10" t="s">
        <v>279</v>
      </c>
      <c r="F433" s="10" t="s">
        <v>272</v>
      </c>
      <c r="G433" s="10" t="s">
        <v>281</v>
      </c>
      <c r="H433" s="10">
        <v>8168586120</v>
      </c>
      <c r="I433" s="3">
        <v>800</v>
      </c>
      <c r="J433" s="3"/>
      <c r="K433" s="3"/>
      <c r="L433" s="3"/>
      <c r="M433" s="3"/>
      <c r="N433" s="3">
        <f t="shared" si="21"/>
        <v>0</v>
      </c>
      <c r="O433" s="5">
        <v>26400</v>
      </c>
      <c r="P433" s="3">
        <f t="shared" si="22"/>
        <v>26400</v>
      </c>
    </row>
    <row r="434" spans="1:16" ht="15.75">
      <c r="A434" s="3">
        <v>31</v>
      </c>
      <c r="B434" s="4">
        <v>46190</v>
      </c>
      <c r="C434" s="3" t="s">
        <v>51</v>
      </c>
      <c r="D434" s="5" t="s">
        <v>277</v>
      </c>
      <c r="E434" s="10" t="s">
        <v>49</v>
      </c>
      <c r="F434" s="10" t="s">
        <v>273</v>
      </c>
      <c r="G434" s="10" t="s">
        <v>282</v>
      </c>
      <c r="H434" s="10">
        <v>8295507421</v>
      </c>
      <c r="I434" s="3">
        <v>800</v>
      </c>
      <c r="J434" s="3"/>
      <c r="K434" s="3"/>
      <c r="L434" s="3"/>
      <c r="M434" s="3"/>
      <c r="N434" s="3">
        <f t="shared" si="21"/>
        <v>0</v>
      </c>
      <c r="O434" s="5">
        <v>26400</v>
      </c>
      <c r="P434" s="3">
        <f t="shared" si="22"/>
        <v>26400</v>
      </c>
    </row>
    <row r="435" spans="1:16" ht="15.75">
      <c r="A435" s="3">
        <v>32</v>
      </c>
      <c r="B435" s="4">
        <v>46190</v>
      </c>
      <c r="C435" s="3" t="s">
        <v>51</v>
      </c>
      <c r="D435" s="5" t="s">
        <v>255</v>
      </c>
      <c r="E435" s="10" t="s">
        <v>278</v>
      </c>
      <c r="F435" s="10" t="s">
        <v>274</v>
      </c>
      <c r="G435" s="10" t="s">
        <v>189</v>
      </c>
      <c r="H435" s="10">
        <v>7828359630</v>
      </c>
      <c r="I435" s="3">
        <v>750</v>
      </c>
      <c r="J435" s="3"/>
      <c r="K435" s="3"/>
      <c r="L435" s="3"/>
      <c r="M435" s="3"/>
      <c r="N435" s="3">
        <f t="shared" si="21"/>
        <v>0</v>
      </c>
      <c r="O435" s="5">
        <v>18750</v>
      </c>
      <c r="P435" s="3">
        <f t="shared" si="22"/>
        <v>18750</v>
      </c>
    </row>
    <row r="436" spans="1:16" ht="15.75">
      <c r="A436" s="3">
        <v>33</v>
      </c>
      <c r="B436" s="4">
        <v>46190</v>
      </c>
      <c r="C436" s="3" t="s">
        <v>51</v>
      </c>
      <c r="D436" s="5" t="s">
        <v>286</v>
      </c>
      <c r="E436" s="3" t="s">
        <v>49</v>
      </c>
      <c r="F436" s="3" t="s">
        <v>285</v>
      </c>
      <c r="G436" s="3" t="s">
        <v>293</v>
      </c>
      <c r="H436" s="3">
        <v>9671634311</v>
      </c>
      <c r="I436" s="3">
        <v>800</v>
      </c>
      <c r="J436" s="3"/>
      <c r="K436" s="3"/>
      <c r="L436" s="3"/>
      <c r="M436" s="3"/>
      <c r="N436" s="3">
        <f t="shared" si="21"/>
        <v>0</v>
      </c>
      <c r="O436" s="5">
        <v>27200</v>
      </c>
      <c r="P436" s="3">
        <f t="shared" si="22"/>
        <v>27200</v>
      </c>
    </row>
    <row r="437" spans="1:16" ht="15.75">
      <c r="A437" s="3">
        <v>34</v>
      </c>
      <c r="B437" s="4">
        <v>46190</v>
      </c>
      <c r="C437" s="3" t="s">
        <v>51</v>
      </c>
      <c r="D437" s="5" t="s">
        <v>287</v>
      </c>
      <c r="E437" s="3" t="s">
        <v>130</v>
      </c>
      <c r="F437" s="3" t="s">
        <v>284</v>
      </c>
      <c r="G437" s="3" t="s">
        <v>294</v>
      </c>
      <c r="H437" s="3">
        <v>9671393271</v>
      </c>
      <c r="I437" s="3">
        <v>800</v>
      </c>
      <c r="J437" s="3"/>
      <c r="K437" s="3"/>
      <c r="L437" s="3"/>
      <c r="M437" s="3"/>
      <c r="N437" s="3">
        <f t="shared" si="21"/>
        <v>0</v>
      </c>
      <c r="O437" s="5">
        <v>27200</v>
      </c>
      <c r="P437" s="3">
        <f t="shared" si="22"/>
        <v>27200</v>
      </c>
    </row>
    <row r="438" spans="1:16" ht="15.75">
      <c r="A438" s="3">
        <v>36</v>
      </c>
      <c r="B438" s="4">
        <v>46190</v>
      </c>
      <c r="C438" s="3" t="s">
        <v>51</v>
      </c>
      <c r="D438" s="6" t="s">
        <v>299</v>
      </c>
      <c r="E438" s="3" t="s">
        <v>130</v>
      </c>
      <c r="F438" s="3" t="s">
        <v>301</v>
      </c>
      <c r="G438" s="3" t="s">
        <v>303</v>
      </c>
      <c r="H438" s="3">
        <v>8397097184</v>
      </c>
      <c r="I438" s="3">
        <v>800</v>
      </c>
      <c r="J438" s="3"/>
      <c r="K438" s="3"/>
      <c r="L438" s="3"/>
      <c r="M438" s="3"/>
      <c r="N438" s="3">
        <f t="shared" si="21"/>
        <v>0</v>
      </c>
      <c r="O438" s="6">
        <v>27200</v>
      </c>
      <c r="P438" s="3">
        <f t="shared" si="22"/>
        <v>27200</v>
      </c>
    </row>
    <row r="439" spans="1:16" ht="15.75">
      <c r="A439" s="3">
        <v>37</v>
      </c>
      <c r="B439" s="4">
        <v>46190</v>
      </c>
      <c r="C439" s="3" t="s">
        <v>51</v>
      </c>
      <c r="D439" s="5" t="s">
        <v>312</v>
      </c>
      <c r="E439" s="3" t="s">
        <v>197</v>
      </c>
      <c r="F439" s="3" t="s">
        <v>121</v>
      </c>
      <c r="G439" s="3" t="s">
        <v>315</v>
      </c>
      <c r="H439" s="3">
        <v>8059882196</v>
      </c>
      <c r="I439" s="3">
        <v>800</v>
      </c>
      <c r="J439" s="3"/>
      <c r="K439" s="3"/>
      <c r="L439" s="3"/>
      <c r="M439" s="3"/>
      <c r="N439" s="3">
        <f t="shared" si="21"/>
        <v>0</v>
      </c>
      <c r="O439" s="6">
        <v>27200</v>
      </c>
      <c r="P439" s="3">
        <f t="shared" si="22"/>
        <v>27200</v>
      </c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>
        <f>SUM(I404:I441)</f>
        <v>27950</v>
      </c>
      <c r="J442" s="3"/>
      <c r="K442" s="3"/>
      <c r="L442" s="3"/>
      <c r="M442" s="3"/>
      <c r="N442" s="3">
        <f>SUM(N404:N441)</f>
        <v>0</v>
      </c>
      <c r="O442" s="3">
        <f>SUM(O404:O441)</f>
        <v>748950</v>
      </c>
      <c r="P442" s="3">
        <f>SUM(P404:P441)</f>
        <v>748950</v>
      </c>
    </row>
    <row r="446" spans="1:16" ht="27.75">
      <c r="A446" s="142" t="s">
        <v>155</v>
      </c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</row>
    <row r="447" spans="1:16" ht="75">
      <c r="A447" s="1" t="s">
        <v>87</v>
      </c>
      <c r="B447" s="1" t="s">
        <v>103</v>
      </c>
      <c r="C447" s="1" t="s">
        <v>88</v>
      </c>
      <c r="D447" s="1" t="s">
        <v>104</v>
      </c>
      <c r="E447" s="1" t="s">
        <v>105</v>
      </c>
      <c r="F447" s="1" t="s">
        <v>106</v>
      </c>
      <c r="G447" s="1" t="s">
        <v>93</v>
      </c>
      <c r="H447" s="1" t="s">
        <v>107</v>
      </c>
      <c r="I447" s="1" t="s">
        <v>108</v>
      </c>
      <c r="J447" s="1" t="s">
        <v>109</v>
      </c>
      <c r="K447" s="1" t="s">
        <v>110</v>
      </c>
      <c r="L447" s="1" t="s">
        <v>21</v>
      </c>
      <c r="M447" s="1" t="s">
        <v>45</v>
      </c>
      <c r="N447" s="1" t="s">
        <v>111</v>
      </c>
      <c r="O447" s="2" t="s">
        <v>112</v>
      </c>
      <c r="P447" s="1" t="s">
        <v>113</v>
      </c>
    </row>
    <row r="448" spans="1:16" ht="15.75">
      <c r="A448" s="3">
        <v>1</v>
      </c>
      <c r="B448" s="4">
        <v>46196</v>
      </c>
      <c r="C448" s="3" t="s">
        <v>51</v>
      </c>
      <c r="D448" s="5" t="s">
        <v>70</v>
      </c>
      <c r="E448" s="5" t="s">
        <v>66</v>
      </c>
      <c r="F448" s="5" t="s">
        <v>67</v>
      </c>
      <c r="G448" s="5" t="s">
        <v>68</v>
      </c>
      <c r="H448" s="5">
        <v>8395916139</v>
      </c>
      <c r="I448" s="5">
        <v>800</v>
      </c>
      <c r="J448" s="3"/>
      <c r="K448" s="3"/>
      <c r="L448" s="3"/>
      <c r="M448" s="3"/>
      <c r="N448" s="3"/>
      <c r="O448" s="5">
        <v>21600</v>
      </c>
      <c r="P448" s="3"/>
    </row>
    <row r="449" spans="1:16" ht="15.75">
      <c r="A449" s="3">
        <v>2</v>
      </c>
      <c r="B449" s="4">
        <v>46196</v>
      </c>
      <c r="C449" s="3" t="s">
        <v>51</v>
      </c>
      <c r="D449" s="5" t="s">
        <v>73</v>
      </c>
      <c r="E449" s="5" t="s">
        <v>66</v>
      </c>
      <c r="F449" s="5" t="s">
        <v>71</v>
      </c>
      <c r="G449" s="5" t="s">
        <v>72</v>
      </c>
      <c r="H449" s="5">
        <v>7289049720</v>
      </c>
      <c r="I449" s="5">
        <v>750</v>
      </c>
      <c r="J449" s="3"/>
      <c r="K449" s="3"/>
      <c r="L449" s="3"/>
      <c r="M449" s="3"/>
      <c r="N449" s="3"/>
      <c r="O449" s="5">
        <v>14250</v>
      </c>
      <c r="P449" s="3"/>
    </row>
    <row r="450" spans="1:16" ht="15.75">
      <c r="A450" s="3">
        <v>3</v>
      </c>
      <c r="B450" s="4">
        <v>46196</v>
      </c>
      <c r="C450" s="3" t="s">
        <v>51</v>
      </c>
      <c r="D450" s="5" t="s">
        <v>79</v>
      </c>
      <c r="E450" s="5" t="s">
        <v>66</v>
      </c>
      <c r="F450" s="6" t="s">
        <v>77</v>
      </c>
      <c r="G450" s="6" t="s">
        <v>78</v>
      </c>
      <c r="H450" s="6">
        <v>7355817478</v>
      </c>
      <c r="I450" s="5">
        <v>750</v>
      </c>
      <c r="J450" s="3"/>
      <c r="K450" s="3"/>
      <c r="L450" s="3"/>
      <c r="M450" s="3"/>
      <c r="N450" s="3"/>
      <c r="O450" s="5">
        <v>14250</v>
      </c>
      <c r="P450" s="3"/>
    </row>
    <row r="451" spans="1:16" ht="15.75">
      <c r="A451" s="3">
        <v>4</v>
      </c>
      <c r="B451" s="4">
        <v>46196</v>
      </c>
      <c r="C451" s="3" t="s">
        <v>51</v>
      </c>
      <c r="D451" s="5" t="s">
        <v>82</v>
      </c>
      <c r="E451" s="6" t="s">
        <v>66</v>
      </c>
      <c r="F451" s="6" t="s">
        <v>80</v>
      </c>
      <c r="G451" s="6" t="s">
        <v>81</v>
      </c>
      <c r="H451" s="6">
        <v>7027566795</v>
      </c>
      <c r="I451" s="5">
        <v>800</v>
      </c>
      <c r="J451" s="3"/>
      <c r="K451" s="3"/>
      <c r="L451" s="3"/>
      <c r="M451" s="3"/>
      <c r="N451" s="3"/>
      <c r="O451" s="5">
        <v>21600</v>
      </c>
      <c r="P451" s="3"/>
    </row>
    <row r="452" spans="1:16" ht="15.75">
      <c r="A452" s="3">
        <v>5</v>
      </c>
      <c r="B452" s="4">
        <v>46196</v>
      </c>
      <c r="C452" s="3" t="s">
        <v>51</v>
      </c>
      <c r="D452" s="5" t="s">
        <v>85</v>
      </c>
      <c r="E452" s="6" t="s">
        <v>66</v>
      </c>
      <c r="F452" s="5" t="s">
        <v>83</v>
      </c>
      <c r="G452" s="5" t="s">
        <v>84</v>
      </c>
      <c r="H452" s="5">
        <v>9992825464</v>
      </c>
      <c r="I452" s="5">
        <v>800</v>
      </c>
      <c r="J452" s="3"/>
      <c r="K452" s="3"/>
      <c r="L452" s="3"/>
      <c r="M452" s="3"/>
      <c r="N452" s="3"/>
      <c r="O452" s="5">
        <v>21600</v>
      </c>
      <c r="P452" s="3"/>
    </row>
    <row r="453" spans="1:16" ht="15.75">
      <c r="A453" s="3">
        <v>6</v>
      </c>
      <c r="B453" s="4">
        <v>46196</v>
      </c>
      <c r="C453" s="3" t="s">
        <v>51</v>
      </c>
      <c r="D453" s="5" t="s">
        <v>114</v>
      </c>
      <c r="E453" s="10" t="s">
        <v>66</v>
      </c>
      <c r="F453" s="10" t="s">
        <v>120</v>
      </c>
      <c r="G453" s="10" t="s">
        <v>124</v>
      </c>
      <c r="H453" s="10">
        <v>8295596976</v>
      </c>
      <c r="I453" s="10">
        <v>750</v>
      </c>
      <c r="J453" s="3"/>
      <c r="K453" s="3"/>
      <c r="L453" s="3"/>
      <c r="M453" s="3"/>
      <c r="N453" s="3"/>
      <c r="O453" s="5">
        <v>14250</v>
      </c>
      <c r="P453" s="3"/>
    </row>
    <row r="454" spans="1:16" ht="15.75">
      <c r="A454" s="3">
        <v>7</v>
      </c>
      <c r="B454" s="4">
        <v>46196</v>
      </c>
      <c r="C454" s="3" t="s">
        <v>51</v>
      </c>
      <c r="D454" s="5" t="s">
        <v>115</v>
      </c>
      <c r="E454" s="10" t="s">
        <v>66</v>
      </c>
      <c r="F454" s="10" t="s">
        <v>121</v>
      </c>
      <c r="G454" s="10" t="s">
        <v>125</v>
      </c>
      <c r="H454" s="10">
        <v>8816907186</v>
      </c>
      <c r="I454" s="10">
        <v>750</v>
      </c>
      <c r="J454" s="3"/>
      <c r="K454" s="3"/>
      <c r="L454" s="3"/>
      <c r="M454" s="3"/>
      <c r="N454" s="3"/>
      <c r="O454" s="5">
        <v>14250</v>
      </c>
      <c r="P454" s="3"/>
    </row>
    <row r="455" spans="1:16" ht="15.75">
      <c r="A455" s="3">
        <v>8</v>
      </c>
      <c r="B455" s="4">
        <v>46196</v>
      </c>
      <c r="C455" s="3" t="s">
        <v>51</v>
      </c>
      <c r="D455" s="5" t="s">
        <v>145</v>
      </c>
      <c r="E455" s="5" t="s">
        <v>66</v>
      </c>
      <c r="F455" s="5" t="s">
        <v>83</v>
      </c>
      <c r="G455" s="5" t="s">
        <v>138</v>
      </c>
      <c r="H455" s="5">
        <v>9813610261</v>
      </c>
      <c r="I455" s="5">
        <v>800</v>
      </c>
      <c r="J455" s="3"/>
      <c r="K455" s="3"/>
      <c r="L455" s="3"/>
      <c r="M455" s="3"/>
      <c r="N455" s="3"/>
      <c r="O455" s="5">
        <v>22400</v>
      </c>
      <c r="P455" s="3"/>
    </row>
    <row r="456" spans="1:16" ht="15.75">
      <c r="A456" s="3">
        <v>9</v>
      </c>
      <c r="B456" s="4">
        <v>46196</v>
      </c>
      <c r="C456" s="3" t="s">
        <v>51</v>
      </c>
      <c r="D456" s="5" t="s">
        <v>147</v>
      </c>
      <c r="E456" s="5" t="s">
        <v>129</v>
      </c>
      <c r="F456" s="5" t="s">
        <v>132</v>
      </c>
      <c r="G456" s="5" t="s">
        <v>140</v>
      </c>
      <c r="H456" s="5">
        <v>8397037924</v>
      </c>
      <c r="I456" s="5">
        <v>800</v>
      </c>
      <c r="J456" s="3"/>
      <c r="K456" s="3"/>
      <c r="L456" s="3"/>
      <c r="M456" s="3"/>
      <c r="N456" s="3"/>
      <c r="O456" s="5">
        <v>22400</v>
      </c>
      <c r="P456" s="3"/>
    </row>
    <row r="457" spans="1:16" ht="15.75">
      <c r="A457" s="3">
        <v>10</v>
      </c>
      <c r="B457" s="4">
        <v>46196</v>
      </c>
      <c r="C457" s="3" t="s">
        <v>51</v>
      </c>
      <c r="D457" s="5" t="s">
        <v>151</v>
      </c>
      <c r="E457" s="5" t="s">
        <v>66</v>
      </c>
      <c r="F457" s="5" t="s">
        <v>136</v>
      </c>
      <c r="G457" s="5" t="s">
        <v>143</v>
      </c>
      <c r="H457" s="5">
        <v>9992969785</v>
      </c>
      <c r="I457" s="5">
        <v>800</v>
      </c>
      <c r="J457" s="3"/>
      <c r="K457" s="3"/>
      <c r="L457" s="3"/>
      <c r="M457" s="3"/>
      <c r="N457" s="3"/>
      <c r="O457" s="5">
        <v>22400</v>
      </c>
      <c r="P457" s="3"/>
    </row>
    <row r="458" spans="1:16" ht="15.75">
      <c r="A458" s="3">
        <v>11</v>
      </c>
      <c r="B458" s="4">
        <v>46196</v>
      </c>
      <c r="C458" s="3" t="s">
        <v>51</v>
      </c>
      <c r="D458" s="5" t="s">
        <v>190</v>
      </c>
      <c r="E458" s="10" t="s">
        <v>195</v>
      </c>
      <c r="F458" s="10" t="s">
        <v>184</v>
      </c>
      <c r="G458" s="10" t="s">
        <v>185</v>
      </c>
      <c r="H458" s="10">
        <v>9728976039</v>
      </c>
      <c r="I458" s="3">
        <v>750</v>
      </c>
      <c r="J458" s="3"/>
      <c r="K458" s="3"/>
      <c r="L458" s="3"/>
      <c r="M458" s="3"/>
      <c r="N458" s="3"/>
      <c r="O458" s="5">
        <v>16500</v>
      </c>
      <c r="P458" s="3"/>
    </row>
    <row r="459" spans="1:16" ht="15.75">
      <c r="A459" s="3">
        <v>12</v>
      </c>
      <c r="B459" s="4">
        <v>46196</v>
      </c>
      <c r="C459" s="3" t="s">
        <v>51</v>
      </c>
      <c r="D459" s="5" t="s">
        <v>191</v>
      </c>
      <c r="E459" s="10" t="s">
        <v>196</v>
      </c>
      <c r="F459" s="10" t="s">
        <v>186</v>
      </c>
      <c r="G459" s="10" t="s">
        <v>187</v>
      </c>
      <c r="H459" s="10">
        <v>9991073613</v>
      </c>
      <c r="I459" s="3">
        <v>750</v>
      </c>
      <c r="J459" s="3"/>
      <c r="K459" s="3"/>
      <c r="L459" s="3"/>
      <c r="M459" s="3"/>
      <c r="N459" s="3"/>
      <c r="O459" s="5">
        <v>16500</v>
      </c>
      <c r="P459" s="3"/>
    </row>
    <row r="460" spans="1:16" ht="15.75">
      <c r="A460" s="3">
        <v>13</v>
      </c>
      <c r="B460" s="4">
        <v>46196</v>
      </c>
      <c r="C460" s="3" t="s">
        <v>51</v>
      </c>
      <c r="D460" s="5" t="s">
        <v>192</v>
      </c>
      <c r="E460" s="10" t="s">
        <v>195</v>
      </c>
      <c r="F460" s="10" t="s">
        <v>188</v>
      </c>
      <c r="G460" s="10" t="s">
        <v>198</v>
      </c>
      <c r="H460" s="10">
        <v>8047377476</v>
      </c>
      <c r="I460" s="5">
        <v>800</v>
      </c>
      <c r="J460" s="3"/>
      <c r="K460" s="3"/>
      <c r="L460" s="3"/>
      <c r="M460" s="3"/>
      <c r="N460" s="3"/>
      <c r="O460" s="5">
        <v>24000</v>
      </c>
      <c r="P460" s="3"/>
    </row>
    <row r="461" spans="1:16" ht="15.75">
      <c r="A461" s="3">
        <v>14</v>
      </c>
      <c r="B461" s="4">
        <v>46196</v>
      </c>
      <c r="C461" s="3" t="s">
        <v>51</v>
      </c>
      <c r="D461" s="5" t="s">
        <v>193</v>
      </c>
      <c r="E461" s="10" t="s">
        <v>195</v>
      </c>
      <c r="F461" s="10" t="s">
        <v>83</v>
      </c>
      <c r="G461" s="10" t="s">
        <v>189</v>
      </c>
      <c r="H461" s="10">
        <v>8396804752</v>
      </c>
      <c r="I461" s="3">
        <v>750</v>
      </c>
      <c r="J461" s="3"/>
      <c r="K461" s="3"/>
      <c r="L461" s="3"/>
      <c r="M461" s="3"/>
      <c r="N461" s="3"/>
      <c r="O461" s="5">
        <v>16500</v>
      </c>
      <c r="P461" s="3"/>
    </row>
    <row r="462" spans="1:16" ht="15.75">
      <c r="A462" s="3">
        <v>15</v>
      </c>
      <c r="B462" s="4">
        <v>46196</v>
      </c>
      <c r="C462" s="3" t="s">
        <v>51</v>
      </c>
      <c r="D462" s="5" t="s">
        <v>207</v>
      </c>
      <c r="E462" s="10" t="s">
        <v>225</v>
      </c>
      <c r="F462" s="10" t="s">
        <v>213</v>
      </c>
      <c r="G462" s="10" t="s">
        <v>214</v>
      </c>
      <c r="H462" s="10">
        <v>9034419162</v>
      </c>
      <c r="I462" s="3">
        <v>750</v>
      </c>
      <c r="J462" s="3"/>
      <c r="K462" s="3"/>
      <c r="L462" s="3"/>
      <c r="M462" s="3"/>
      <c r="N462" s="3"/>
      <c r="O462" s="5">
        <v>16500</v>
      </c>
      <c r="P462" s="3"/>
    </row>
    <row r="463" spans="1:16" ht="15.75">
      <c r="A463" s="3">
        <v>16</v>
      </c>
      <c r="B463" s="4">
        <v>46196</v>
      </c>
      <c r="C463" s="3" t="s">
        <v>51</v>
      </c>
      <c r="D463" s="5" t="s">
        <v>209</v>
      </c>
      <c r="E463" s="10" t="s">
        <v>226</v>
      </c>
      <c r="F463" s="10" t="s">
        <v>217</v>
      </c>
      <c r="G463" s="10" t="s">
        <v>218</v>
      </c>
      <c r="H463" s="10">
        <v>9671740481</v>
      </c>
      <c r="I463" s="3">
        <v>750</v>
      </c>
      <c r="J463" s="3"/>
      <c r="K463" s="3"/>
      <c r="L463" s="3"/>
      <c r="M463" s="3"/>
      <c r="N463" s="3"/>
      <c r="O463" s="5">
        <v>16500</v>
      </c>
      <c r="P463" s="3"/>
    </row>
    <row r="464" spans="1:16" ht="15.75">
      <c r="A464" s="3">
        <v>17</v>
      </c>
      <c r="B464" s="4">
        <v>46196</v>
      </c>
      <c r="C464" s="3" t="s">
        <v>51</v>
      </c>
      <c r="D464" s="5" t="s">
        <v>210</v>
      </c>
      <c r="E464" s="10" t="s">
        <v>227</v>
      </c>
      <c r="F464" s="10" t="s">
        <v>219</v>
      </c>
      <c r="G464" s="10" t="s">
        <v>220</v>
      </c>
      <c r="H464" s="10">
        <v>9311797101</v>
      </c>
      <c r="I464" s="3">
        <v>750</v>
      </c>
      <c r="J464" s="3"/>
      <c r="K464" s="3"/>
      <c r="L464" s="3"/>
      <c r="M464" s="3"/>
      <c r="N464" s="3"/>
      <c r="O464" s="5">
        <v>16500</v>
      </c>
      <c r="P464" s="3"/>
    </row>
    <row r="465" spans="1:16" ht="15.75">
      <c r="A465" s="3">
        <v>18</v>
      </c>
      <c r="B465" s="4">
        <v>46196</v>
      </c>
      <c r="C465" s="3" t="s">
        <v>51</v>
      </c>
      <c r="D465" s="5" t="s">
        <v>211</v>
      </c>
      <c r="E465" s="10" t="s">
        <v>226</v>
      </c>
      <c r="F465" s="10" t="s">
        <v>221</v>
      </c>
      <c r="G465" s="10" t="s">
        <v>222</v>
      </c>
      <c r="H465" s="10">
        <v>7206610781</v>
      </c>
      <c r="I465" s="3">
        <v>750</v>
      </c>
      <c r="J465" s="3"/>
      <c r="K465" s="3"/>
      <c r="L465" s="3"/>
      <c r="M465" s="3"/>
      <c r="N465" s="3"/>
      <c r="O465" s="5">
        <v>16500</v>
      </c>
      <c r="P465" s="3"/>
    </row>
    <row r="466" spans="1:16" ht="15.75">
      <c r="A466" s="3">
        <v>19</v>
      </c>
      <c r="B466" s="4">
        <v>46196</v>
      </c>
      <c r="C466" s="3" t="s">
        <v>51</v>
      </c>
      <c r="D466" s="5" t="s">
        <v>212</v>
      </c>
      <c r="E466" s="10" t="s">
        <v>226</v>
      </c>
      <c r="F466" s="10" t="s">
        <v>223</v>
      </c>
      <c r="G466" s="10" t="s">
        <v>224</v>
      </c>
      <c r="H466" s="10">
        <v>8814045633</v>
      </c>
      <c r="I466" s="3">
        <v>750</v>
      </c>
      <c r="J466" s="3"/>
      <c r="K466" s="3"/>
      <c r="L466" s="3"/>
      <c r="M466" s="3"/>
      <c r="N466" s="3"/>
      <c r="O466" s="5">
        <v>16500</v>
      </c>
      <c r="P466" s="3"/>
    </row>
    <row r="467" spans="1:16" ht="15.75">
      <c r="A467" s="3">
        <v>20</v>
      </c>
      <c r="B467" s="4">
        <v>46196</v>
      </c>
      <c r="C467" s="3" t="s">
        <v>51</v>
      </c>
      <c r="D467" s="5" t="s">
        <v>228</v>
      </c>
      <c r="E467" s="3" t="s">
        <v>229</v>
      </c>
      <c r="F467" s="10" t="s">
        <v>165</v>
      </c>
      <c r="G467" s="10" t="s">
        <v>198</v>
      </c>
      <c r="H467" s="10" t="s">
        <v>230</v>
      </c>
      <c r="I467" s="3">
        <v>750</v>
      </c>
      <c r="J467" s="3"/>
      <c r="K467" s="3"/>
      <c r="L467" s="3"/>
      <c r="M467" s="3"/>
      <c r="N467" s="3"/>
      <c r="O467" s="5">
        <v>16500</v>
      </c>
      <c r="P467" s="3"/>
    </row>
    <row r="468" spans="1:16" ht="15.75">
      <c r="A468" s="3">
        <v>21</v>
      </c>
      <c r="B468" s="4">
        <v>46196</v>
      </c>
      <c r="C468" s="3" t="s">
        <v>51</v>
      </c>
      <c r="D468" s="5" t="s">
        <v>233</v>
      </c>
      <c r="E468" s="10" t="s">
        <v>49</v>
      </c>
      <c r="F468" s="10" t="s">
        <v>231</v>
      </c>
      <c r="G468" s="10" t="s">
        <v>142</v>
      </c>
      <c r="H468" s="10">
        <v>7497855174</v>
      </c>
      <c r="I468" s="3">
        <v>750</v>
      </c>
      <c r="J468" s="3"/>
      <c r="K468" s="3"/>
      <c r="L468" s="3"/>
      <c r="M468" s="3"/>
      <c r="N468" s="3"/>
      <c r="O468" s="5">
        <v>17250</v>
      </c>
      <c r="P468" s="3"/>
    </row>
    <row r="469" spans="1:16" ht="15.75">
      <c r="A469" s="3">
        <v>22</v>
      </c>
      <c r="B469" s="4">
        <v>46196</v>
      </c>
      <c r="C469" s="3" t="s">
        <v>51</v>
      </c>
      <c r="D469" s="5" t="s">
        <v>234</v>
      </c>
      <c r="E469" s="10" t="s">
        <v>196</v>
      </c>
      <c r="F469" s="10" t="s">
        <v>232</v>
      </c>
      <c r="G469" s="10" t="s">
        <v>235</v>
      </c>
      <c r="H469" s="10">
        <v>9817633128</v>
      </c>
      <c r="I469" s="3">
        <v>800</v>
      </c>
      <c r="J469" s="3"/>
      <c r="K469" s="3"/>
      <c r="L469" s="3"/>
      <c r="M469" s="3"/>
      <c r="N469" s="3"/>
      <c r="O469" s="5">
        <v>24800</v>
      </c>
      <c r="P469" s="3"/>
    </row>
    <row r="470" spans="1:16" ht="15.75">
      <c r="A470" s="3">
        <v>23</v>
      </c>
      <c r="B470" s="4">
        <v>46196</v>
      </c>
      <c r="C470" s="3" t="s">
        <v>51</v>
      </c>
      <c r="D470" s="5" t="s">
        <v>236</v>
      </c>
      <c r="E470" s="10" t="s">
        <v>238</v>
      </c>
      <c r="F470" s="10" t="s">
        <v>180</v>
      </c>
      <c r="G470" s="10" t="s">
        <v>240</v>
      </c>
      <c r="H470" s="10">
        <v>9728727855</v>
      </c>
      <c r="I470" s="3">
        <v>750</v>
      </c>
      <c r="J470" s="3"/>
      <c r="K470" s="3"/>
      <c r="L470" s="3"/>
      <c r="M470" s="3"/>
      <c r="N470" s="3"/>
      <c r="O470" s="5">
        <v>17250</v>
      </c>
      <c r="P470" s="3"/>
    </row>
    <row r="471" spans="1:16" ht="15.75">
      <c r="A471" s="3">
        <v>24</v>
      </c>
      <c r="B471" s="4">
        <v>46196</v>
      </c>
      <c r="C471" s="3" t="s">
        <v>51</v>
      </c>
      <c r="D471" s="5" t="s">
        <v>237</v>
      </c>
      <c r="E471" s="10" t="s">
        <v>238</v>
      </c>
      <c r="F471" s="10" t="s">
        <v>239</v>
      </c>
      <c r="G471" s="10" t="s">
        <v>241</v>
      </c>
      <c r="H471" s="10">
        <v>9813575389</v>
      </c>
      <c r="I471" s="3">
        <v>800</v>
      </c>
      <c r="J471" s="3"/>
      <c r="K471" s="3"/>
      <c r="L471" s="3"/>
      <c r="M471" s="3"/>
      <c r="N471" s="3"/>
      <c r="O471" s="5">
        <v>24800</v>
      </c>
      <c r="P471" s="3"/>
    </row>
    <row r="472" spans="1:16" ht="15.75">
      <c r="A472" s="3">
        <v>25</v>
      </c>
      <c r="B472" s="4">
        <v>46196</v>
      </c>
      <c r="C472" s="3" t="s">
        <v>51</v>
      </c>
      <c r="D472" s="5" t="s">
        <v>242</v>
      </c>
      <c r="E472" s="10" t="s">
        <v>226</v>
      </c>
      <c r="F472" s="10" t="s">
        <v>246</v>
      </c>
      <c r="G472" s="10" t="s">
        <v>249</v>
      </c>
      <c r="H472" s="10">
        <v>9997650988</v>
      </c>
      <c r="I472" s="3">
        <v>750</v>
      </c>
      <c r="J472" s="3"/>
      <c r="K472" s="3"/>
      <c r="L472" s="3"/>
      <c r="M472" s="3"/>
      <c r="N472" s="3"/>
      <c r="O472" s="5">
        <v>17250</v>
      </c>
      <c r="P472" s="3"/>
    </row>
    <row r="473" spans="1:16" ht="15.75">
      <c r="A473" s="3">
        <v>26</v>
      </c>
      <c r="B473" s="4">
        <v>46196</v>
      </c>
      <c r="C473" s="3" t="s">
        <v>51</v>
      </c>
      <c r="D473" s="5" t="s">
        <v>243</v>
      </c>
      <c r="E473" s="10" t="s">
        <v>225</v>
      </c>
      <c r="F473" s="10" t="s">
        <v>247</v>
      </c>
      <c r="G473" s="10" t="s">
        <v>250</v>
      </c>
      <c r="H473" s="10">
        <v>8607470754</v>
      </c>
      <c r="I473" s="3">
        <v>800</v>
      </c>
      <c r="J473" s="3"/>
      <c r="K473" s="3"/>
      <c r="L473" s="3"/>
      <c r="M473" s="3"/>
      <c r="N473" s="3"/>
      <c r="O473" s="5">
        <v>24800</v>
      </c>
      <c r="P473" s="3"/>
    </row>
    <row r="474" spans="1:16" ht="15.75">
      <c r="A474" s="3">
        <v>27</v>
      </c>
      <c r="B474" s="4">
        <v>46196</v>
      </c>
      <c r="C474" s="3" t="s">
        <v>51</v>
      </c>
      <c r="D474" s="5" t="s">
        <v>244</v>
      </c>
      <c r="E474" s="10" t="s">
        <v>226</v>
      </c>
      <c r="F474" s="10" t="s">
        <v>248</v>
      </c>
      <c r="G474" s="10" t="s">
        <v>251</v>
      </c>
      <c r="H474" s="10">
        <v>8929903323</v>
      </c>
      <c r="I474" s="3">
        <v>800</v>
      </c>
      <c r="J474" s="3"/>
      <c r="K474" s="3"/>
      <c r="L474" s="3"/>
      <c r="M474" s="3"/>
      <c r="N474" s="3"/>
      <c r="O474" s="5">
        <v>24800</v>
      </c>
      <c r="P474" s="3"/>
    </row>
    <row r="475" spans="1:16" ht="15.75">
      <c r="A475" s="3">
        <v>28</v>
      </c>
      <c r="B475" s="4">
        <v>46196</v>
      </c>
      <c r="C475" s="3" t="s">
        <v>51</v>
      </c>
      <c r="D475" s="5" t="s">
        <v>252</v>
      </c>
      <c r="E475" s="10" t="s">
        <v>226</v>
      </c>
      <c r="F475" s="10" t="s">
        <v>120</v>
      </c>
      <c r="G475" s="10" t="s">
        <v>253</v>
      </c>
      <c r="H475" s="10">
        <v>8930304731</v>
      </c>
      <c r="I475" s="3">
        <v>800</v>
      </c>
      <c r="J475" s="3"/>
      <c r="K475" s="3"/>
      <c r="L475" s="3"/>
      <c r="M475" s="3"/>
      <c r="N475" s="3"/>
      <c r="O475" s="5">
        <v>24800</v>
      </c>
      <c r="P475" s="3"/>
    </row>
    <row r="476" spans="1:16" ht="15.75">
      <c r="A476" s="3">
        <v>29</v>
      </c>
      <c r="B476" s="4">
        <v>46196</v>
      </c>
      <c r="C476" s="3" t="s">
        <v>51</v>
      </c>
      <c r="D476" s="5" t="s">
        <v>256</v>
      </c>
      <c r="E476" s="10" t="s">
        <v>257</v>
      </c>
      <c r="F476" s="10" t="s">
        <v>258</v>
      </c>
      <c r="G476" s="10" t="s">
        <v>259</v>
      </c>
      <c r="H476" s="10">
        <v>7355860393</v>
      </c>
      <c r="I476" s="3">
        <v>750</v>
      </c>
      <c r="J476" s="3"/>
      <c r="K476" s="3"/>
      <c r="L476" s="3"/>
      <c r="M476" s="3"/>
      <c r="N476" s="3"/>
      <c r="O476" s="5">
        <v>17250</v>
      </c>
      <c r="P476" s="3"/>
    </row>
    <row r="477" spans="1:16" ht="15.75">
      <c r="A477" s="3">
        <v>30</v>
      </c>
      <c r="B477" s="4">
        <v>46196</v>
      </c>
      <c r="C477" s="3" t="s">
        <v>51</v>
      </c>
      <c r="D477" s="5" t="s">
        <v>263</v>
      </c>
      <c r="E477" s="10" t="s">
        <v>196</v>
      </c>
      <c r="F477" s="10" t="s">
        <v>260</v>
      </c>
      <c r="G477" s="10" t="s">
        <v>268</v>
      </c>
      <c r="H477" s="10">
        <v>8936838477</v>
      </c>
      <c r="I477" s="3">
        <v>750</v>
      </c>
      <c r="J477" s="3"/>
      <c r="K477" s="3"/>
      <c r="L477" s="3"/>
      <c r="M477" s="3"/>
      <c r="N477" s="3"/>
      <c r="O477" s="5">
        <v>18000</v>
      </c>
      <c r="P477" s="3"/>
    </row>
    <row r="478" spans="1:16" ht="15.75">
      <c r="A478" s="3">
        <v>31</v>
      </c>
      <c r="B478" s="4">
        <v>46196</v>
      </c>
      <c r="C478" s="3" t="s">
        <v>51</v>
      </c>
      <c r="D478" s="5" t="s">
        <v>266</v>
      </c>
      <c r="E478" s="10" t="s">
        <v>196</v>
      </c>
      <c r="F478" s="10" t="s">
        <v>239</v>
      </c>
      <c r="G478" s="10" t="s">
        <v>235</v>
      </c>
      <c r="H478" s="10">
        <v>9728139162</v>
      </c>
      <c r="I478" s="3">
        <v>750</v>
      </c>
      <c r="J478" s="3"/>
      <c r="K478" s="3"/>
      <c r="L478" s="3"/>
      <c r="M478" s="3"/>
      <c r="N478" s="3"/>
      <c r="O478" s="5">
        <v>18000</v>
      </c>
      <c r="P478" s="3"/>
    </row>
    <row r="479" spans="1:16" ht="15.75">
      <c r="A479" s="3">
        <v>32</v>
      </c>
      <c r="B479" s="4">
        <v>46196</v>
      </c>
      <c r="C479" s="3" t="s">
        <v>51</v>
      </c>
      <c r="D479" s="5" t="s">
        <v>288</v>
      </c>
      <c r="E479" s="3" t="s">
        <v>290</v>
      </c>
      <c r="F479" s="3" t="s">
        <v>180</v>
      </c>
      <c r="G479" s="3" t="s">
        <v>295</v>
      </c>
      <c r="H479" s="3">
        <v>9671443722</v>
      </c>
      <c r="I479" s="3">
        <v>800</v>
      </c>
      <c r="J479" s="3"/>
      <c r="K479" s="3"/>
      <c r="L479" s="3"/>
      <c r="M479" s="3"/>
      <c r="N479" s="3"/>
      <c r="O479" s="5">
        <v>27200</v>
      </c>
      <c r="P479" s="3"/>
    </row>
    <row r="480" spans="1:16" ht="15.75">
      <c r="A480" s="3">
        <v>33</v>
      </c>
      <c r="B480" s="4">
        <v>46196</v>
      </c>
      <c r="C480" s="3" t="s">
        <v>51</v>
      </c>
      <c r="D480" s="5" t="s">
        <v>289</v>
      </c>
      <c r="E480" s="3" t="s">
        <v>291</v>
      </c>
      <c r="F480" s="3" t="s">
        <v>292</v>
      </c>
      <c r="G480" s="3" t="s">
        <v>296</v>
      </c>
      <c r="H480" s="3">
        <v>9343799675</v>
      </c>
      <c r="I480" s="3">
        <v>800</v>
      </c>
      <c r="J480" s="3"/>
      <c r="K480" s="3"/>
      <c r="L480" s="3"/>
      <c r="M480" s="3"/>
      <c r="N480" s="3"/>
      <c r="O480" s="5">
        <v>26400</v>
      </c>
      <c r="P480" s="3"/>
    </row>
    <row r="481" spans="1:16" ht="15.75">
      <c r="A481" s="3">
        <v>34</v>
      </c>
      <c r="B481" s="4">
        <v>46196</v>
      </c>
      <c r="C481" s="3" t="s">
        <v>51</v>
      </c>
      <c r="D481" s="5" t="s">
        <v>298</v>
      </c>
      <c r="E481" s="3" t="s">
        <v>300</v>
      </c>
      <c r="F481" s="3" t="s">
        <v>71</v>
      </c>
      <c r="G481" s="3" t="s">
        <v>302</v>
      </c>
      <c r="H481" s="3">
        <v>7056212672</v>
      </c>
      <c r="I481" s="3">
        <v>750</v>
      </c>
      <c r="J481" s="3"/>
      <c r="K481" s="3"/>
      <c r="L481" s="3"/>
      <c r="M481" s="3"/>
      <c r="N481" s="3"/>
      <c r="O481" s="5">
        <v>18750</v>
      </c>
      <c r="P481" s="3"/>
    </row>
    <row r="482" spans="1:16" ht="15.75">
      <c r="A482" s="3">
        <v>35</v>
      </c>
      <c r="B482" s="4">
        <v>46196</v>
      </c>
      <c r="C482" s="3" t="s">
        <v>51</v>
      </c>
      <c r="D482" s="5" t="s">
        <v>306</v>
      </c>
      <c r="E482" s="3" t="s">
        <v>308</v>
      </c>
      <c r="F482" s="3" t="s">
        <v>165</v>
      </c>
      <c r="G482" s="3" t="s">
        <v>310</v>
      </c>
      <c r="H482" s="3">
        <v>9971836202</v>
      </c>
      <c r="I482" s="3">
        <v>800</v>
      </c>
      <c r="J482" s="3"/>
      <c r="K482" s="3"/>
      <c r="L482" s="3"/>
      <c r="M482" s="3"/>
      <c r="N482" s="3"/>
      <c r="O482" s="6">
        <v>27200</v>
      </c>
      <c r="P482" s="3"/>
    </row>
    <row r="483" spans="1:16" ht="15.75">
      <c r="A483" s="3">
        <v>36</v>
      </c>
      <c r="B483" s="4">
        <v>46196</v>
      </c>
      <c r="C483" s="3" t="s">
        <v>51</v>
      </c>
      <c r="D483" s="5" t="s">
        <v>307</v>
      </c>
      <c r="E483" s="3" t="s">
        <v>309</v>
      </c>
      <c r="F483" s="3" t="s">
        <v>305</v>
      </c>
      <c r="G483" s="3" t="s">
        <v>54</v>
      </c>
      <c r="H483" s="3">
        <v>8307951615</v>
      </c>
      <c r="I483" s="3">
        <v>1000</v>
      </c>
      <c r="J483" s="3"/>
      <c r="K483" s="3"/>
      <c r="L483" s="3"/>
      <c r="M483" s="3"/>
      <c r="N483" s="3"/>
      <c r="O483" s="6">
        <v>27000</v>
      </c>
      <c r="P483" s="3"/>
    </row>
    <row r="484" spans="1:16" ht="15.75">
      <c r="A484" s="3">
        <v>37</v>
      </c>
      <c r="B484" s="4">
        <v>46196</v>
      </c>
      <c r="C484" s="3" t="s">
        <v>51</v>
      </c>
      <c r="D484" s="5" t="s">
        <v>313</v>
      </c>
      <c r="E484" s="3" t="s">
        <v>314</v>
      </c>
      <c r="F484" s="3" t="s">
        <v>311</v>
      </c>
      <c r="G484" s="3" t="s">
        <v>316</v>
      </c>
      <c r="H484" s="3">
        <v>8053115922</v>
      </c>
      <c r="I484" s="3">
        <v>1000</v>
      </c>
      <c r="J484" s="3"/>
      <c r="K484" s="3"/>
      <c r="L484" s="3"/>
      <c r="M484" s="3"/>
      <c r="N484" s="3"/>
      <c r="O484" s="6">
        <v>27000</v>
      </c>
      <c r="P484" s="3"/>
    </row>
    <row r="485" spans="1:16" ht="15.75">
      <c r="A485" s="3">
        <v>38</v>
      </c>
      <c r="B485" s="4">
        <v>46196</v>
      </c>
      <c r="C485" s="3" t="s">
        <v>51</v>
      </c>
      <c r="D485" s="5" t="s">
        <v>324</v>
      </c>
      <c r="E485" s="3" t="s">
        <v>130</v>
      </c>
      <c r="F485" s="3" t="s">
        <v>317</v>
      </c>
      <c r="G485" s="3" t="s">
        <v>318</v>
      </c>
      <c r="H485" s="3">
        <v>9034416529</v>
      </c>
      <c r="I485" s="3">
        <v>1000</v>
      </c>
      <c r="J485" s="3"/>
      <c r="K485" s="3"/>
      <c r="L485" s="3"/>
      <c r="M485" s="3"/>
      <c r="N485" s="3"/>
      <c r="O485" s="6">
        <v>27000</v>
      </c>
      <c r="P485" s="3"/>
    </row>
    <row r="486" spans="1:16" ht="15.75">
      <c r="A486" s="3">
        <v>39</v>
      </c>
      <c r="B486" s="4">
        <v>46196</v>
      </c>
      <c r="C486" s="3" t="s">
        <v>51</v>
      </c>
      <c r="D486" s="5" t="s">
        <v>325</v>
      </c>
      <c r="E486" s="3" t="s">
        <v>130</v>
      </c>
      <c r="F486" s="3" t="s">
        <v>319</v>
      </c>
      <c r="G486" s="3" t="s">
        <v>320</v>
      </c>
      <c r="H486" s="3">
        <v>9728411675</v>
      </c>
      <c r="I486" s="3">
        <v>1000</v>
      </c>
      <c r="J486" s="3"/>
      <c r="K486" s="3"/>
      <c r="L486" s="3"/>
      <c r="M486" s="3"/>
      <c r="N486" s="3"/>
      <c r="O486" s="6">
        <v>27000</v>
      </c>
      <c r="P486" s="3"/>
    </row>
    <row r="487" spans="1:16" ht="15.75">
      <c r="A487" s="3">
        <v>40</v>
      </c>
      <c r="B487" s="4">
        <v>46196</v>
      </c>
      <c r="C487" s="3" t="s">
        <v>51</v>
      </c>
      <c r="D487" s="5" t="s">
        <v>326</v>
      </c>
      <c r="E487" s="3" t="s">
        <v>130</v>
      </c>
      <c r="F487" s="3" t="s">
        <v>321</v>
      </c>
      <c r="G487" s="3" t="s">
        <v>322</v>
      </c>
      <c r="H487" s="3">
        <v>9034416529</v>
      </c>
      <c r="I487" s="3">
        <v>1000</v>
      </c>
      <c r="J487" s="3"/>
      <c r="K487" s="3"/>
      <c r="L487" s="3"/>
      <c r="M487" s="3"/>
      <c r="N487" s="3"/>
      <c r="O487" s="6">
        <v>27000</v>
      </c>
      <c r="P487" s="3"/>
    </row>
    <row r="488" spans="1:16" ht="15.75">
      <c r="A488" s="3">
        <v>41</v>
      </c>
      <c r="B488" s="4">
        <v>46196</v>
      </c>
      <c r="C488" s="3" t="s">
        <v>51</v>
      </c>
      <c r="D488" s="5" t="s">
        <v>327</v>
      </c>
      <c r="E488" s="3" t="s">
        <v>300</v>
      </c>
      <c r="F488" s="3" t="s">
        <v>180</v>
      </c>
      <c r="G488" s="3" t="s">
        <v>78</v>
      </c>
      <c r="H488" s="3">
        <v>7027786391</v>
      </c>
      <c r="I488" s="3">
        <v>1000</v>
      </c>
      <c r="J488" s="3"/>
      <c r="K488" s="3"/>
      <c r="L488" s="3"/>
      <c r="M488" s="3"/>
      <c r="N488" s="3"/>
      <c r="O488" s="6">
        <v>27000</v>
      </c>
      <c r="P488" s="3"/>
    </row>
    <row r="489" spans="1:16" ht="15.75">
      <c r="A489" s="3">
        <v>42</v>
      </c>
      <c r="B489" s="4">
        <v>46196</v>
      </c>
      <c r="C489" s="3" t="s">
        <v>51</v>
      </c>
      <c r="D489" s="5" t="s">
        <v>328</v>
      </c>
      <c r="E489" s="3" t="s">
        <v>130</v>
      </c>
      <c r="F489" s="3" t="s">
        <v>323</v>
      </c>
      <c r="G489" s="3" t="s">
        <v>126</v>
      </c>
      <c r="H489" s="3">
        <v>9996695743</v>
      </c>
      <c r="I489" s="3">
        <v>1000</v>
      </c>
      <c r="J489" s="3"/>
      <c r="K489" s="3"/>
      <c r="L489" s="3"/>
      <c r="M489" s="3"/>
      <c r="N489" s="3"/>
      <c r="O489" s="6">
        <v>27000</v>
      </c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>
        <f>SUM(I448:I490)</f>
        <v>34000</v>
      </c>
      <c r="J491" s="3"/>
      <c r="K491" s="3"/>
      <c r="L491" s="3"/>
      <c r="M491" s="3"/>
      <c r="N491" s="3"/>
      <c r="O491" s="3">
        <f>SUM(O448:O490)</f>
        <v>879050</v>
      </c>
      <c r="P491" s="3"/>
    </row>
    <row r="497" spans="1:16" ht="27.75">
      <c r="A497" s="142" t="s">
        <v>102</v>
      </c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</row>
    <row r="498" spans="1:16" ht="75">
      <c r="A498" s="1" t="s">
        <v>87</v>
      </c>
      <c r="B498" s="1" t="s">
        <v>103</v>
      </c>
      <c r="C498" s="1" t="s">
        <v>88</v>
      </c>
      <c r="D498" s="1" t="s">
        <v>104</v>
      </c>
      <c r="E498" s="1" t="s">
        <v>105</v>
      </c>
      <c r="F498" s="1" t="s">
        <v>106</v>
      </c>
      <c r="G498" s="1" t="s">
        <v>93</v>
      </c>
      <c r="H498" s="1" t="s">
        <v>107</v>
      </c>
      <c r="I498" s="1" t="s">
        <v>108</v>
      </c>
      <c r="J498" s="1" t="s">
        <v>109</v>
      </c>
      <c r="K498" s="1" t="s">
        <v>110</v>
      </c>
      <c r="L498" s="1" t="s">
        <v>21</v>
      </c>
      <c r="M498" s="1" t="s">
        <v>45</v>
      </c>
      <c r="N498" s="1" t="s">
        <v>111</v>
      </c>
      <c r="O498" s="2" t="s">
        <v>112</v>
      </c>
      <c r="P498" s="1" t="s">
        <v>113</v>
      </c>
    </row>
    <row r="499" spans="1:16" ht="15.75">
      <c r="A499" s="8">
        <v>1</v>
      </c>
      <c r="B499" s="68">
        <v>46197</v>
      </c>
      <c r="C499" s="8" t="s">
        <v>51</v>
      </c>
      <c r="D499" s="5" t="s">
        <v>56</v>
      </c>
      <c r="E499" s="5" t="s">
        <v>49</v>
      </c>
      <c r="F499" s="5" t="s">
        <v>53</v>
      </c>
      <c r="G499" s="5" t="s">
        <v>54</v>
      </c>
      <c r="H499" s="5">
        <v>9416205447</v>
      </c>
      <c r="I499" s="5">
        <v>750</v>
      </c>
      <c r="J499" s="8"/>
      <c r="K499" s="8"/>
      <c r="L499" s="8"/>
      <c r="M499" s="8"/>
      <c r="N499" s="8"/>
      <c r="O499" s="8"/>
      <c r="P499" s="8"/>
    </row>
    <row r="500" spans="1:16" ht="15.75">
      <c r="A500" s="8">
        <v>2</v>
      </c>
      <c r="B500" s="68">
        <v>46197</v>
      </c>
      <c r="C500" s="8" t="s">
        <v>51</v>
      </c>
      <c r="D500" s="5" t="s">
        <v>61</v>
      </c>
      <c r="E500" s="5" t="s">
        <v>58</v>
      </c>
      <c r="F500" s="5" t="s">
        <v>59</v>
      </c>
      <c r="G500" s="5" t="s">
        <v>60</v>
      </c>
      <c r="H500" s="5">
        <v>7082390753</v>
      </c>
      <c r="I500" s="5">
        <v>750</v>
      </c>
      <c r="J500" s="8"/>
      <c r="K500" s="8"/>
      <c r="L500" s="8"/>
      <c r="M500" s="8"/>
      <c r="N500" s="8"/>
      <c r="O500" s="8"/>
      <c r="P500" s="8"/>
    </row>
    <row r="501" spans="1:16" ht="15.75">
      <c r="A501" s="8">
        <v>3</v>
      </c>
      <c r="B501" s="68">
        <v>46197</v>
      </c>
      <c r="C501" s="8" t="s">
        <v>51</v>
      </c>
      <c r="D501" s="5" t="s">
        <v>65</v>
      </c>
      <c r="E501" s="5" t="s">
        <v>62</v>
      </c>
      <c r="F501" s="5" t="s">
        <v>63</v>
      </c>
      <c r="G501" s="5" t="s">
        <v>64</v>
      </c>
      <c r="H501" s="5">
        <v>9050560127</v>
      </c>
      <c r="I501" s="5">
        <v>750</v>
      </c>
      <c r="J501" s="8"/>
      <c r="K501" s="8"/>
      <c r="L501" s="8"/>
      <c r="M501" s="8"/>
      <c r="N501" s="8"/>
      <c r="O501" s="8"/>
      <c r="P501" s="8"/>
    </row>
    <row r="502" spans="1:16" ht="15.75">
      <c r="A502" s="8">
        <v>4</v>
      </c>
      <c r="B502" s="68">
        <v>46197</v>
      </c>
      <c r="C502" s="8" t="s">
        <v>51</v>
      </c>
      <c r="D502" s="5" t="s">
        <v>76</v>
      </c>
      <c r="E502" s="5" t="s">
        <v>62</v>
      </c>
      <c r="F502" s="6" t="s">
        <v>74</v>
      </c>
      <c r="G502" s="6" t="s">
        <v>75</v>
      </c>
      <c r="H502" s="6">
        <v>8607782625</v>
      </c>
      <c r="I502" s="5">
        <v>750</v>
      </c>
      <c r="J502" s="8"/>
      <c r="K502" s="8"/>
      <c r="L502" s="8"/>
      <c r="M502" s="8"/>
      <c r="N502" s="8"/>
      <c r="O502" s="8"/>
      <c r="P502" s="8"/>
    </row>
    <row r="503" spans="1:16" ht="15.75">
      <c r="A503" s="8">
        <v>5</v>
      </c>
      <c r="B503" s="68">
        <v>46197</v>
      </c>
      <c r="C503" s="8" t="s">
        <v>51</v>
      </c>
      <c r="D503" s="5" t="s">
        <v>116</v>
      </c>
      <c r="E503" s="10" t="s">
        <v>118</v>
      </c>
      <c r="F503" s="10" t="s">
        <v>122</v>
      </c>
      <c r="G503" s="10" t="s">
        <v>126</v>
      </c>
      <c r="H503" s="10">
        <v>9971164371</v>
      </c>
      <c r="I503" s="10">
        <v>750</v>
      </c>
      <c r="J503" s="8"/>
      <c r="K503" s="8"/>
      <c r="L503" s="8"/>
      <c r="M503" s="8"/>
      <c r="N503" s="8"/>
      <c r="O503" s="8"/>
      <c r="P503" s="8"/>
    </row>
    <row r="504" spans="1:16" ht="15.75">
      <c r="A504" s="8">
        <v>6</v>
      </c>
      <c r="B504" s="68">
        <v>46197</v>
      </c>
      <c r="C504" s="8" t="s">
        <v>51</v>
      </c>
      <c r="D504" s="5" t="s">
        <v>117</v>
      </c>
      <c r="E504" s="10" t="s">
        <v>119</v>
      </c>
      <c r="F504" s="10" t="s">
        <v>123</v>
      </c>
      <c r="G504" s="10" t="s">
        <v>127</v>
      </c>
      <c r="H504" s="10">
        <v>8816966347</v>
      </c>
      <c r="I504" s="10">
        <v>750</v>
      </c>
      <c r="J504" s="8"/>
      <c r="K504" s="8"/>
      <c r="L504" s="8"/>
      <c r="M504" s="8"/>
      <c r="N504" s="8"/>
      <c r="O504" s="8"/>
      <c r="P504" s="8"/>
    </row>
    <row r="505" spans="1:16" ht="15.75">
      <c r="A505" s="8">
        <v>7</v>
      </c>
      <c r="B505" s="68">
        <v>46197</v>
      </c>
      <c r="C505" s="8" t="s">
        <v>51</v>
      </c>
      <c r="D505" s="5" t="s">
        <v>146</v>
      </c>
      <c r="E505" s="5" t="s">
        <v>128</v>
      </c>
      <c r="F505" s="5" t="s">
        <v>131</v>
      </c>
      <c r="G505" s="5" t="s">
        <v>139</v>
      </c>
      <c r="H505" s="5">
        <v>8295428639</v>
      </c>
      <c r="I505" s="5">
        <v>800</v>
      </c>
      <c r="J505" s="8"/>
      <c r="K505" s="8"/>
      <c r="L505" s="8"/>
      <c r="M505" s="8"/>
      <c r="N505" s="8"/>
      <c r="O505" s="8"/>
      <c r="P505" s="8"/>
    </row>
    <row r="506" spans="1:16" ht="15.75">
      <c r="A506" s="8">
        <v>8</v>
      </c>
      <c r="B506" s="68">
        <v>46197</v>
      </c>
      <c r="C506" s="8" t="s">
        <v>51</v>
      </c>
      <c r="D506" s="5" t="s">
        <v>148</v>
      </c>
      <c r="E506" s="5" t="s">
        <v>130</v>
      </c>
      <c r="F506" s="5" t="s">
        <v>133</v>
      </c>
      <c r="G506" s="5" t="s">
        <v>68</v>
      </c>
      <c r="H506" s="5">
        <v>9050180519</v>
      </c>
      <c r="I506" s="6">
        <v>750</v>
      </c>
      <c r="J506" s="8"/>
      <c r="K506" s="8"/>
      <c r="L506" s="8"/>
      <c r="M506" s="8"/>
      <c r="N506" s="8"/>
      <c r="O506" s="8"/>
      <c r="P506" s="8"/>
    </row>
    <row r="507" spans="1:16" ht="15.75">
      <c r="A507" s="8">
        <v>9</v>
      </c>
      <c r="B507" s="68">
        <v>46197</v>
      </c>
      <c r="C507" s="8" t="s">
        <v>51</v>
      </c>
      <c r="D507" s="5" t="s">
        <v>149</v>
      </c>
      <c r="E507" s="5" t="s">
        <v>119</v>
      </c>
      <c r="F507" s="5" t="s">
        <v>134</v>
      </c>
      <c r="G507" s="5" t="s">
        <v>141</v>
      </c>
      <c r="H507" s="5">
        <v>9671597235</v>
      </c>
      <c r="I507" s="5">
        <v>800</v>
      </c>
      <c r="J507" s="8"/>
      <c r="K507" s="8"/>
      <c r="L507" s="8"/>
      <c r="M507" s="8"/>
      <c r="N507" s="8"/>
      <c r="O507" s="8"/>
      <c r="P507" s="8"/>
    </row>
    <row r="508" spans="1:16" ht="15.75">
      <c r="A508" s="8">
        <v>10</v>
      </c>
      <c r="B508" s="68">
        <v>46197</v>
      </c>
      <c r="C508" s="8" t="s">
        <v>51</v>
      </c>
      <c r="D508" s="5" t="s">
        <v>150</v>
      </c>
      <c r="E508" s="5" t="s">
        <v>119</v>
      </c>
      <c r="F508" s="5" t="s">
        <v>135</v>
      </c>
      <c r="G508" s="5" t="s">
        <v>142</v>
      </c>
      <c r="H508" s="5">
        <v>9729501850</v>
      </c>
      <c r="I508" s="5">
        <v>800</v>
      </c>
      <c r="J508" s="8"/>
      <c r="K508" s="8"/>
      <c r="L508" s="8"/>
      <c r="M508" s="8"/>
      <c r="N508" s="8"/>
      <c r="O508" s="8"/>
      <c r="P508" s="8"/>
    </row>
    <row r="509" spans="1:16" ht="15.75">
      <c r="A509" s="8">
        <v>11</v>
      </c>
      <c r="B509" s="68">
        <v>46197</v>
      </c>
      <c r="C509" s="8" t="s">
        <v>51</v>
      </c>
      <c r="D509" s="5" t="s">
        <v>152</v>
      </c>
      <c r="E509" s="5" t="s">
        <v>119</v>
      </c>
      <c r="F509" s="5" t="s">
        <v>137</v>
      </c>
      <c r="G509" s="5" t="s">
        <v>144</v>
      </c>
      <c r="H509" s="5">
        <v>9991638771</v>
      </c>
      <c r="I509" s="5">
        <v>800</v>
      </c>
      <c r="J509" s="8"/>
      <c r="K509" s="8"/>
      <c r="L509" s="8"/>
      <c r="M509" s="8"/>
      <c r="N509" s="8"/>
      <c r="O509" s="8"/>
      <c r="P509" s="8"/>
    </row>
    <row r="510" spans="1:16" ht="15.75">
      <c r="A510" s="8">
        <v>12</v>
      </c>
      <c r="B510" s="68">
        <v>46197</v>
      </c>
      <c r="C510" s="8" t="s">
        <v>51</v>
      </c>
      <c r="D510" s="5" t="s">
        <v>158</v>
      </c>
      <c r="E510" s="10" t="s">
        <v>119</v>
      </c>
      <c r="F510" s="10" t="s">
        <v>71</v>
      </c>
      <c r="G510" s="10" t="s">
        <v>167</v>
      </c>
      <c r="H510" s="10">
        <v>9992401965</v>
      </c>
      <c r="I510" s="5">
        <v>800</v>
      </c>
      <c r="J510" s="8"/>
      <c r="K510" s="8"/>
      <c r="L510" s="8"/>
      <c r="M510" s="8"/>
      <c r="N510" s="8"/>
      <c r="O510" s="8"/>
      <c r="P510" s="8"/>
    </row>
    <row r="511" spans="1:16" ht="15.75">
      <c r="A511" s="8">
        <v>13</v>
      </c>
      <c r="B511" s="68">
        <v>46197</v>
      </c>
      <c r="C511" s="8" t="s">
        <v>51</v>
      </c>
      <c r="D511" s="5" t="s">
        <v>159</v>
      </c>
      <c r="E511" s="10" t="s">
        <v>171</v>
      </c>
      <c r="F511" s="10" t="s">
        <v>163</v>
      </c>
      <c r="G511" s="10" t="s">
        <v>168</v>
      </c>
      <c r="H511" s="10">
        <v>7404474940</v>
      </c>
      <c r="I511" s="6">
        <v>750</v>
      </c>
      <c r="J511" s="8"/>
      <c r="K511" s="8"/>
      <c r="L511" s="8"/>
      <c r="M511" s="8"/>
      <c r="N511" s="8"/>
      <c r="O511" s="8"/>
      <c r="P511" s="8"/>
    </row>
    <row r="512" spans="1:16" ht="15.75">
      <c r="A512" s="8">
        <v>14</v>
      </c>
      <c r="B512" s="68">
        <v>46197</v>
      </c>
      <c r="C512" s="8" t="s">
        <v>51</v>
      </c>
      <c r="D512" s="5" t="s">
        <v>160</v>
      </c>
      <c r="E512" s="10" t="s">
        <v>172</v>
      </c>
      <c r="F512" s="10" t="s">
        <v>164</v>
      </c>
      <c r="G512" s="10" t="s">
        <v>169</v>
      </c>
      <c r="H512" s="10">
        <v>9540614028</v>
      </c>
      <c r="I512" s="5">
        <v>800</v>
      </c>
      <c r="J512" s="8"/>
      <c r="K512" s="8"/>
      <c r="L512" s="8"/>
      <c r="M512" s="8"/>
      <c r="N512" s="8"/>
      <c r="O512" s="8"/>
      <c r="P512" s="8"/>
    </row>
    <row r="513" spans="1:16" ht="15.75">
      <c r="A513" s="8">
        <v>15</v>
      </c>
      <c r="B513" s="68">
        <v>46197</v>
      </c>
      <c r="C513" s="8" t="s">
        <v>51</v>
      </c>
      <c r="D513" s="5" t="s">
        <v>161</v>
      </c>
      <c r="E513" s="10" t="s">
        <v>119</v>
      </c>
      <c r="F513" s="10" t="s">
        <v>165</v>
      </c>
      <c r="G513" s="10" t="s">
        <v>140</v>
      </c>
      <c r="H513" s="10">
        <v>8395910861</v>
      </c>
      <c r="I513" s="6">
        <v>750</v>
      </c>
      <c r="J513" s="8"/>
      <c r="K513" s="8"/>
      <c r="L513" s="8"/>
      <c r="M513" s="8"/>
      <c r="N513" s="8"/>
      <c r="O513" s="8"/>
      <c r="P513" s="8"/>
    </row>
    <row r="514" spans="1:16" ht="15.75">
      <c r="A514" s="8">
        <v>16</v>
      </c>
      <c r="B514" s="68">
        <v>46197</v>
      </c>
      <c r="C514" s="8" t="s">
        <v>51</v>
      </c>
      <c r="D514" s="5" t="s">
        <v>162</v>
      </c>
      <c r="E514" s="10" t="s">
        <v>119</v>
      </c>
      <c r="F514" s="10" t="s">
        <v>166</v>
      </c>
      <c r="G514" s="10" t="s">
        <v>170</v>
      </c>
      <c r="H514" s="10">
        <v>9671227093</v>
      </c>
      <c r="I514" s="5">
        <v>800</v>
      </c>
      <c r="J514" s="8"/>
      <c r="K514" s="8"/>
      <c r="L514" s="8"/>
      <c r="M514" s="8"/>
      <c r="N514" s="8"/>
      <c r="O514" s="8"/>
      <c r="P514" s="8"/>
    </row>
    <row r="515" spans="1:16" ht="15.75">
      <c r="A515" s="8">
        <v>17</v>
      </c>
      <c r="B515" s="68">
        <v>46197</v>
      </c>
      <c r="C515" s="8" t="s">
        <v>51</v>
      </c>
      <c r="D515" s="5" t="s">
        <v>174</v>
      </c>
      <c r="E515" s="5" t="s">
        <v>177</v>
      </c>
      <c r="F515" s="10" t="s">
        <v>179</v>
      </c>
      <c r="G515" s="10" t="s">
        <v>181</v>
      </c>
      <c r="H515" s="10">
        <v>9991575314</v>
      </c>
      <c r="I515" s="3">
        <v>800</v>
      </c>
      <c r="J515" s="8"/>
      <c r="K515" s="8"/>
      <c r="L515" s="8"/>
      <c r="M515" s="8"/>
      <c r="N515" s="8"/>
      <c r="O515" s="8"/>
      <c r="P515" s="8"/>
    </row>
    <row r="516" spans="1:16" ht="15.75">
      <c r="A516" s="8">
        <v>18</v>
      </c>
      <c r="B516" s="68">
        <v>46197</v>
      </c>
      <c r="C516" s="8" t="s">
        <v>51</v>
      </c>
      <c r="D516" s="5" t="s">
        <v>175</v>
      </c>
      <c r="E516" s="10" t="s">
        <v>171</v>
      </c>
      <c r="F516" s="10" t="s">
        <v>180</v>
      </c>
      <c r="G516" s="10" t="s">
        <v>182</v>
      </c>
      <c r="H516" s="10">
        <v>8814086202</v>
      </c>
      <c r="I516" s="3">
        <v>750</v>
      </c>
      <c r="J516" s="8"/>
      <c r="K516" s="8"/>
      <c r="L516" s="8"/>
      <c r="M516" s="8"/>
      <c r="N516" s="8"/>
      <c r="O516" s="8"/>
      <c r="P516" s="8"/>
    </row>
    <row r="517" spans="1:16" ht="15.75">
      <c r="A517" s="8">
        <v>19</v>
      </c>
      <c r="B517" s="68">
        <v>46197</v>
      </c>
      <c r="C517" s="8" t="s">
        <v>51</v>
      </c>
      <c r="D517" s="5" t="s">
        <v>176</v>
      </c>
      <c r="E517" s="10" t="s">
        <v>178</v>
      </c>
      <c r="F517" s="10" t="s">
        <v>165</v>
      </c>
      <c r="G517" s="10" t="s">
        <v>183</v>
      </c>
      <c r="H517" s="10">
        <v>9991361344</v>
      </c>
      <c r="I517" s="3">
        <v>750</v>
      </c>
      <c r="J517" s="8"/>
      <c r="K517" s="8"/>
      <c r="L517" s="8"/>
      <c r="M517" s="8"/>
      <c r="N517" s="8"/>
      <c r="O517" s="8"/>
      <c r="P517" s="8"/>
    </row>
    <row r="518" spans="1:16" ht="15.75">
      <c r="A518" s="8">
        <v>20</v>
      </c>
      <c r="B518" s="68">
        <v>46197</v>
      </c>
      <c r="C518" s="8" t="s">
        <v>51</v>
      </c>
      <c r="D518" s="5" t="s">
        <v>194</v>
      </c>
      <c r="E518" s="10" t="s">
        <v>197</v>
      </c>
      <c r="F518" s="10" t="s">
        <v>71</v>
      </c>
      <c r="G518" s="10" t="s">
        <v>125</v>
      </c>
      <c r="H518" s="41">
        <v>9053156064</v>
      </c>
      <c r="I518" s="43">
        <v>750</v>
      </c>
      <c r="J518" s="8"/>
      <c r="K518" s="8"/>
      <c r="L518" s="8"/>
      <c r="M518" s="8"/>
      <c r="N518" s="8"/>
      <c r="O518" s="8"/>
      <c r="P518" s="8"/>
    </row>
    <row r="519" spans="1:16" ht="15.75">
      <c r="A519" s="8">
        <v>21</v>
      </c>
      <c r="B519" s="68">
        <v>46197</v>
      </c>
      <c r="C519" s="8" t="s">
        <v>51</v>
      </c>
      <c r="D519" s="5" t="s">
        <v>199</v>
      </c>
      <c r="E519" s="10" t="s">
        <v>197</v>
      </c>
      <c r="F519" s="10" t="s">
        <v>53</v>
      </c>
      <c r="G519" s="10" t="s">
        <v>204</v>
      </c>
      <c r="H519" s="41">
        <v>9813304531</v>
      </c>
      <c r="I519" s="43">
        <v>750</v>
      </c>
      <c r="J519" s="8"/>
      <c r="K519" s="8"/>
      <c r="L519" s="8"/>
      <c r="M519" s="8"/>
      <c r="N519" s="8"/>
      <c r="O519" s="8"/>
      <c r="P519" s="8"/>
    </row>
    <row r="520" spans="1:16" ht="15.75">
      <c r="A520" s="8">
        <v>22</v>
      </c>
      <c r="B520" s="68">
        <v>46197</v>
      </c>
      <c r="C520" s="8" t="s">
        <v>51</v>
      </c>
      <c r="D520" s="5" t="s">
        <v>200</v>
      </c>
      <c r="E520" s="10" t="s">
        <v>197</v>
      </c>
      <c r="F520" s="10" t="s">
        <v>121</v>
      </c>
      <c r="G520" s="10" t="s">
        <v>140</v>
      </c>
      <c r="H520" s="41">
        <v>8930321437</v>
      </c>
      <c r="I520" s="43">
        <v>800</v>
      </c>
      <c r="J520" s="8"/>
      <c r="K520" s="8"/>
      <c r="L520" s="8"/>
      <c r="M520" s="8"/>
      <c r="N520" s="8"/>
      <c r="O520" s="8"/>
      <c r="P520" s="8"/>
    </row>
    <row r="521" spans="1:16" ht="15.75">
      <c r="A521" s="8">
        <v>23</v>
      </c>
      <c r="B521" s="68">
        <v>46197</v>
      </c>
      <c r="C521" s="8" t="s">
        <v>51</v>
      </c>
      <c r="D521" s="5" t="s">
        <v>201</v>
      </c>
      <c r="E521" s="10" t="s">
        <v>206</v>
      </c>
      <c r="F521" s="10" t="s">
        <v>165</v>
      </c>
      <c r="G521" s="10" t="s">
        <v>205</v>
      </c>
      <c r="H521" s="41">
        <v>8295267191</v>
      </c>
      <c r="I521" s="43">
        <v>800</v>
      </c>
      <c r="J521" s="8"/>
      <c r="K521" s="8"/>
      <c r="L521" s="8"/>
      <c r="M521" s="8"/>
      <c r="N521" s="8"/>
      <c r="O521" s="8"/>
      <c r="P521" s="8"/>
    </row>
    <row r="522" spans="1:16" ht="15.75">
      <c r="A522" s="8">
        <v>24</v>
      </c>
      <c r="B522" s="68">
        <v>46197</v>
      </c>
      <c r="C522" s="8" t="s">
        <v>51</v>
      </c>
      <c r="D522" s="5" t="s">
        <v>202</v>
      </c>
      <c r="E522" s="10" t="s">
        <v>118</v>
      </c>
      <c r="F522" s="10" t="s">
        <v>203</v>
      </c>
      <c r="G522" s="10" t="s">
        <v>185</v>
      </c>
      <c r="H522" s="41">
        <v>7988050867</v>
      </c>
      <c r="I522" s="43">
        <v>750</v>
      </c>
      <c r="J522" s="8"/>
      <c r="K522" s="8"/>
      <c r="L522" s="8"/>
      <c r="M522" s="8"/>
      <c r="N522" s="8"/>
      <c r="O522" s="8"/>
      <c r="P522" s="8"/>
    </row>
    <row r="523" spans="1:16" ht="15.75">
      <c r="A523" s="8">
        <v>25</v>
      </c>
      <c r="B523" s="68">
        <v>46197</v>
      </c>
      <c r="C523" s="8" t="s">
        <v>51</v>
      </c>
      <c r="D523" s="5" t="s">
        <v>208</v>
      </c>
      <c r="E523" s="10" t="s">
        <v>49</v>
      </c>
      <c r="F523" s="10" t="s">
        <v>215</v>
      </c>
      <c r="G523" s="10" t="s">
        <v>216</v>
      </c>
      <c r="H523" s="41">
        <v>9812012403</v>
      </c>
      <c r="I523" s="43">
        <v>800</v>
      </c>
      <c r="J523" s="8"/>
      <c r="K523" s="8"/>
      <c r="L523" s="8"/>
      <c r="M523" s="8"/>
      <c r="N523" s="8"/>
      <c r="O523" s="8"/>
      <c r="P523" s="8"/>
    </row>
    <row r="524" spans="1:16" ht="15.75">
      <c r="A524" s="8">
        <v>26</v>
      </c>
      <c r="B524" s="68">
        <v>46197</v>
      </c>
      <c r="C524" s="8" t="s">
        <v>51</v>
      </c>
      <c r="D524" s="5" t="s">
        <v>262</v>
      </c>
      <c r="E524" s="10" t="s">
        <v>197</v>
      </c>
      <c r="F524" s="10" t="s">
        <v>247</v>
      </c>
      <c r="G524" s="10" t="s">
        <v>267</v>
      </c>
      <c r="H524" s="41">
        <v>7027082504</v>
      </c>
      <c r="I524" s="43">
        <v>800</v>
      </c>
      <c r="J524" s="8"/>
      <c r="K524" s="8"/>
      <c r="L524" s="8"/>
      <c r="M524" s="8"/>
      <c r="N524" s="8"/>
      <c r="O524" s="8"/>
      <c r="P524" s="8"/>
    </row>
    <row r="525" spans="1:16" ht="15.75">
      <c r="A525" s="8">
        <v>27</v>
      </c>
      <c r="B525" s="68">
        <v>46197</v>
      </c>
      <c r="C525" s="8" t="s">
        <v>51</v>
      </c>
      <c r="D525" s="5" t="s">
        <v>264</v>
      </c>
      <c r="E525" s="10" t="s">
        <v>49</v>
      </c>
      <c r="F525" s="10" t="s">
        <v>254</v>
      </c>
      <c r="G525" s="10" t="s">
        <v>269</v>
      </c>
      <c r="H525" s="41">
        <v>9729160317</v>
      </c>
      <c r="I525" s="43">
        <v>750</v>
      </c>
      <c r="J525" s="8"/>
      <c r="K525" s="8"/>
      <c r="L525" s="8"/>
      <c r="M525" s="8"/>
      <c r="N525" s="8"/>
      <c r="O525" s="8"/>
      <c r="P525" s="8"/>
    </row>
    <row r="526" spans="1:16" ht="15.75">
      <c r="A526" s="8">
        <v>28</v>
      </c>
      <c r="B526" s="68">
        <v>46197</v>
      </c>
      <c r="C526" s="8" t="s">
        <v>51</v>
      </c>
      <c r="D526" s="5" t="s">
        <v>265</v>
      </c>
      <c r="E526" s="10" t="s">
        <v>49</v>
      </c>
      <c r="F526" s="10" t="s">
        <v>261</v>
      </c>
      <c r="G526" s="10" t="s">
        <v>270</v>
      </c>
      <c r="H526" s="41">
        <v>9991081679</v>
      </c>
      <c r="I526" s="43">
        <v>800</v>
      </c>
      <c r="J526" s="8"/>
      <c r="K526" s="8"/>
      <c r="L526" s="8"/>
      <c r="M526" s="8"/>
      <c r="N526" s="8"/>
      <c r="O526" s="8"/>
      <c r="P526" s="8"/>
    </row>
    <row r="527" spans="1:16" ht="15.75">
      <c r="A527" s="8">
        <v>29</v>
      </c>
      <c r="B527" s="68">
        <v>46197</v>
      </c>
      <c r="C527" s="8" t="s">
        <v>51</v>
      </c>
      <c r="D527" s="5" t="s">
        <v>275</v>
      </c>
      <c r="E527" s="10" t="s">
        <v>278</v>
      </c>
      <c r="F527" s="10" t="s">
        <v>271</v>
      </c>
      <c r="G527" s="10" t="s">
        <v>280</v>
      </c>
      <c r="H527" s="41">
        <v>9466502084</v>
      </c>
      <c r="I527" s="43">
        <v>750</v>
      </c>
      <c r="J527" s="8"/>
      <c r="K527" s="8"/>
      <c r="L527" s="8"/>
      <c r="M527" s="8"/>
      <c r="N527" s="8"/>
      <c r="O527" s="8"/>
      <c r="P527" s="8"/>
    </row>
    <row r="528" spans="1:16" ht="15.75">
      <c r="A528" s="8">
        <v>30</v>
      </c>
      <c r="B528" s="68">
        <v>46197</v>
      </c>
      <c r="C528" s="8" t="s">
        <v>51</v>
      </c>
      <c r="D528" s="5" t="s">
        <v>276</v>
      </c>
      <c r="E528" s="10" t="s">
        <v>279</v>
      </c>
      <c r="F528" s="10" t="s">
        <v>272</v>
      </c>
      <c r="G528" s="10" t="s">
        <v>281</v>
      </c>
      <c r="H528" s="41">
        <v>8168586120</v>
      </c>
      <c r="I528" s="43">
        <v>800</v>
      </c>
      <c r="J528" s="8"/>
      <c r="K528" s="8"/>
      <c r="L528" s="8"/>
      <c r="M528" s="8"/>
      <c r="N528" s="8"/>
      <c r="O528" s="8"/>
      <c r="P528" s="8"/>
    </row>
    <row r="529" spans="1:16" ht="15.75">
      <c r="A529" s="8">
        <v>31</v>
      </c>
      <c r="B529" s="68">
        <v>46197</v>
      </c>
      <c r="C529" s="8" t="s">
        <v>51</v>
      </c>
      <c r="D529" s="5" t="s">
        <v>277</v>
      </c>
      <c r="E529" s="10" t="s">
        <v>49</v>
      </c>
      <c r="F529" s="10" t="s">
        <v>273</v>
      </c>
      <c r="G529" s="10" t="s">
        <v>282</v>
      </c>
      <c r="H529" s="41">
        <v>8295507421</v>
      </c>
      <c r="I529" s="43">
        <v>800</v>
      </c>
      <c r="J529" s="8"/>
      <c r="K529" s="8"/>
      <c r="L529" s="8"/>
      <c r="M529" s="8"/>
      <c r="N529" s="8"/>
      <c r="O529" s="8"/>
      <c r="P529" s="8"/>
    </row>
    <row r="530" spans="1:16" ht="15.75">
      <c r="A530" s="8">
        <v>32</v>
      </c>
      <c r="B530" s="68">
        <v>46197</v>
      </c>
      <c r="C530" s="8" t="s">
        <v>51</v>
      </c>
      <c r="D530" s="5" t="s">
        <v>255</v>
      </c>
      <c r="E530" s="10" t="s">
        <v>278</v>
      </c>
      <c r="F530" s="10" t="s">
        <v>274</v>
      </c>
      <c r="G530" s="10" t="s">
        <v>189</v>
      </c>
      <c r="H530" s="41">
        <v>7828359630</v>
      </c>
      <c r="I530" s="43">
        <v>750</v>
      </c>
      <c r="J530" s="8"/>
      <c r="K530" s="8"/>
      <c r="L530" s="8"/>
      <c r="M530" s="8"/>
      <c r="N530" s="8"/>
      <c r="O530" s="8"/>
      <c r="P530" s="8"/>
    </row>
    <row r="531" spans="1:16" ht="15.75">
      <c r="A531" s="8">
        <v>33</v>
      </c>
      <c r="B531" s="68">
        <v>46197</v>
      </c>
      <c r="C531" s="8" t="s">
        <v>51</v>
      </c>
      <c r="D531" s="5" t="s">
        <v>286</v>
      </c>
      <c r="E531" s="69" t="s">
        <v>49</v>
      </c>
      <c r="F531" s="69" t="s">
        <v>285</v>
      </c>
      <c r="G531" s="69" t="s">
        <v>293</v>
      </c>
      <c r="H531" s="70">
        <v>9671634311</v>
      </c>
      <c r="I531" s="43">
        <v>800</v>
      </c>
      <c r="J531" s="8"/>
      <c r="K531" s="8"/>
      <c r="L531" s="8"/>
      <c r="M531" s="8"/>
      <c r="N531" s="8"/>
      <c r="O531" s="8"/>
      <c r="P531" s="8"/>
    </row>
    <row r="532" spans="1:16" ht="15.75">
      <c r="A532" s="8">
        <v>34</v>
      </c>
      <c r="B532" s="68">
        <v>46197</v>
      </c>
      <c r="C532" s="8" t="s">
        <v>51</v>
      </c>
      <c r="D532" s="5" t="s">
        <v>287</v>
      </c>
      <c r="E532" s="69" t="s">
        <v>130</v>
      </c>
      <c r="F532" s="69" t="s">
        <v>284</v>
      </c>
      <c r="G532" s="69" t="s">
        <v>294</v>
      </c>
      <c r="H532" s="70">
        <v>9671393271</v>
      </c>
      <c r="I532" s="43">
        <v>800</v>
      </c>
      <c r="J532" s="8"/>
      <c r="K532" s="8"/>
      <c r="L532" s="8"/>
      <c r="M532" s="8"/>
      <c r="N532" s="8"/>
      <c r="O532" s="8"/>
      <c r="P532" s="8"/>
    </row>
    <row r="533" spans="1:16" ht="15.75">
      <c r="A533" s="8">
        <v>35</v>
      </c>
      <c r="B533" s="68">
        <v>46197</v>
      </c>
      <c r="C533" s="8" t="s">
        <v>51</v>
      </c>
      <c r="D533" s="6" t="s">
        <v>299</v>
      </c>
      <c r="E533" s="71" t="s">
        <v>130</v>
      </c>
      <c r="F533" s="71" t="s">
        <v>301</v>
      </c>
      <c r="G533" s="71" t="s">
        <v>303</v>
      </c>
      <c r="H533" s="70">
        <v>8397097184</v>
      </c>
      <c r="I533" s="70">
        <v>800</v>
      </c>
      <c r="J533" s="8"/>
      <c r="K533" s="8"/>
      <c r="L533" s="8"/>
      <c r="M533" s="8"/>
      <c r="N533" s="8"/>
      <c r="O533" s="8"/>
      <c r="P533" s="8"/>
    </row>
    <row r="534" spans="1:16" ht="15.75">
      <c r="A534" s="8">
        <v>36</v>
      </c>
      <c r="B534" s="68">
        <v>46197</v>
      </c>
      <c r="C534" s="8" t="s">
        <v>51</v>
      </c>
      <c r="D534" s="5" t="s">
        <v>312</v>
      </c>
      <c r="E534" s="72" t="s">
        <v>197</v>
      </c>
      <c r="F534" s="73" t="s">
        <v>121</v>
      </c>
      <c r="G534" s="72" t="s">
        <v>315</v>
      </c>
      <c r="H534" s="70">
        <v>8059882196</v>
      </c>
      <c r="I534" s="70">
        <v>800</v>
      </c>
      <c r="J534" s="8"/>
      <c r="K534" s="8"/>
      <c r="L534" s="8"/>
      <c r="M534" s="8"/>
      <c r="N534" s="8"/>
      <c r="O534" s="8"/>
      <c r="P534" s="8"/>
    </row>
    <row r="535" spans="1:16" ht="15.75">
      <c r="A535" s="8">
        <v>37</v>
      </c>
      <c r="B535" s="68">
        <v>46197</v>
      </c>
      <c r="C535" s="8" t="s">
        <v>51</v>
      </c>
      <c r="D535" s="5" t="s">
        <v>332</v>
      </c>
      <c r="E535" s="74" t="s">
        <v>206</v>
      </c>
      <c r="F535" s="74" t="s">
        <v>330</v>
      </c>
      <c r="G535" s="74" t="s">
        <v>331</v>
      </c>
      <c r="H535" s="70">
        <v>7015840262</v>
      </c>
      <c r="I535" s="70">
        <v>800</v>
      </c>
      <c r="J535" s="8"/>
      <c r="K535" s="8"/>
      <c r="L535" s="8"/>
      <c r="M535" s="8"/>
      <c r="N535" s="8"/>
      <c r="O535" s="8"/>
      <c r="P535" s="8"/>
    </row>
    <row r="536" spans="1:1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1:16">
      <c r="A537" s="8"/>
      <c r="B537" s="8"/>
      <c r="C537" s="8"/>
      <c r="D537" s="8"/>
      <c r="E537" s="8"/>
      <c r="F537" s="8"/>
      <c r="G537" s="8"/>
      <c r="H537" s="8"/>
      <c r="I537" s="8">
        <f>SUM(I499:I536)</f>
        <v>28750</v>
      </c>
      <c r="J537" s="8"/>
      <c r="K537" s="8"/>
      <c r="L537" s="8"/>
      <c r="M537" s="8"/>
      <c r="N537" s="8"/>
      <c r="O537" s="8"/>
      <c r="P537" s="8"/>
    </row>
    <row r="542" spans="1:16" ht="27.75">
      <c r="A542" s="142" t="s">
        <v>155</v>
      </c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</row>
    <row r="543" spans="1:16" ht="75">
      <c r="A543" s="1" t="s">
        <v>87</v>
      </c>
      <c r="B543" s="1" t="s">
        <v>103</v>
      </c>
      <c r="C543" s="1" t="s">
        <v>88</v>
      </c>
      <c r="D543" s="1" t="s">
        <v>104</v>
      </c>
      <c r="E543" s="1" t="s">
        <v>105</v>
      </c>
      <c r="F543" s="1" t="s">
        <v>106</v>
      </c>
      <c r="G543" s="1" t="s">
        <v>93</v>
      </c>
      <c r="H543" s="1" t="s">
        <v>107</v>
      </c>
      <c r="I543" s="1" t="s">
        <v>108</v>
      </c>
      <c r="J543" s="1" t="s">
        <v>109</v>
      </c>
      <c r="K543" s="1" t="s">
        <v>110</v>
      </c>
      <c r="L543" s="1" t="s">
        <v>21</v>
      </c>
      <c r="M543" s="1" t="s">
        <v>45</v>
      </c>
      <c r="N543" s="1" t="s">
        <v>111</v>
      </c>
      <c r="O543" s="2" t="s">
        <v>112</v>
      </c>
      <c r="P543" s="1" t="s">
        <v>113</v>
      </c>
    </row>
    <row r="544" spans="1:16" ht="15.75">
      <c r="A544" s="3">
        <v>1</v>
      </c>
      <c r="B544" s="4">
        <v>46203</v>
      </c>
      <c r="C544" s="3" t="s">
        <v>51</v>
      </c>
      <c r="D544" s="5" t="s">
        <v>70</v>
      </c>
      <c r="E544" s="5" t="s">
        <v>66</v>
      </c>
      <c r="F544" s="5" t="s">
        <v>67</v>
      </c>
      <c r="G544" s="5" t="s">
        <v>68</v>
      </c>
      <c r="H544" s="5">
        <v>8395916139</v>
      </c>
      <c r="I544" s="5">
        <v>800</v>
      </c>
      <c r="J544" s="3"/>
      <c r="K544" s="3"/>
      <c r="L544" s="3"/>
      <c r="M544" s="3"/>
      <c r="N544" s="3"/>
      <c r="O544" s="5">
        <v>20800</v>
      </c>
      <c r="P544" s="3"/>
    </row>
    <row r="545" spans="1:16" ht="15.75">
      <c r="A545" s="3">
        <v>2</v>
      </c>
      <c r="B545" s="4">
        <v>46203</v>
      </c>
      <c r="C545" s="3" t="s">
        <v>51</v>
      </c>
      <c r="D545" s="5" t="s">
        <v>73</v>
      </c>
      <c r="E545" s="5" t="s">
        <v>66</v>
      </c>
      <c r="F545" s="5" t="s">
        <v>71</v>
      </c>
      <c r="G545" s="5" t="s">
        <v>72</v>
      </c>
      <c r="H545" s="5">
        <v>7289049720</v>
      </c>
      <c r="I545" s="5">
        <v>750</v>
      </c>
      <c r="J545" s="3"/>
      <c r="K545" s="3"/>
      <c r="L545" s="3"/>
      <c r="M545" s="3"/>
      <c r="N545" s="3"/>
      <c r="O545" s="5">
        <v>13500</v>
      </c>
      <c r="P545" s="3"/>
    </row>
    <row r="546" spans="1:16" ht="15.75">
      <c r="A546" s="3">
        <v>3</v>
      </c>
      <c r="B546" s="4">
        <v>46203</v>
      </c>
      <c r="C546" s="3" t="s">
        <v>51</v>
      </c>
      <c r="D546" s="5" t="s">
        <v>79</v>
      </c>
      <c r="E546" s="5" t="s">
        <v>66</v>
      </c>
      <c r="F546" s="6" t="s">
        <v>77</v>
      </c>
      <c r="G546" s="6" t="s">
        <v>78</v>
      </c>
      <c r="H546" s="6">
        <v>7355817478</v>
      </c>
      <c r="I546" s="5">
        <v>750</v>
      </c>
      <c r="J546" s="3"/>
      <c r="K546" s="3"/>
      <c r="L546" s="3"/>
      <c r="M546" s="3"/>
      <c r="N546" s="3"/>
      <c r="O546" s="5">
        <v>13500</v>
      </c>
      <c r="P546" s="3"/>
    </row>
    <row r="547" spans="1:16" ht="15.75">
      <c r="A547" s="3">
        <v>4</v>
      </c>
      <c r="B547" s="4">
        <v>46203</v>
      </c>
      <c r="C547" s="3" t="s">
        <v>51</v>
      </c>
      <c r="D547" s="5" t="s">
        <v>82</v>
      </c>
      <c r="E547" s="6" t="s">
        <v>66</v>
      </c>
      <c r="F547" s="6" t="s">
        <v>80</v>
      </c>
      <c r="G547" s="6" t="s">
        <v>81</v>
      </c>
      <c r="H547" s="6">
        <v>7027566795</v>
      </c>
      <c r="I547" s="5">
        <v>800</v>
      </c>
      <c r="J547" s="3"/>
      <c r="K547" s="3"/>
      <c r="L547" s="3"/>
      <c r="M547" s="3"/>
      <c r="N547" s="3"/>
      <c r="O547" s="5">
        <v>20800</v>
      </c>
      <c r="P547" s="3"/>
    </row>
    <row r="548" spans="1:16" ht="15.75">
      <c r="A548" s="3">
        <v>5</v>
      </c>
      <c r="B548" s="4">
        <v>46203</v>
      </c>
      <c r="C548" s="3" t="s">
        <v>51</v>
      </c>
      <c r="D548" s="5" t="s">
        <v>85</v>
      </c>
      <c r="E548" s="6" t="s">
        <v>66</v>
      </c>
      <c r="F548" s="5" t="s">
        <v>83</v>
      </c>
      <c r="G548" s="5" t="s">
        <v>84</v>
      </c>
      <c r="H548" s="5">
        <v>9992825464</v>
      </c>
      <c r="I548" s="5">
        <v>800</v>
      </c>
      <c r="J548" s="3"/>
      <c r="K548" s="3"/>
      <c r="L548" s="3"/>
      <c r="M548" s="3"/>
      <c r="N548" s="3"/>
      <c r="O548" s="5">
        <v>20800</v>
      </c>
      <c r="P548" s="3"/>
    </row>
    <row r="549" spans="1:16" ht="15.75">
      <c r="A549" s="3">
        <v>6</v>
      </c>
      <c r="B549" s="4">
        <v>46203</v>
      </c>
      <c r="C549" s="3" t="s">
        <v>51</v>
      </c>
      <c r="D549" s="5" t="s">
        <v>114</v>
      </c>
      <c r="E549" s="10" t="s">
        <v>66</v>
      </c>
      <c r="F549" s="10" t="s">
        <v>120</v>
      </c>
      <c r="G549" s="10" t="s">
        <v>124</v>
      </c>
      <c r="H549" s="10">
        <v>8295596976</v>
      </c>
      <c r="I549" s="10">
        <v>750</v>
      </c>
      <c r="J549" s="3"/>
      <c r="K549" s="3"/>
      <c r="L549" s="3"/>
      <c r="M549" s="3"/>
      <c r="N549" s="3"/>
      <c r="O549" s="5">
        <v>13500</v>
      </c>
      <c r="P549" s="3"/>
    </row>
    <row r="550" spans="1:16" ht="15.75">
      <c r="A550" s="3">
        <v>7</v>
      </c>
      <c r="B550" s="4">
        <v>46203</v>
      </c>
      <c r="C550" s="3" t="s">
        <v>51</v>
      </c>
      <c r="D550" s="5" t="s">
        <v>115</v>
      </c>
      <c r="E550" s="10" t="s">
        <v>66</v>
      </c>
      <c r="F550" s="10" t="s">
        <v>121</v>
      </c>
      <c r="G550" s="10" t="s">
        <v>125</v>
      </c>
      <c r="H550" s="10">
        <v>8816907186</v>
      </c>
      <c r="I550" s="10">
        <v>750</v>
      </c>
      <c r="J550" s="3"/>
      <c r="K550" s="3"/>
      <c r="L550" s="3"/>
      <c r="M550" s="3"/>
      <c r="N550" s="3"/>
      <c r="O550" s="5">
        <v>13500</v>
      </c>
      <c r="P550" s="3"/>
    </row>
    <row r="551" spans="1:16" ht="15.75">
      <c r="A551" s="3">
        <v>8</v>
      </c>
      <c r="B551" s="4">
        <v>46203</v>
      </c>
      <c r="C551" s="3" t="s">
        <v>51</v>
      </c>
      <c r="D551" s="5" t="s">
        <v>145</v>
      </c>
      <c r="E551" s="5" t="s">
        <v>66</v>
      </c>
      <c r="F551" s="5" t="s">
        <v>83</v>
      </c>
      <c r="G551" s="5" t="s">
        <v>138</v>
      </c>
      <c r="H551" s="5">
        <v>9813610261</v>
      </c>
      <c r="I551" s="5">
        <v>800</v>
      </c>
      <c r="J551" s="3"/>
      <c r="K551" s="3"/>
      <c r="L551" s="3"/>
      <c r="M551" s="3"/>
      <c r="N551" s="3"/>
      <c r="O551" s="5">
        <v>21600</v>
      </c>
      <c r="P551" s="3"/>
    </row>
    <row r="552" spans="1:16" ht="15.75">
      <c r="A552" s="3">
        <v>9</v>
      </c>
      <c r="B552" s="4">
        <v>46203</v>
      </c>
      <c r="C552" s="3" t="s">
        <v>51</v>
      </c>
      <c r="D552" s="5" t="s">
        <v>147</v>
      </c>
      <c r="E552" s="5" t="s">
        <v>129</v>
      </c>
      <c r="F552" s="5" t="s">
        <v>132</v>
      </c>
      <c r="G552" s="5" t="s">
        <v>140</v>
      </c>
      <c r="H552" s="5">
        <v>8397037924</v>
      </c>
      <c r="I552" s="5">
        <v>800</v>
      </c>
      <c r="J552" s="3"/>
      <c r="K552" s="3"/>
      <c r="L552" s="3"/>
      <c r="M552" s="3"/>
      <c r="N552" s="3"/>
      <c r="O552" s="5">
        <v>21600</v>
      </c>
      <c r="P552" s="3"/>
    </row>
    <row r="553" spans="1:16" ht="15.75">
      <c r="A553" s="3">
        <v>10</v>
      </c>
      <c r="B553" s="4">
        <v>46203</v>
      </c>
      <c r="C553" s="3" t="s">
        <v>51</v>
      </c>
      <c r="D553" s="5" t="s">
        <v>151</v>
      </c>
      <c r="E553" s="5" t="s">
        <v>66</v>
      </c>
      <c r="F553" s="5" t="s">
        <v>136</v>
      </c>
      <c r="G553" s="5" t="s">
        <v>143</v>
      </c>
      <c r="H553" s="5">
        <v>9992969785</v>
      </c>
      <c r="I553" s="5">
        <v>800</v>
      </c>
      <c r="J553" s="3"/>
      <c r="K553" s="3"/>
      <c r="L553" s="3"/>
      <c r="M553" s="3"/>
      <c r="N553" s="3"/>
      <c r="O553" s="5">
        <v>21600</v>
      </c>
      <c r="P553" s="3"/>
    </row>
    <row r="554" spans="1:16" ht="15.75">
      <c r="A554" s="3">
        <v>11</v>
      </c>
      <c r="B554" s="4">
        <v>46203</v>
      </c>
      <c r="C554" s="3" t="s">
        <v>51</v>
      </c>
      <c r="D554" s="5" t="s">
        <v>190</v>
      </c>
      <c r="E554" s="10" t="s">
        <v>195</v>
      </c>
      <c r="F554" s="10" t="s">
        <v>184</v>
      </c>
      <c r="G554" s="10" t="s">
        <v>185</v>
      </c>
      <c r="H554" s="10">
        <v>9728976039</v>
      </c>
      <c r="I554" s="3">
        <v>750</v>
      </c>
      <c r="J554" s="3"/>
      <c r="K554" s="3"/>
      <c r="L554" s="3"/>
      <c r="M554" s="3"/>
      <c r="N554" s="3"/>
      <c r="O554" s="5">
        <v>15750</v>
      </c>
      <c r="P554" s="3"/>
    </row>
    <row r="555" spans="1:16" ht="15.75">
      <c r="A555" s="3">
        <v>12</v>
      </c>
      <c r="B555" s="4">
        <v>46203</v>
      </c>
      <c r="C555" s="3" t="s">
        <v>51</v>
      </c>
      <c r="D555" s="5" t="s">
        <v>191</v>
      </c>
      <c r="E555" s="10" t="s">
        <v>196</v>
      </c>
      <c r="F555" s="10" t="s">
        <v>186</v>
      </c>
      <c r="G555" s="10" t="s">
        <v>187</v>
      </c>
      <c r="H555" s="10">
        <v>9991073613</v>
      </c>
      <c r="I555" s="3">
        <v>750</v>
      </c>
      <c r="J555" s="3"/>
      <c r="K555" s="3"/>
      <c r="L555" s="3"/>
      <c r="M555" s="3"/>
      <c r="N555" s="3"/>
      <c r="O555" s="5">
        <v>15750</v>
      </c>
      <c r="P555" s="3"/>
    </row>
    <row r="556" spans="1:16" ht="15.75">
      <c r="A556" s="3">
        <v>13</v>
      </c>
      <c r="B556" s="4">
        <v>46203</v>
      </c>
      <c r="C556" s="3" t="s">
        <v>51</v>
      </c>
      <c r="D556" s="5" t="s">
        <v>192</v>
      </c>
      <c r="E556" s="10" t="s">
        <v>195</v>
      </c>
      <c r="F556" s="10" t="s">
        <v>188</v>
      </c>
      <c r="G556" s="10" t="s">
        <v>198</v>
      </c>
      <c r="H556" s="10">
        <v>8047377476</v>
      </c>
      <c r="I556" s="5">
        <v>800</v>
      </c>
      <c r="J556" s="3"/>
      <c r="K556" s="3"/>
      <c r="L556" s="3"/>
      <c r="M556" s="3"/>
      <c r="N556" s="3"/>
      <c r="O556" s="5">
        <v>23200</v>
      </c>
      <c r="P556" s="3"/>
    </row>
    <row r="557" spans="1:16" ht="15.75">
      <c r="A557" s="3">
        <v>14</v>
      </c>
      <c r="B557" s="4">
        <v>46203</v>
      </c>
      <c r="C557" s="3" t="s">
        <v>51</v>
      </c>
      <c r="D557" s="5" t="s">
        <v>193</v>
      </c>
      <c r="E557" s="10" t="s">
        <v>195</v>
      </c>
      <c r="F557" s="10" t="s">
        <v>83</v>
      </c>
      <c r="G557" s="10" t="s">
        <v>189</v>
      </c>
      <c r="H557" s="10">
        <v>8396804752</v>
      </c>
      <c r="I557" s="3">
        <v>750</v>
      </c>
      <c r="J557" s="3"/>
      <c r="K557" s="3"/>
      <c r="L557" s="3"/>
      <c r="M557" s="3"/>
      <c r="N557" s="3"/>
      <c r="O557" s="5">
        <v>15750</v>
      </c>
      <c r="P557" s="3"/>
    </row>
    <row r="558" spans="1:16" ht="15.75">
      <c r="A558" s="3">
        <v>15</v>
      </c>
      <c r="B558" s="4">
        <v>46203</v>
      </c>
      <c r="C558" s="3" t="s">
        <v>51</v>
      </c>
      <c r="D558" s="5" t="s">
        <v>207</v>
      </c>
      <c r="E558" s="10" t="s">
        <v>225</v>
      </c>
      <c r="F558" s="10" t="s">
        <v>213</v>
      </c>
      <c r="G558" s="10" t="s">
        <v>214</v>
      </c>
      <c r="H558" s="10">
        <v>9034419162</v>
      </c>
      <c r="I558" s="3">
        <v>750</v>
      </c>
      <c r="J558" s="3"/>
      <c r="K558" s="3"/>
      <c r="L558" s="3"/>
      <c r="M558" s="3"/>
      <c r="N558" s="3"/>
      <c r="O558" s="5">
        <v>15750</v>
      </c>
      <c r="P558" s="3"/>
    </row>
    <row r="559" spans="1:16" ht="15.75">
      <c r="A559" s="3">
        <v>16</v>
      </c>
      <c r="B559" s="4">
        <v>46203</v>
      </c>
      <c r="C559" s="3" t="s">
        <v>51</v>
      </c>
      <c r="D559" s="5" t="s">
        <v>209</v>
      </c>
      <c r="E559" s="10" t="s">
        <v>226</v>
      </c>
      <c r="F559" s="10" t="s">
        <v>217</v>
      </c>
      <c r="G559" s="10" t="s">
        <v>218</v>
      </c>
      <c r="H559" s="10">
        <v>9671740481</v>
      </c>
      <c r="I559" s="3">
        <v>750</v>
      </c>
      <c r="J559" s="3"/>
      <c r="K559" s="3"/>
      <c r="L559" s="3"/>
      <c r="M559" s="3"/>
      <c r="N559" s="3"/>
      <c r="O559" s="5">
        <v>15750</v>
      </c>
      <c r="P559" s="3"/>
    </row>
    <row r="560" spans="1:16" ht="15.75">
      <c r="A560" s="3">
        <v>17</v>
      </c>
      <c r="B560" s="4">
        <v>46203</v>
      </c>
      <c r="C560" s="3" t="s">
        <v>51</v>
      </c>
      <c r="D560" s="5" t="s">
        <v>210</v>
      </c>
      <c r="E560" s="10" t="s">
        <v>227</v>
      </c>
      <c r="F560" s="10" t="s">
        <v>219</v>
      </c>
      <c r="G560" s="10" t="s">
        <v>220</v>
      </c>
      <c r="H560" s="10">
        <v>9311797101</v>
      </c>
      <c r="I560" s="3">
        <v>750</v>
      </c>
      <c r="J560" s="3"/>
      <c r="K560" s="3"/>
      <c r="L560" s="3"/>
      <c r="M560" s="3"/>
      <c r="N560" s="3"/>
      <c r="O560" s="5">
        <v>15750</v>
      </c>
      <c r="P560" s="3"/>
    </row>
    <row r="561" spans="1:16" ht="15.75">
      <c r="A561" s="3">
        <v>18</v>
      </c>
      <c r="B561" s="4">
        <v>46203</v>
      </c>
      <c r="C561" s="3" t="s">
        <v>51</v>
      </c>
      <c r="D561" s="5" t="s">
        <v>211</v>
      </c>
      <c r="E561" s="10" t="s">
        <v>226</v>
      </c>
      <c r="F561" s="10" t="s">
        <v>221</v>
      </c>
      <c r="G561" s="10" t="s">
        <v>222</v>
      </c>
      <c r="H561" s="10">
        <v>7206610781</v>
      </c>
      <c r="I561" s="3">
        <v>750</v>
      </c>
      <c r="J561" s="3"/>
      <c r="K561" s="3"/>
      <c r="L561" s="3"/>
      <c r="M561" s="3"/>
      <c r="N561" s="3"/>
      <c r="O561" s="5">
        <v>15750</v>
      </c>
      <c r="P561" s="3"/>
    </row>
    <row r="562" spans="1:16" ht="15.75">
      <c r="A562" s="3">
        <v>19</v>
      </c>
      <c r="B562" s="4">
        <v>46203</v>
      </c>
      <c r="C562" s="3" t="s">
        <v>51</v>
      </c>
      <c r="D562" s="5" t="s">
        <v>212</v>
      </c>
      <c r="E562" s="10" t="s">
        <v>226</v>
      </c>
      <c r="F562" s="10" t="s">
        <v>223</v>
      </c>
      <c r="G562" s="10" t="s">
        <v>224</v>
      </c>
      <c r="H562" s="10">
        <v>8814045633</v>
      </c>
      <c r="I562" s="3">
        <v>750</v>
      </c>
      <c r="J562" s="3"/>
      <c r="K562" s="3"/>
      <c r="L562" s="3"/>
      <c r="M562" s="3"/>
      <c r="N562" s="3"/>
      <c r="O562" s="5">
        <v>15750</v>
      </c>
      <c r="P562" s="3"/>
    </row>
    <row r="563" spans="1:16" ht="15.75">
      <c r="A563" s="3">
        <v>20</v>
      </c>
      <c r="B563" s="4">
        <v>46203</v>
      </c>
      <c r="C563" s="3" t="s">
        <v>51</v>
      </c>
      <c r="D563" s="5" t="s">
        <v>228</v>
      </c>
      <c r="E563" s="3" t="s">
        <v>229</v>
      </c>
      <c r="F563" s="10" t="s">
        <v>165</v>
      </c>
      <c r="G563" s="10" t="s">
        <v>198</v>
      </c>
      <c r="H563" s="10" t="s">
        <v>230</v>
      </c>
      <c r="I563" s="3">
        <v>750</v>
      </c>
      <c r="J563" s="3"/>
      <c r="K563" s="3"/>
      <c r="L563" s="3"/>
      <c r="M563" s="3"/>
      <c r="N563" s="3"/>
      <c r="O563" s="5">
        <v>15750</v>
      </c>
      <c r="P563" s="3"/>
    </row>
    <row r="564" spans="1:16" ht="15.75">
      <c r="A564" s="3">
        <v>21</v>
      </c>
      <c r="B564" s="4">
        <v>46203</v>
      </c>
      <c r="C564" s="3" t="s">
        <v>51</v>
      </c>
      <c r="D564" s="5" t="s">
        <v>233</v>
      </c>
      <c r="E564" s="10" t="s">
        <v>49</v>
      </c>
      <c r="F564" s="10" t="s">
        <v>231</v>
      </c>
      <c r="G564" s="10" t="s">
        <v>142</v>
      </c>
      <c r="H564" s="10">
        <v>7497855174</v>
      </c>
      <c r="I564" s="3">
        <v>750</v>
      </c>
      <c r="J564" s="3"/>
      <c r="K564" s="3"/>
      <c r="L564" s="3"/>
      <c r="M564" s="3"/>
      <c r="N564" s="3"/>
      <c r="O564" s="5">
        <v>16500</v>
      </c>
      <c r="P564" s="3"/>
    </row>
    <row r="565" spans="1:16" ht="15.75">
      <c r="A565" s="3">
        <v>22</v>
      </c>
      <c r="B565" s="4">
        <v>46203</v>
      </c>
      <c r="C565" s="3" t="s">
        <v>51</v>
      </c>
      <c r="D565" s="5" t="s">
        <v>234</v>
      </c>
      <c r="E565" s="10" t="s">
        <v>196</v>
      </c>
      <c r="F565" s="10" t="s">
        <v>232</v>
      </c>
      <c r="G565" s="10" t="s">
        <v>235</v>
      </c>
      <c r="H565" s="10">
        <v>9817633128</v>
      </c>
      <c r="I565" s="3">
        <v>800</v>
      </c>
      <c r="J565" s="3"/>
      <c r="K565" s="3"/>
      <c r="L565" s="3"/>
      <c r="M565" s="3"/>
      <c r="N565" s="3"/>
      <c r="O565" s="5">
        <v>24000</v>
      </c>
      <c r="P565" s="3"/>
    </row>
    <row r="566" spans="1:16" ht="15.75">
      <c r="A566" s="3">
        <v>23</v>
      </c>
      <c r="B566" s="4">
        <v>46203</v>
      </c>
      <c r="C566" s="3" t="s">
        <v>51</v>
      </c>
      <c r="D566" s="5" t="s">
        <v>236</v>
      </c>
      <c r="E566" s="10" t="s">
        <v>238</v>
      </c>
      <c r="F566" s="10" t="s">
        <v>180</v>
      </c>
      <c r="G566" s="10" t="s">
        <v>240</v>
      </c>
      <c r="H566" s="10">
        <v>9728727855</v>
      </c>
      <c r="I566" s="3">
        <v>750</v>
      </c>
      <c r="J566" s="3"/>
      <c r="K566" s="3"/>
      <c r="L566" s="3"/>
      <c r="M566" s="3"/>
      <c r="N566" s="3"/>
      <c r="O566" s="5">
        <v>16500</v>
      </c>
      <c r="P566" s="3"/>
    </row>
    <row r="567" spans="1:16" ht="15.75">
      <c r="A567" s="3">
        <v>24</v>
      </c>
      <c r="B567" s="4">
        <v>46203</v>
      </c>
      <c r="C567" s="3" t="s">
        <v>51</v>
      </c>
      <c r="D567" s="5" t="s">
        <v>237</v>
      </c>
      <c r="E567" s="10" t="s">
        <v>238</v>
      </c>
      <c r="F567" s="10" t="s">
        <v>239</v>
      </c>
      <c r="G567" s="10" t="s">
        <v>241</v>
      </c>
      <c r="H567" s="10">
        <v>9813575389</v>
      </c>
      <c r="I567" s="3">
        <v>800</v>
      </c>
      <c r="J567" s="3"/>
      <c r="K567" s="3"/>
      <c r="L567" s="3"/>
      <c r="M567" s="3"/>
      <c r="N567" s="3"/>
      <c r="O567" s="5">
        <v>24000</v>
      </c>
      <c r="P567" s="3"/>
    </row>
    <row r="568" spans="1:16" ht="15.75">
      <c r="A568" s="3">
        <v>25</v>
      </c>
      <c r="B568" s="4">
        <v>46203</v>
      </c>
      <c r="C568" s="3" t="s">
        <v>51</v>
      </c>
      <c r="D568" s="5" t="s">
        <v>242</v>
      </c>
      <c r="E568" s="10" t="s">
        <v>226</v>
      </c>
      <c r="F568" s="10" t="s">
        <v>246</v>
      </c>
      <c r="G568" s="10" t="s">
        <v>249</v>
      </c>
      <c r="H568" s="10">
        <v>9997650988</v>
      </c>
      <c r="I568" s="3">
        <v>750</v>
      </c>
      <c r="J568" s="3"/>
      <c r="K568" s="3"/>
      <c r="L568" s="3"/>
      <c r="M568" s="3"/>
      <c r="N568" s="3"/>
      <c r="O568" s="5">
        <v>16500</v>
      </c>
      <c r="P568" s="3"/>
    </row>
    <row r="569" spans="1:16" ht="15.75">
      <c r="A569" s="3">
        <v>26</v>
      </c>
      <c r="B569" s="4">
        <v>46203</v>
      </c>
      <c r="C569" s="3" t="s">
        <v>51</v>
      </c>
      <c r="D569" s="5" t="s">
        <v>243</v>
      </c>
      <c r="E569" s="10" t="s">
        <v>225</v>
      </c>
      <c r="F569" s="10" t="s">
        <v>247</v>
      </c>
      <c r="G569" s="10" t="s">
        <v>250</v>
      </c>
      <c r="H569" s="10">
        <v>8607470754</v>
      </c>
      <c r="I569" s="3">
        <v>800</v>
      </c>
      <c r="J569" s="3"/>
      <c r="K569" s="3"/>
      <c r="L569" s="3"/>
      <c r="M569" s="3"/>
      <c r="N569" s="3"/>
      <c r="O569" s="5">
        <v>24000</v>
      </c>
      <c r="P569" s="3"/>
    </row>
    <row r="570" spans="1:16" ht="15.75">
      <c r="A570" s="3">
        <v>27</v>
      </c>
      <c r="B570" s="4">
        <v>46203</v>
      </c>
      <c r="C570" s="3" t="s">
        <v>51</v>
      </c>
      <c r="D570" s="5" t="s">
        <v>244</v>
      </c>
      <c r="E570" s="10" t="s">
        <v>226</v>
      </c>
      <c r="F570" s="10" t="s">
        <v>248</v>
      </c>
      <c r="G570" s="10" t="s">
        <v>251</v>
      </c>
      <c r="H570" s="10">
        <v>8929903323</v>
      </c>
      <c r="I570" s="3">
        <v>800</v>
      </c>
      <c r="J570" s="3"/>
      <c r="K570" s="3"/>
      <c r="L570" s="3"/>
      <c r="M570" s="3"/>
      <c r="N570" s="3"/>
      <c r="O570" s="5">
        <v>24000</v>
      </c>
      <c r="P570" s="3"/>
    </row>
    <row r="571" spans="1:16" ht="15.75">
      <c r="A571" s="3">
        <v>28</v>
      </c>
      <c r="B571" s="4">
        <v>46203</v>
      </c>
      <c r="C571" s="3" t="s">
        <v>51</v>
      </c>
      <c r="D571" s="5" t="s">
        <v>252</v>
      </c>
      <c r="E571" s="10" t="s">
        <v>226</v>
      </c>
      <c r="F571" s="10" t="s">
        <v>120</v>
      </c>
      <c r="G571" s="10" t="s">
        <v>253</v>
      </c>
      <c r="H571" s="10">
        <v>8930304731</v>
      </c>
      <c r="I571" s="3">
        <v>800</v>
      </c>
      <c r="J571" s="3"/>
      <c r="K571" s="3"/>
      <c r="L571" s="3"/>
      <c r="M571" s="3"/>
      <c r="N571" s="3"/>
      <c r="O571" s="5">
        <v>24000</v>
      </c>
      <c r="P571" s="3"/>
    </row>
    <row r="572" spans="1:16" ht="15.75">
      <c r="A572" s="3">
        <v>29</v>
      </c>
      <c r="B572" s="4">
        <v>46203</v>
      </c>
      <c r="C572" s="3" t="s">
        <v>51</v>
      </c>
      <c r="D572" s="5" t="s">
        <v>256</v>
      </c>
      <c r="E572" s="10" t="s">
        <v>257</v>
      </c>
      <c r="F572" s="10" t="s">
        <v>258</v>
      </c>
      <c r="G572" s="10" t="s">
        <v>259</v>
      </c>
      <c r="H572" s="10">
        <v>7355860393</v>
      </c>
      <c r="I572" s="3">
        <v>750</v>
      </c>
      <c r="J572" s="3"/>
      <c r="K572" s="3"/>
      <c r="L572" s="3"/>
      <c r="M572" s="3"/>
      <c r="N572" s="3"/>
      <c r="O572" s="5">
        <v>16500</v>
      </c>
      <c r="P572" s="3"/>
    </row>
    <row r="573" spans="1:16" ht="15.75">
      <c r="A573" s="3">
        <v>30</v>
      </c>
      <c r="B573" s="4">
        <v>46203</v>
      </c>
      <c r="C573" s="3" t="s">
        <v>51</v>
      </c>
      <c r="D573" s="5" t="s">
        <v>263</v>
      </c>
      <c r="E573" s="10" t="s">
        <v>196</v>
      </c>
      <c r="F573" s="10" t="s">
        <v>260</v>
      </c>
      <c r="G573" s="10" t="s">
        <v>268</v>
      </c>
      <c r="H573" s="10">
        <v>8936838477</v>
      </c>
      <c r="I573" s="3">
        <v>750</v>
      </c>
      <c r="J573" s="3"/>
      <c r="K573" s="3"/>
      <c r="L573" s="3"/>
      <c r="M573" s="3"/>
      <c r="N573" s="3"/>
      <c r="O573" s="5">
        <v>17250</v>
      </c>
      <c r="P573" s="3"/>
    </row>
    <row r="574" spans="1:16" ht="15.75">
      <c r="A574" s="3">
        <v>31</v>
      </c>
      <c r="B574" s="4">
        <v>46203</v>
      </c>
      <c r="C574" s="3" t="s">
        <v>51</v>
      </c>
      <c r="D574" s="5" t="s">
        <v>266</v>
      </c>
      <c r="E574" s="10" t="s">
        <v>196</v>
      </c>
      <c r="F574" s="10" t="s">
        <v>239</v>
      </c>
      <c r="G574" s="10" t="s">
        <v>235</v>
      </c>
      <c r="H574" s="10">
        <v>9728139162</v>
      </c>
      <c r="I574" s="3">
        <v>750</v>
      </c>
      <c r="J574" s="3"/>
      <c r="K574" s="3"/>
      <c r="L574" s="3"/>
      <c r="M574" s="3"/>
      <c r="N574" s="3"/>
      <c r="O574" s="5">
        <v>17250</v>
      </c>
      <c r="P574" s="3"/>
    </row>
    <row r="575" spans="1:16" ht="15.75">
      <c r="A575" s="3">
        <v>32</v>
      </c>
      <c r="B575" s="4">
        <v>46203</v>
      </c>
      <c r="C575" s="3" t="s">
        <v>51</v>
      </c>
      <c r="D575" s="5" t="s">
        <v>288</v>
      </c>
      <c r="E575" s="3" t="s">
        <v>290</v>
      </c>
      <c r="F575" s="3" t="s">
        <v>180</v>
      </c>
      <c r="G575" s="3" t="s">
        <v>295</v>
      </c>
      <c r="H575" s="3">
        <v>9671443722</v>
      </c>
      <c r="I575" s="3">
        <v>800</v>
      </c>
      <c r="J575" s="3"/>
      <c r="K575" s="3"/>
      <c r="L575" s="3"/>
      <c r="M575" s="3"/>
      <c r="N575" s="3"/>
      <c r="O575" s="5">
        <v>26400</v>
      </c>
      <c r="P575" s="3"/>
    </row>
    <row r="576" spans="1:16" ht="15.75">
      <c r="A576" s="3">
        <v>33</v>
      </c>
      <c r="B576" s="4">
        <v>46203</v>
      </c>
      <c r="C576" s="3" t="s">
        <v>51</v>
      </c>
      <c r="D576" s="5" t="s">
        <v>289</v>
      </c>
      <c r="E576" s="3" t="s">
        <v>291</v>
      </c>
      <c r="F576" s="3" t="s">
        <v>292</v>
      </c>
      <c r="G576" s="3" t="s">
        <v>296</v>
      </c>
      <c r="H576" s="3">
        <v>9343799675</v>
      </c>
      <c r="I576" s="3">
        <v>800</v>
      </c>
      <c r="J576" s="3"/>
      <c r="K576" s="3"/>
      <c r="L576" s="3"/>
      <c r="M576" s="3"/>
      <c r="N576" s="3"/>
      <c r="O576" s="5">
        <v>25600</v>
      </c>
      <c r="P576" s="3"/>
    </row>
    <row r="577" spans="1:16" ht="15.75">
      <c r="A577" s="3">
        <v>34</v>
      </c>
      <c r="B577" s="4">
        <v>46203</v>
      </c>
      <c r="C577" s="3" t="s">
        <v>51</v>
      </c>
      <c r="D577" s="5" t="s">
        <v>298</v>
      </c>
      <c r="E577" s="3" t="s">
        <v>300</v>
      </c>
      <c r="F577" s="3" t="s">
        <v>71</v>
      </c>
      <c r="G577" s="3" t="s">
        <v>302</v>
      </c>
      <c r="H577" s="3">
        <v>7056212672</v>
      </c>
      <c r="I577" s="3">
        <v>750</v>
      </c>
      <c r="J577" s="3"/>
      <c r="K577" s="3"/>
      <c r="L577" s="3"/>
      <c r="M577" s="3"/>
      <c r="N577" s="3"/>
      <c r="O577" s="54">
        <v>18000</v>
      </c>
      <c r="P577" s="3"/>
    </row>
    <row r="578" spans="1:16" ht="15.75">
      <c r="A578" s="3">
        <v>35</v>
      </c>
      <c r="B578" s="4">
        <v>46203</v>
      </c>
      <c r="C578" s="3" t="s">
        <v>51</v>
      </c>
      <c r="D578" s="5" t="s">
        <v>306</v>
      </c>
      <c r="E578" s="3" t="s">
        <v>308</v>
      </c>
      <c r="F578" s="3" t="s">
        <v>165</v>
      </c>
      <c r="G578" s="3" t="s">
        <v>310</v>
      </c>
      <c r="H578" s="3">
        <v>9971836202</v>
      </c>
      <c r="I578" s="3">
        <v>800</v>
      </c>
      <c r="J578" s="3"/>
      <c r="K578" s="3"/>
      <c r="L578" s="3"/>
      <c r="M578" s="3"/>
      <c r="N578" s="3"/>
      <c r="O578" s="56">
        <v>26400</v>
      </c>
      <c r="P578" s="3"/>
    </row>
    <row r="579" spans="1:16" ht="15.75">
      <c r="A579" s="3">
        <v>36</v>
      </c>
      <c r="B579" s="4">
        <v>46203</v>
      </c>
      <c r="C579" s="3" t="s">
        <v>51</v>
      </c>
      <c r="D579" s="5" t="s">
        <v>307</v>
      </c>
      <c r="E579" s="3" t="s">
        <v>309</v>
      </c>
      <c r="F579" s="3" t="s">
        <v>305</v>
      </c>
      <c r="G579" s="3" t="s">
        <v>54</v>
      </c>
      <c r="H579" s="3">
        <v>8307951615</v>
      </c>
      <c r="I579" s="3">
        <v>1000</v>
      </c>
      <c r="J579" s="3"/>
      <c r="K579" s="3"/>
      <c r="L579" s="3"/>
      <c r="M579" s="3"/>
      <c r="N579" s="3"/>
      <c r="O579" s="56">
        <v>26000</v>
      </c>
      <c r="P579" s="3"/>
    </row>
    <row r="580" spans="1:16" ht="15.75">
      <c r="A580" s="3">
        <v>37</v>
      </c>
      <c r="B580" s="4">
        <v>46203</v>
      </c>
      <c r="C580" s="3" t="s">
        <v>51</v>
      </c>
      <c r="D580" s="5" t="s">
        <v>313</v>
      </c>
      <c r="E580" s="3" t="s">
        <v>314</v>
      </c>
      <c r="F580" s="3" t="s">
        <v>311</v>
      </c>
      <c r="G580" s="3" t="s">
        <v>316</v>
      </c>
      <c r="H580" s="3">
        <v>8053115922</v>
      </c>
      <c r="I580" s="3">
        <v>1000</v>
      </c>
      <c r="J580" s="3"/>
      <c r="K580" s="3"/>
      <c r="L580" s="3"/>
      <c r="M580" s="3"/>
      <c r="N580" s="3"/>
      <c r="O580" s="56">
        <v>26000</v>
      </c>
      <c r="P580" s="3"/>
    </row>
    <row r="581" spans="1:16" ht="15.75">
      <c r="A581" s="3">
        <v>38</v>
      </c>
      <c r="B581" s="4">
        <v>46203</v>
      </c>
      <c r="C581" s="3" t="s">
        <v>51</v>
      </c>
      <c r="D581" s="5" t="s">
        <v>324</v>
      </c>
      <c r="E581" s="3" t="s">
        <v>130</v>
      </c>
      <c r="F581" s="3" t="s">
        <v>317</v>
      </c>
      <c r="G581" s="3" t="s">
        <v>318</v>
      </c>
      <c r="H581" s="3">
        <v>9034416529</v>
      </c>
      <c r="I581" s="3">
        <v>1000</v>
      </c>
      <c r="J581" s="3"/>
      <c r="K581" s="3"/>
      <c r="L581" s="3"/>
      <c r="M581" s="3"/>
      <c r="N581" s="3"/>
      <c r="O581" s="56">
        <v>26000</v>
      </c>
      <c r="P581" s="3"/>
    </row>
    <row r="582" spans="1:16" ht="15.75">
      <c r="A582" s="3">
        <v>39</v>
      </c>
      <c r="B582" s="4">
        <v>46203</v>
      </c>
      <c r="C582" s="3" t="s">
        <v>51</v>
      </c>
      <c r="D582" s="5" t="s">
        <v>325</v>
      </c>
      <c r="E582" s="3" t="s">
        <v>130</v>
      </c>
      <c r="F582" s="3" t="s">
        <v>319</v>
      </c>
      <c r="G582" s="3" t="s">
        <v>320</v>
      </c>
      <c r="H582" s="3">
        <v>9728411675</v>
      </c>
      <c r="I582" s="3">
        <v>1000</v>
      </c>
      <c r="J582" s="3"/>
      <c r="K582" s="3"/>
      <c r="L582" s="3"/>
      <c r="M582" s="3"/>
      <c r="N582" s="3"/>
      <c r="O582" s="56">
        <v>26000</v>
      </c>
      <c r="P582" s="3"/>
    </row>
    <row r="583" spans="1:16" ht="15.75">
      <c r="A583" s="3">
        <v>40</v>
      </c>
      <c r="B583" s="4">
        <v>46203</v>
      </c>
      <c r="C583" s="3" t="s">
        <v>51</v>
      </c>
      <c r="D583" s="5" t="s">
        <v>326</v>
      </c>
      <c r="E583" s="3" t="s">
        <v>130</v>
      </c>
      <c r="F583" s="3" t="s">
        <v>321</v>
      </c>
      <c r="G583" s="3" t="s">
        <v>322</v>
      </c>
      <c r="H583" s="3">
        <v>9034416529</v>
      </c>
      <c r="I583" s="3">
        <v>1000</v>
      </c>
      <c r="J583" s="3"/>
      <c r="K583" s="3"/>
      <c r="L583" s="3"/>
      <c r="M583" s="3"/>
      <c r="N583" s="3"/>
      <c r="O583" s="56">
        <v>26000</v>
      </c>
      <c r="P583" s="3"/>
    </row>
    <row r="584" spans="1:16" ht="15.75">
      <c r="A584" s="3">
        <v>41</v>
      </c>
      <c r="B584" s="4">
        <v>46203</v>
      </c>
      <c r="C584" s="3" t="s">
        <v>51</v>
      </c>
      <c r="D584" s="5" t="s">
        <v>327</v>
      </c>
      <c r="E584" s="3" t="s">
        <v>300</v>
      </c>
      <c r="F584" s="3" t="s">
        <v>180</v>
      </c>
      <c r="G584" s="3" t="s">
        <v>78</v>
      </c>
      <c r="H584" s="3">
        <v>7027786391</v>
      </c>
      <c r="I584" s="3">
        <v>1000</v>
      </c>
      <c r="J584" s="3"/>
      <c r="K584" s="3"/>
      <c r="L584" s="3"/>
      <c r="M584" s="3"/>
      <c r="N584" s="3"/>
      <c r="O584" s="56">
        <v>26000</v>
      </c>
      <c r="P584" s="3"/>
    </row>
    <row r="585" spans="1:16" ht="15.75">
      <c r="A585" s="3">
        <v>42</v>
      </c>
      <c r="B585" s="4">
        <v>46203</v>
      </c>
      <c r="C585" s="3" t="s">
        <v>51</v>
      </c>
      <c r="D585" s="5" t="s">
        <v>328</v>
      </c>
      <c r="E585" s="3" t="s">
        <v>130</v>
      </c>
      <c r="F585" s="3" t="s">
        <v>323</v>
      </c>
      <c r="G585" s="3" t="s">
        <v>126</v>
      </c>
      <c r="H585" s="3">
        <v>9996695743</v>
      </c>
      <c r="I585" s="3">
        <v>1000</v>
      </c>
      <c r="J585" s="3"/>
      <c r="K585" s="3"/>
      <c r="L585" s="3"/>
      <c r="M585" s="3"/>
      <c r="N585" s="3"/>
      <c r="O585" s="56">
        <v>26000</v>
      </c>
      <c r="P585" s="3"/>
    </row>
    <row r="586" spans="1: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3"/>
      <c r="D587" s="3"/>
      <c r="E587" s="3"/>
      <c r="F587" s="3"/>
      <c r="G587" s="3"/>
      <c r="H587" s="3"/>
      <c r="I587" s="3">
        <f>SUM(I544:I586)</f>
        <v>34000</v>
      </c>
      <c r="J587" s="3"/>
      <c r="K587" s="3"/>
      <c r="L587" s="3"/>
      <c r="M587" s="3"/>
      <c r="N587" s="3"/>
      <c r="O587" s="3">
        <f>SUM(O544:O586)</f>
        <v>845050</v>
      </c>
      <c r="P587" s="3"/>
    </row>
    <row r="591" spans="1:16" ht="27.75">
      <c r="A591" s="142" t="s">
        <v>102</v>
      </c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</row>
    <row r="592" spans="1:16" ht="75">
      <c r="A592" s="1" t="s">
        <v>87</v>
      </c>
      <c r="B592" s="1" t="s">
        <v>103</v>
      </c>
      <c r="C592" s="1" t="s">
        <v>88</v>
      </c>
      <c r="D592" s="1" t="s">
        <v>104</v>
      </c>
      <c r="E592" s="1" t="s">
        <v>105</v>
      </c>
      <c r="F592" s="1" t="s">
        <v>106</v>
      </c>
      <c r="G592" s="1" t="s">
        <v>93</v>
      </c>
      <c r="H592" s="1" t="s">
        <v>107</v>
      </c>
      <c r="I592" s="1" t="s">
        <v>108</v>
      </c>
      <c r="J592" s="1" t="s">
        <v>109</v>
      </c>
      <c r="K592" s="1" t="s">
        <v>110</v>
      </c>
      <c r="L592" s="1" t="s">
        <v>21</v>
      </c>
      <c r="M592" s="1" t="s">
        <v>45</v>
      </c>
      <c r="N592" s="1" t="s">
        <v>111</v>
      </c>
      <c r="O592" s="2" t="s">
        <v>112</v>
      </c>
      <c r="P592" s="1" t="s">
        <v>113</v>
      </c>
    </row>
    <row r="593" spans="1:16" ht="15.75">
      <c r="A593" s="3">
        <v>1</v>
      </c>
      <c r="B593" s="75">
        <v>46204</v>
      </c>
      <c r="C593" s="3" t="s">
        <v>51</v>
      </c>
      <c r="D593" s="5" t="s">
        <v>56</v>
      </c>
      <c r="E593" s="5" t="s">
        <v>49</v>
      </c>
      <c r="F593" s="5" t="s">
        <v>53</v>
      </c>
      <c r="G593" s="5" t="s">
        <v>54</v>
      </c>
      <c r="H593" s="5">
        <v>9416205447</v>
      </c>
      <c r="I593" s="5">
        <v>750</v>
      </c>
      <c r="J593" s="3"/>
      <c r="K593" s="3"/>
      <c r="L593" s="3"/>
      <c r="M593" s="3"/>
      <c r="N593" s="3"/>
      <c r="O593" s="5">
        <v>12750</v>
      </c>
      <c r="P593" s="3"/>
    </row>
    <row r="594" spans="1:16" ht="15.75">
      <c r="A594" s="3">
        <v>2</v>
      </c>
      <c r="B594" s="75">
        <v>46204</v>
      </c>
      <c r="C594" s="3" t="s">
        <v>51</v>
      </c>
      <c r="D594" s="5" t="s">
        <v>61</v>
      </c>
      <c r="E594" s="5" t="s">
        <v>58</v>
      </c>
      <c r="F594" s="5" t="s">
        <v>59</v>
      </c>
      <c r="G594" s="5" t="s">
        <v>60</v>
      </c>
      <c r="H594" s="5">
        <v>7082390753</v>
      </c>
      <c r="I594" s="5">
        <v>750</v>
      </c>
      <c r="J594" s="3"/>
      <c r="K594" s="3"/>
      <c r="L594" s="3"/>
      <c r="M594" s="3"/>
      <c r="N594" s="3"/>
      <c r="O594" s="5">
        <v>12750</v>
      </c>
      <c r="P594" s="3"/>
    </row>
    <row r="595" spans="1:16" ht="15.75">
      <c r="A595" s="3">
        <v>3</v>
      </c>
      <c r="B595" s="75">
        <v>46204</v>
      </c>
      <c r="C595" s="3" t="s">
        <v>51</v>
      </c>
      <c r="D595" s="5" t="s">
        <v>65</v>
      </c>
      <c r="E595" s="5" t="s">
        <v>62</v>
      </c>
      <c r="F595" s="5" t="s">
        <v>63</v>
      </c>
      <c r="G595" s="5" t="s">
        <v>64</v>
      </c>
      <c r="H595" s="5">
        <v>9050560127</v>
      </c>
      <c r="I595" s="5">
        <v>750</v>
      </c>
      <c r="J595" s="3"/>
      <c r="K595" s="3"/>
      <c r="L595" s="3"/>
      <c r="M595" s="3"/>
      <c r="N595" s="3"/>
      <c r="O595" s="5">
        <v>12750</v>
      </c>
      <c r="P595" s="3"/>
    </row>
    <row r="596" spans="1:16" ht="15.75">
      <c r="A596" s="3">
        <v>4</v>
      </c>
      <c r="B596" s="75">
        <v>46204</v>
      </c>
      <c r="C596" s="3" t="s">
        <v>51</v>
      </c>
      <c r="D596" s="5" t="s">
        <v>76</v>
      </c>
      <c r="E596" s="5" t="s">
        <v>62</v>
      </c>
      <c r="F596" s="6" t="s">
        <v>74</v>
      </c>
      <c r="G596" s="6" t="s">
        <v>75</v>
      </c>
      <c r="H596" s="6">
        <v>8607782625</v>
      </c>
      <c r="I596" s="5">
        <v>750</v>
      </c>
      <c r="J596" s="3"/>
      <c r="K596" s="3"/>
      <c r="L596" s="3"/>
      <c r="M596" s="3"/>
      <c r="N596" s="3"/>
      <c r="O596" s="5">
        <v>12750</v>
      </c>
      <c r="P596" s="3"/>
    </row>
    <row r="597" spans="1:16" ht="15.75">
      <c r="A597" s="3">
        <v>5</v>
      </c>
      <c r="B597" s="75">
        <v>46204</v>
      </c>
      <c r="C597" s="3" t="s">
        <v>51</v>
      </c>
      <c r="D597" s="5" t="s">
        <v>116</v>
      </c>
      <c r="E597" s="10" t="s">
        <v>118</v>
      </c>
      <c r="F597" s="10" t="s">
        <v>122</v>
      </c>
      <c r="G597" s="10" t="s">
        <v>126</v>
      </c>
      <c r="H597" s="10">
        <v>9971164371</v>
      </c>
      <c r="I597" s="10">
        <v>750</v>
      </c>
      <c r="J597" s="3"/>
      <c r="K597" s="3"/>
      <c r="L597" s="3"/>
      <c r="M597" s="3"/>
      <c r="N597" s="3"/>
      <c r="O597" s="5">
        <v>13500</v>
      </c>
      <c r="P597" s="3"/>
    </row>
    <row r="598" spans="1:16" ht="15.75">
      <c r="A598" s="3">
        <v>6</v>
      </c>
      <c r="B598" s="75">
        <v>46204</v>
      </c>
      <c r="C598" s="3" t="s">
        <v>51</v>
      </c>
      <c r="D598" s="5" t="s">
        <v>117</v>
      </c>
      <c r="E598" s="10" t="s">
        <v>119</v>
      </c>
      <c r="F598" s="10" t="s">
        <v>123</v>
      </c>
      <c r="G598" s="10" t="s">
        <v>127</v>
      </c>
      <c r="H598" s="10">
        <v>8816966347</v>
      </c>
      <c r="I598" s="10">
        <v>750</v>
      </c>
      <c r="J598" s="3"/>
      <c r="K598" s="3"/>
      <c r="L598" s="3"/>
      <c r="M598" s="3"/>
      <c r="N598" s="3"/>
      <c r="O598" s="5">
        <v>13500</v>
      </c>
      <c r="P598" s="3"/>
    </row>
    <row r="599" spans="1:16" ht="15.75">
      <c r="A599" s="3">
        <v>7</v>
      </c>
      <c r="B599" s="75">
        <v>46204</v>
      </c>
      <c r="C599" s="3" t="s">
        <v>51</v>
      </c>
      <c r="D599" s="5" t="s">
        <v>146</v>
      </c>
      <c r="E599" s="5" t="s">
        <v>128</v>
      </c>
      <c r="F599" s="5" t="s">
        <v>131</v>
      </c>
      <c r="G599" s="5" t="s">
        <v>139</v>
      </c>
      <c r="H599" s="5">
        <v>8295428639</v>
      </c>
      <c r="I599" s="5">
        <v>800</v>
      </c>
      <c r="J599" s="3"/>
      <c r="K599" s="3"/>
      <c r="L599" s="3"/>
      <c r="M599" s="3"/>
      <c r="N599" s="3"/>
      <c r="O599" s="5">
        <v>21600</v>
      </c>
      <c r="P599" s="3"/>
    </row>
    <row r="600" spans="1:16" ht="15.75">
      <c r="A600" s="3">
        <v>8</v>
      </c>
      <c r="B600" s="75">
        <v>46204</v>
      </c>
      <c r="C600" s="3" t="s">
        <v>51</v>
      </c>
      <c r="D600" s="5" t="s">
        <v>148</v>
      </c>
      <c r="E600" s="5" t="s">
        <v>130</v>
      </c>
      <c r="F600" s="5" t="s">
        <v>133</v>
      </c>
      <c r="G600" s="5" t="s">
        <v>68</v>
      </c>
      <c r="H600" s="5">
        <v>9050180519</v>
      </c>
      <c r="I600" s="6">
        <v>750</v>
      </c>
      <c r="J600" s="3"/>
      <c r="K600" s="3"/>
      <c r="L600" s="3"/>
      <c r="M600" s="3"/>
      <c r="N600" s="3"/>
      <c r="O600" s="5">
        <v>14250</v>
      </c>
      <c r="P600" s="3"/>
    </row>
    <row r="601" spans="1:16" ht="15.75">
      <c r="A601" s="3">
        <v>9</v>
      </c>
      <c r="B601" s="75">
        <v>46204</v>
      </c>
      <c r="C601" s="3" t="s">
        <v>51</v>
      </c>
      <c r="D601" s="5" t="s">
        <v>149</v>
      </c>
      <c r="E601" s="5" t="s">
        <v>119</v>
      </c>
      <c r="F601" s="5" t="s">
        <v>134</v>
      </c>
      <c r="G601" s="5" t="s">
        <v>141</v>
      </c>
      <c r="H601" s="5">
        <v>9671597235</v>
      </c>
      <c r="I601" s="5">
        <v>800</v>
      </c>
      <c r="J601" s="3"/>
      <c r="K601" s="3"/>
      <c r="L601" s="3"/>
      <c r="M601" s="3"/>
      <c r="N601" s="3"/>
      <c r="O601" s="5">
        <v>21600</v>
      </c>
      <c r="P601" s="3"/>
    </row>
    <row r="602" spans="1:16" ht="15.75">
      <c r="A602" s="3">
        <v>10</v>
      </c>
      <c r="B602" s="75">
        <v>46204</v>
      </c>
      <c r="C602" s="3" t="s">
        <v>51</v>
      </c>
      <c r="D602" s="5" t="s">
        <v>150</v>
      </c>
      <c r="E602" s="5" t="s">
        <v>119</v>
      </c>
      <c r="F602" s="5" t="s">
        <v>135</v>
      </c>
      <c r="G602" s="5" t="s">
        <v>142</v>
      </c>
      <c r="H602" s="5">
        <v>9729501850</v>
      </c>
      <c r="I602" s="5">
        <v>800</v>
      </c>
      <c r="J602" s="3"/>
      <c r="K602" s="3"/>
      <c r="L602" s="3"/>
      <c r="M602" s="3"/>
      <c r="N602" s="3"/>
      <c r="O602" s="5">
        <v>21600</v>
      </c>
      <c r="P602" s="3"/>
    </row>
    <row r="603" spans="1:16" ht="15.75">
      <c r="A603" s="3">
        <v>11</v>
      </c>
      <c r="B603" s="75">
        <v>46204</v>
      </c>
      <c r="C603" s="3" t="s">
        <v>51</v>
      </c>
      <c r="D603" s="5" t="s">
        <v>152</v>
      </c>
      <c r="E603" s="5" t="s">
        <v>119</v>
      </c>
      <c r="F603" s="5" t="s">
        <v>137</v>
      </c>
      <c r="G603" s="5" t="s">
        <v>144</v>
      </c>
      <c r="H603" s="5">
        <v>9991638771</v>
      </c>
      <c r="I603" s="5">
        <v>800</v>
      </c>
      <c r="J603" s="3"/>
      <c r="K603" s="3"/>
      <c r="L603" s="3"/>
      <c r="M603" s="3"/>
      <c r="N603" s="3"/>
      <c r="O603" s="5">
        <v>21600</v>
      </c>
      <c r="P603" s="3"/>
    </row>
    <row r="604" spans="1:16" ht="15.75">
      <c r="A604" s="3">
        <v>12</v>
      </c>
      <c r="B604" s="75">
        <v>46204</v>
      </c>
      <c r="C604" s="3" t="s">
        <v>51</v>
      </c>
      <c r="D604" s="5" t="s">
        <v>158</v>
      </c>
      <c r="E604" s="10" t="s">
        <v>119</v>
      </c>
      <c r="F604" s="10" t="s">
        <v>71</v>
      </c>
      <c r="G604" s="10" t="s">
        <v>167</v>
      </c>
      <c r="H604" s="10">
        <v>9992401965</v>
      </c>
      <c r="I604" s="5">
        <v>800</v>
      </c>
      <c r="J604" s="3"/>
      <c r="K604" s="3"/>
      <c r="L604" s="3"/>
      <c r="M604" s="3"/>
      <c r="N604" s="3"/>
      <c r="O604" s="5">
        <v>21600</v>
      </c>
      <c r="P604" s="3"/>
    </row>
    <row r="605" spans="1:16" ht="15.75">
      <c r="A605" s="3">
        <v>13</v>
      </c>
      <c r="B605" s="75">
        <v>46204</v>
      </c>
      <c r="C605" s="3" t="s">
        <v>51</v>
      </c>
      <c r="D605" s="5" t="s">
        <v>159</v>
      </c>
      <c r="E605" s="10" t="s">
        <v>171</v>
      </c>
      <c r="F605" s="10" t="s">
        <v>163</v>
      </c>
      <c r="G605" s="10" t="s">
        <v>168</v>
      </c>
      <c r="H605" s="10">
        <v>7404474940</v>
      </c>
      <c r="I605" s="6">
        <v>750</v>
      </c>
      <c r="J605" s="3"/>
      <c r="K605" s="3"/>
      <c r="L605" s="3"/>
      <c r="M605" s="3"/>
      <c r="N605" s="3"/>
      <c r="O605" s="5">
        <v>14250</v>
      </c>
      <c r="P605" s="3"/>
    </row>
    <row r="606" spans="1:16" ht="15.75">
      <c r="A606" s="3">
        <v>14</v>
      </c>
      <c r="B606" s="75">
        <v>46204</v>
      </c>
      <c r="C606" s="3" t="s">
        <v>51</v>
      </c>
      <c r="D606" s="5" t="s">
        <v>160</v>
      </c>
      <c r="E606" s="10" t="s">
        <v>172</v>
      </c>
      <c r="F606" s="10" t="s">
        <v>164</v>
      </c>
      <c r="G606" s="10" t="s">
        <v>169</v>
      </c>
      <c r="H606" s="10">
        <v>9540614028</v>
      </c>
      <c r="I606" s="5">
        <v>800</v>
      </c>
      <c r="J606" s="3"/>
      <c r="K606" s="3"/>
      <c r="L606" s="3"/>
      <c r="M606" s="3"/>
      <c r="N606" s="3"/>
      <c r="O606" s="5">
        <v>21600</v>
      </c>
      <c r="P606" s="3"/>
    </row>
    <row r="607" spans="1:16" ht="15.75">
      <c r="A607" s="3">
        <v>15</v>
      </c>
      <c r="B607" s="75">
        <v>46204</v>
      </c>
      <c r="C607" s="3" t="s">
        <v>51</v>
      </c>
      <c r="D607" s="5" t="s">
        <v>161</v>
      </c>
      <c r="E607" s="10" t="s">
        <v>119</v>
      </c>
      <c r="F607" s="10" t="s">
        <v>165</v>
      </c>
      <c r="G607" s="10" t="s">
        <v>140</v>
      </c>
      <c r="H607" s="10">
        <v>8395910861</v>
      </c>
      <c r="I607" s="6">
        <v>750</v>
      </c>
      <c r="J607" s="3"/>
      <c r="K607" s="3"/>
      <c r="L607" s="3"/>
      <c r="M607" s="3"/>
      <c r="N607" s="3"/>
      <c r="O607" s="5">
        <v>14250</v>
      </c>
      <c r="P607" s="3"/>
    </row>
    <row r="608" spans="1:16" ht="15.75">
      <c r="A608" s="3">
        <v>16</v>
      </c>
      <c r="B608" s="75">
        <v>46204</v>
      </c>
      <c r="C608" s="3" t="s">
        <v>51</v>
      </c>
      <c r="D608" s="5" t="s">
        <v>162</v>
      </c>
      <c r="E608" s="10" t="s">
        <v>119</v>
      </c>
      <c r="F608" s="10" t="s">
        <v>166</v>
      </c>
      <c r="G608" s="10" t="s">
        <v>170</v>
      </c>
      <c r="H608" s="10">
        <v>9671227093</v>
      </c>
      <c r="I608" s="5">
        <v>800</v>
      </c>
      <c r="J608" s="3"/>
      <c r="K608" s="3"/>
      <c r="L608" s="3"/>
      <c r="M608" s="3"/>
      <c r="N608" s="3"/>
      <c r="O608" s="5">
        <v>21600</v>
      </c>
      <c r="P608" s="3"/>
    </row>
    <row r="609" spans="1:16" ht="15.75">
      <c r="A609" s="3">
        <v>17</v>
      </c>
      <c r="B609" s="75">
        <v>46204</v>
      </c>
      <c r="C609" s="3" t="s">
        <v>51</v>
      </c>
      <c r="D609" s="5" t="s">
        <v>174</v>
      </c>
      <c r="E609" s="5" t="s">
        <v>177</v>
      </c>
      <c r="F609" s="10" t="s">
        <v>179</v>
      </c>
      <c r="G609" s="10" t="s">
        <v>181</v>
      </c>
      <c r="H609" s="10">
        <v>9991575314</v>
      </c>
      <c r="I609" s="3">
        <v>800</v>
      </c>
      <c r="J609" s="3"/>
      <c r="K609" s="3"/>
      <c r="L609" s="3"/>
      <c r="M609" s="3"/>
      <c r="N609" s="3"/>
      <c r="O609" s="5">
        <v>22400</v>
      </c>
      <c r="P609" s="3"/>
    </row>
    <row r="610" spans="1:16" ht="15.75">
      <c r="A610" s="3">
        <v>18</v>
      </c>
      <c r="B610" s="75">
        <v>46204</v>
      </c>
      <c r="C610" s="3" t="s">
        <v>51</v>
      </c>
      <c r="D610" s="5" t="s">
        <v>175</v>
      </c>
      <c r="E610" s="10" t="s">
        <v>171</v>
      </c>
      <c r="F610" s="10" t="s">
        <v>180</v>
      </c>
      <c r="G610" s="10" t="s">
        <v>182</v>
      </c>
      <c r="H610" s="10">
        <v>8814086202</v>
      </c>
      <c r="I610" s="3">
        <v>750</v>
      </c>
      <c r="J610" s="3"/>
      <c r="K610" s="3"/>
      <c r="L610" s="3"/>
      <c r="M610" s="3"/>
      <c r="N610" s="3"/>
      <c r="O610" s="5">
        <v>14250</v>
      </c>
      <c r="P610" s="3"/>
    </row>
    <row r="611" spans="1:16" ht="15.75">
      <c r="A611" s="3">
        <v>19</v>
      </c>
      <c r="B611" s="75">
        <v>46204</v>
      </c>
      <c r="C611" s="3" t="s">
        <v>51</v>
      </c>
      <c r="D611" s="5" t="s">
        <v>176</v>
      </c>
      <c r="E611" s="10" t="s">
        <v>178</v>
      </c>
      <c r="F611" s="10" t="s">
        <v>165</v>
      </c>
      <c r="G611" s="10" t="s">
        <v>183</v>
      </c>
      <c r="H611" s="10">
        <v>9991361344</v>
      </c>
      <c r="I611" s="3">
        <v>750</v>
      </c>
      <c r="J611" s="3"/>
      <c r="K611" s="3"/>
      <c r="L611" s="3"/>
      <c r="M611" s="3"/>
      <c r="N611" s="3"/>
      <c r="O611" s="5">
        <v>15000</v>
      </c>
      <c r="P611" s="3"/>
    </row>
    <row r="612" spans="1:16" ht="15.75">
      <c r="A612" s="3">
        <v>20</v>
      </c>
      <c r="B612" s="75">
        <v>46204</v>
      </c>
      <c r="C612" s="3" t="s">
        <v>51</v>
      </c>
      <c r="D612" s="5" t="s">
        <v>194</v>
      </c>
      <c r="E612" s="10" t="s">
        <v>197</v>
      </c>
      <c r="F612" s="10" t="s">
        <v>71</v>
      </c>
      <c r="G612" s="10" t="s">
        <v>125</v>
      </c>
      <c r="H612" s="10">
        <v>9053156064</v>
      </c>
      <c r="I612" s="3">
        <v>750</v>
      </c>
      <c r="J612" s="3"/>
      <c r="K612" s="3"/>
      <c r="L612" s="3"/>
      <c r="M612" s="3"/>
      <c r="N612" s="3"/>
      <c r="O612" s="5">
        <v>15750</v>
      </c>
      <c r="P612" s="3"/>
    </row>
    <row r="613" spans="1:16" ht="15.75">
      <c r="A613" s="3">
        <v>21</v>
      </c>
      <c r="B613" s="75">
        <v>46204</v>
      </c>
      <c r="C613" s="3" t="s">
        <v>51</v>
      </c>
      <c r="D613" s="5" t="s">
        <v>199</v>
      </c>
      <c r="E613" s="10" t="s">
        <v>197</v>
      </c>
      <c r="F613" s="10" t="s">
        <v>53</v>
      </c>
      <c r="G613" s="10" t="s">
        <v>204</v>
      </c>
      <c r="H613" s="10">
        <v>9813304531</v>
      </c>
      <c r="I613" s="3">
        <v>750</v>
      </c>
      <c r="J613" s="3"/>
      <c r="K613" s="3"/>
      <c r="L613" s="3"/>
      <c r="M613" s="3"/>
      <c r="N613" s="3"/>
      <c r="O613" s="5">
        <v>15750</v>
      </c>
      <c r="P613" s="3"/>
    </row>
    <row r="614" spans="1:16" ht="15.75">
      <c r="A614" s="3">
        <v>22</v>
      </c>
      <c r="B614" s="75">
        <v>46204</v>
      </c>
      <c r="C614" s="3" t="s">
        <v>51</v>
      </c>
      <c r="D614" s="5" t="s">
        <v>200</v>
      </c>
      <c r="E614" s="10" t="s">
        <v>197</v>
      </c>
      <c r="F614" s="10" t="s">
        <v>121</v>
      </c>
      <c r="G614" s="10" t="s">
        <v>140</v>
      </c>
      <c r="H614" s="10">
        <v>8930321437</v>
      </c>
      <c r="I614" s="3">
        <v>800</v>
      </c>
      <c r="J614" s="3"/>
      <c r="K614" s="3"/>
      <c r="L614" s="3"/>
      <c r="M614" s="3"/>
      <c r="N614" s="3"/>
      <c r="O614" s="5">
        <v>23200</v>
      </c>
      <c r="P614" s="3"/>
    </row>
    <row r="615" spans="1:16" ht="15.75">
      <c r="A615" s="3">
        <v>23</v>
      </c>
      <c r="B615" s="75">
        <v>46204</v>
      </c>
      <c r="C615" s="3" t="s">
        <v>51</v>
      </c>
      <c r="D615" s="5" t="s">
        <v>201</v>
      </c>
      <c r="E615" s="10" t="s">
        <v>206</v>
      </c>
      <c r="F615" s="10" t="s">
        <v>165</v>
      </c>
      <c r="G615" s="10" t="s">
        <v>205</v>
      </c>
      <c r="H615" s="10">
        <v>8295267191</v>
      </c>
      <c r="I615" s="3">
        <v>800</v>
      </c>
      <c r="J615" s="3"/>
      <c r="K615" s="3"/>
      <c r="L615" s="3"/>
      <c r="M615" s="3"/>
      <c r="N615" s="3"/>
      <c r="O615" s="5">
        <v>23200</v>
      </c>
      <c r="P615" s="3"/>
    </row>
    <row r="616" spans="1:16" ht="15.75">
      <c r="A616" s="3">
        <v>24</v>
      </c>
      <c r="B616" s="75">
        <v>46204</v>
      </c>
      <c r="C616" s="3" t="s">
        <v>51</v>
      </c>
      <c r="D616" s="5" t="s">
        <v>202</v>
      </c>
      <c r="E616" s="10" t="s">
        <v>118</v>
      </c>
      <c r="F616" s="10" t="s">
        <v>203</v>
      </c>
      <c r="G616" s="10" t="s">
        <v>185</v>
      </c>
      <c r="H616" s="10">
        <v>7988050867</v>
      </c>
      <c r="I616" s="3">
        <v>750</v>
      </c>
      <c r="J616" s="3"/>
      <c r="K616" s="3"/>
      <c r="L616" s="3"/>
      <c r="M616" s="3"/>
      <c r="N616" s="3"/>
      <c r="O616" s="5">
        <v>15750</v>
      </c>
      <c r="P616" s="3"/>
    </row>
    <row r="617" spans="1:16" ht="15.75">
      <c r="A617" s="3">
        <v>25</v>
      </c>
      <c r="B617" s="75">
        <v>46204</v>
      </c>
      <c r="C617" s="3" t="s">
        <v>51</v>
      </c>
      <c r="D617" s="5" t="s">
        <v>208</v>
      </c>
      <c r="E617" s="10" t="s">
        <v>49</v>
      </c>
      <c r="F617" s="10" t="s">
        <v>215</v>
      </c>
      <c r="G617" s="10" t="s">
        <v>216</v>
      </c>
      <c r="H617" s="10">
        <v>9812012403</v>
      </c>
      <c r="I617" s="3">
        <v>800</v>
      </c>
      <c r="J617" s="3"/>
      <c r="K617" s="3"/>
      <c r="L617" s="3"/>
      <c r="M617" s="3"/>
      <c r="N617" s="3"/>
      <c r="O617" s="5">
        <v>23200</v>
      </c>
      <c r="P617" s="3"/>
    </row>
    <row r="618" spans="1:16" ht="15.75">
      <c r="A618" s="3">
        <v>26</v>
      </c>
      <c r="B618" s="75">
        <v>46204</v>
      </c>
      <c r="C618" s="3" t="s">
        <v>51</v>
      </c>
      <c r="D618" s="5" t="s">
        <v>262</v>
      </c>
      <c r="E618" s="10" t="s">
        <v>197</v>
      </c>
      <c r="F618" s="10" t="s">
        <v>247</v>
      </c>
      <c r="G618" s="10" t="s">
        <v>267</v>
      </c>
      <c r="H618" s="10">
        <v>7027082504</v>
      </c>
      <c r="I618" s="3">
        <v>800</v>
      </c>
      <c r="J618" s="3"/>
      <c r="K618" s="3"/>
      <c r="L618" s="3"/>
      <c r="M618" s="3"/>
      <c r="N618" s="3"/>
      <c r="O618" s="5">
        <v>24800</v>
      </c>
      <c r="P618" s="3"/>
    </row>
    <row r="619" spans="1:16" ht="15.75">
      <c r="A619" s="3">
        <v>27</v>
      </c>
      <c r="B619" s="75">
        <v>46204</v>
      </c>
      <c r="C619" s="3" t="s">
        <v>51</v>
      </c>
      <c r="D619" s="5" t="s">
        <v>264</v>
      </c>
      <c r="E619" s="10" t="s">
        <v>49</v>
      </c>
      <c r="F619" s="10" t="s">
        <v>254</v>
      </c>
      <c r="G619" s="10" t="s">
        <v>269</v>
      </c>
      <c r="H619" s="10">
        <v>9729160317</v>
      </c>
      <c r="I619" s="3">
        <v>750</v>
      </c>
      <c r="J619" s="3"/>
      <c r="K619" s="3"/>
      <c r="L619" s="3"/>
      <c r="M619" s="3"/>
      <c r="N619" s="3"/>
      <c r="O619" s="5">
        <v>16500</v>
      </c>
      <c r="P619" s="3"/>
    </row>
    <row r="620" spans="1:16" ht="15.75">
      <c r="A620" s="3">
        <v>28</v>
      </c>
      <c r="B620" s="75">
        <v>46204</v>
      </c>
      <c r="C620" s="3" t="s">
        <v>51</v>
      </c>
      <c r="D620" s="5" t="s">
        <v>265</v>
      </c>
      <c r="E620" s="10" t="s">
        <v>49</v>
      </c>
      <c r="F620" s="10" t="s">
        <v>261</v>
      </c>
      <c r="G620" s="10" t="s">
        <v>270</v>
      </c>
      <c r="H620" s="10">
        <v>9991081679</v>
      </c>
      <c r="I620" s="3">
        <v>800</v>
      </c>
      <c r="J620" s="3"/>
      <c r="K620" s="3"/>
      <c r="L620" s="3"/>
      <c r="M620" s="3"/>
      <c r="N620" s="3"/>
      <c r="O620" s="5">
        <v>24800</v>
      </c>
      <c r="P620" s="3"/>
    </row>
    <row r="621" spans="1:16" ht="15.75">
      <c r="A621" s="3">
        <v>29</v>
      </c>
      <c r="B621" s="75">
        <v>46204</v>
      </c>
      <c r="C621" s="3" t="s">
        <v>51</v>
      </c>
      <c r="D621" s="5" t="s">
        <v>275</v>
      </c>
      <c r="E621" s="10" t="s">
        <v>278</v>
      </c>
      <c r="F621" s="10" t="s">
        <v>271</v>
      </c>
      <c r="G621" s="10" t="s">
        <v>280</v>
      </c>
      <c r="H621" s="10">
        <v>9466502084</v>
      </c>
      <c r="I621" s="3">
        <v>750</v>
      </c>
      <c r="J621" s="3"/>
      <c r="K621" s="3"/>
      <c r="L621" s="3"/>
      <c r="M621" s="3"/>
      <c r="N621" s="3"/>
      <c r="O621" s="5">
        <v>17250</v>
      </c>
      <c r="P621" s="3"/>
    </row>
    <row r="622" spans="1:16" ht="15.75">
      <c r="A622" s="3">
        <v>30</v>
      </c>
      <c r="B622" s="75">
        <v>46204</v>
      </c>
      <c r="C622" s="3" t="s">
        <v>51</v>
      </c>
      <c r="D622" s="5" t="s">
        <v>276</v>
      </c>
      <c r="E622" s="10" t="s">
        <v>279</v>
      </c>
      <c r="F622" s="10" t="s">
        <v>272</v>
      </c>
      <c r="G622" s="10" t="s">
        <v>281</v>
      </c>
      <c r="H622" s="10">
        <v>8168586120</v>
      </c>
      <c r="I622" s="3">
        <v>800</v>
      </c>
      <c r="J622" s="3"/>
      <c r="K622" s="3"/>
      <c r="L622" s="3"/>
      <c r="M622" s="3"/>
      <c r="N622" s="3"/>
      <c r="O622" s="5">
        <v>24800</v>
      </c>
      <c r="P622" s="3"/>
    </row>
    <row r="623" spans="1:16" ht="15.75">
      <c r="A623" s="3">
        <v>31</v>
      </c>
      <c r="B623" s="75">
        <v>46204</v>
      </c>
      <c r="C623" s="3" t="s">
        <v>51</v>
      </c>
      <c r="D623" s="5" t="s">
        <v>277</v>
      </c>
      <c r="E623" s="10" t="s">
        <v>49</v>
      </c>
      <c r="F623" s="10" t="s">
        <v>273</v>
      </c>
      <c r="G623" s="10" t="s">
        <v>282</v>
      </c>
      <c r="H623" s="10">
        <v>8295507421</v>
      </c>
      <c r="I623" s="3">
        <v>800</v>
      </c>
      <c r="J623" s="3"/>
      <c r="K623" s="3"/>
      <c r="L623" s="3"/>
      <c r="M623" s="3"/>
      <c r="N623" s="3"/>
      <c r="O623" s="5">
        <v>24800</v>
      </c>
      <c r="P623" s="3"/>
    </row>
    <row r="624" spans="1:16" ht="15.75">
      <c r="A624" s="3">
        <v>32</v>
      </c>
      <c r="B624" s="75">
        <v>46204</v>
      </c>
      <c r="C624" s="3" t="s">
        <v>51</v>
      </c>
      <c r="D624" s="5" t="s">
        <v>255</v>
      </c>
      <c r="E624" s="10" t="s">
        <v>278</v>
      </c>
      <c r="F624" s="10" t="s">
        <v>274</v>
      </c>
      <c r="G624" s="10" t="s">
        <v>189</v>
      </c>
      <c r="H624" s="10">
        <v>7828359630</v>
      </c>
      <c r="I624" s="3">
        <v>750</v>
      </c>
      <c r="J624" s="3"/>
      <c r="K624" s="3"/>
      <c r="L624" s="3"/>
      <c r="M624" s="3"/>
      <c r="N624" s="3"/>
      <c r="O624" s="5">
        <v>17250</v>
      </c>
      <c r="P624" s="3"/>
    </row>
    <row r="625" spans="1:16" ht="15.75">
      <c r="A625" s="3">
        <v>33</v>
      </c>
      <c r="B625" s="75">
        <v>46204</v>
      </c>
      <c r="C625" s="3" t="s">
        <v>51</v>
      </c>
      <c r="D625" s="5" t="s">
        <v>286</v>
      </c>
      <c r="E625" s="3" t="s">
        <v>49</v>
      </c>
      <c r="F625" s="3" t="s">
        <v>285</v>
      </c>
      <c r="G625" s="3" t="s">
        <v>293</v>
      </c>
      <c r="H625" s="3">
        <v>9671634311</v>
      </c>
      <c r="I625" s="3">
        <v>800</v>
      </c>
      <c r="J625" s="3"/>
      <c r="K625" s="3"/>
      <c r="L625" s="3"/>
      <c r="M625" s="3"/>
      <c r="N625" s="3"/>
      <c r="O625" s="5">
        <v>25600</v>
      </c>
      <c r="P625" s="3"/>
    </row>
    <row r="626" spans="1:16" ht="15.75">
      <c r="A626" s="3">
        <v>34</v>
      </c>
      <c r="B626" s="75">
        <v>46204</v>
      </c>
      <c r="C626" s="3" t="s">
        <v>51</v>
      </c>
      <c r="D626" s="5" t="s">
        <v>287</v>
      </c>
      <c r="E626" s="3" t="s">
        <v>130</v>
      </c>
      <c r="F626" s="3" t="s">
        <v>284</v>
      </c>
      <c r="G626" s="3" t="s">
        <v>294</v>
      </c>
      <c r="H626" s="3">
        <v>9671393271</v>
      </c>
      <c r="I626" s="3">
        <v>800</v>
      </c>
      <c r="J626" s="3"/>
      <c r="K626" s="3"/>
      <c r="L626" s="3"/>
      <c r="M626" s="3"/>
      <c r="N626" s="3"/>
      <c r="O626" s="5">
        <v>25600</v>
      </c>
      <c r="P626" s="3"/>
    </row>
    <row r="627" spans="1:16" ht="15.75">
      <c r="A627" s="3">
        <v>35</v>
      </c>
      <c r="B627" s="75">
        <v>46204</v>
      </c>
      <c r="C627" s="3" t="s">
        <v>51</v>
      </c>
      <c r="D627" s="6" t="s">
        <v>299</v>
      </c>
      <c r="E627" s="3" t="s">
        <v>130</v>
      </c>
      <c r="F627" s="3" t="s">
        <v>301</v>
      </c>
      <c r="G627" s="3" t="s">
        <v>303</v>
      </c>
      <c r="H627" s="3">
        <v>8397097184</v>
      </c>
      <c r="I627" s="3">
        <v>800</v>
      </c>
      <c r="J627" s="3"/>
      <c r="K627" s="3"/>
      <c r="L627" s="3"/>
      <c r="M627" s="3"/>
      <c r="N627" s="3"/>
      <c r="O627" s="6">
        <v>25600</v>
      </c>
      <c r="P627" s="3"/>
    </row>
    <row r="628" spans="1:16" ht="15.75">
      <c r="A628" s="3">
        <v>36</v>
      </c>
      <c r="B628" s="75">
        <v>46204</v>
      </c>
      <c r="C628" s="3" t="s">
        <v>51</v>
      </c>
      <c r="D628" s="5" t="s">
        <v>312</v>
      </c>
      <c r="E628" s="3" t="s">
        <v>197</v>
      </c>
      <c r="F628" s="3" t="s">
        <v>121</v>
      </c>
      <c r="G628" s="3" t="s">
        <v>315</v>
      </c>
      <c r="H628" s="3">
        <v>8059882196</v>
      </c>
      <c r="I628" s="3">
        <v>800</v>
      </c>
      <c r="J628" s="3"/>
      <c r="K628" s="3"/>
      <c r="L628" s="3"/>
      <c r="M628" s="3"/>
      <c r="N628" s="3"/>
      <c r="O628" s="6">
        <v>25600</v>
      </c>
      <c r="P628" s="3"/>
    </row>
    <row r="629" spans="1:16" ht="15.75">
      <c r="A629" s="3">
        <v>37</v>
      </c>
      <c r="B629" s="75">
        <v>46204</v>
      </c>
      <c r="C629" s="3" t="s">
        <v>51</v>
      </c>
      <c r="D629" s="5" t="s">
        <v>332</v>
      </c>
      <c r="E629" s="3" t="s">
        <v>206</v>
      </c>
      <c r="F629" s="3" t="s">
        <v>330</v>
      </c>
      <c r="G629" s="3" t="s">
        <v>331</v>
      </c>
      <c r="H629" s="3">
        <v>7015840262</v>
      </c>
      <c r="I629" s="3">
        <v>800</v>
      </c>
      <c r="J629" s="3"/>
      <c r="K629" s="3"/>
      <c r="L629" s="3"/>
      <c r="M629" s="3"/>
      <c r="N629" s="3"/>
      <c r="O629" s="6">
        <v>26400</v>
      </c>
      <c r="P629" s="3"/>
    </row>
    <row r="630" spans="1:16" ht="15.75">
      <c r="A630" s="3">
        <v>38</v>
      </c>
      <c r="B630" s="75">
        <v>46204</v>
      </c>
      <c r="C630" s="3" t="s">
        <v>51</v>
      </c>
      <c r="D630" s="5" t="s">
        <v>343</v>
      </c>
      <c r="E630" s="3" t="s">
        <v>348</v>
      </c>
      <c r="F630" s="3" t="s">
        <v>333</v>
      </c>
      <c r="G630" s="3" t="s">
        <v>334</v>
      </c>
      <c r="H630" s="3">
        <v>8708050493</v>
      </c>
      <c r="I630" s="3">
        <v>1000</v>
      </c>
      <c r="J630" s="3"/>
      <c r="K630" s="3"/>
      <c r="L630" s="3"/>
      <c r="M630" s="3"/>
      <c r="N630" s="3"/>
      <c r="O630" s="6">
        <v>27000</v>
      </c>
      <c r="P630" s="3"/>
    </row>
    <row r="631" spans="1:16" ht="15.75">
      <c r="A631" s="3">
        <v>39</v>
      </c>
      <c r="B631" s="75">
        <v>46204</v>
      </c>
      <c r="C631" s="3" t="s">
        <v>51</v>
      </c>
      <c r="D631" s="5" t="s">
        <v>344</v>
      </c>
      <c r="E631" s="3" t="s">
        <v>348</v>
      </c>
      <c r="F631" s="3" t="s">
        <v>335</v>
      </c>
      <c r="G631" s="3" t="s">
        <v>336</v>
      </c>
      <c r="H631" s="3">
        <v>8708050493</v>
      </c>
      <c r="I631" s="3">
        <v>1000</v>
      </c>
      <c r="J631" s="3"/>
      <c r="K631" s="3"/>
      <c r="L631" s="3"/>
      <c r="M631" s="3"/>
      <c r="N631" s="3"/>
      <c r="O631" s="6">
        <v>27000</v>
      </c>
      <c r="P631" s="3"/>
    </row>
    <row r="632" spans="1:16" ht="15.75">
      <c r="A632" s="3">
        <v>40</v>
      </c>
      <c r="B632" s="75">
        <v>46204</v>
      </c>
      <c r="C632" s="3" t="s">
        <v>51</v>
      </c>
      <c r="D632" s="5" t="s">
        <v>346</v>
      </c>
      <c r="E632" s="3" t="s">
        <v>49</v>
      </c>
      <c r="F632" s="3" t="s">
        <v>339</v>
      </c>
      <c r="G632" s="3" t="s">
        <v>340</v>
      </c>
      <c r="H632" s="3">
        <v>7496866457</v>
      </c>
      <c r="I632" s="3">
        <v>810</v>
      </c>
      <c r="J632" s="3"/>
      <c r="K632" s="3"/>
      <c r="L632" s="3"/>
      <c r="M632" s="3"/>
      <c r="N632" s="3"/>
      <c r="O632" s="6">
        <v>20250</v>
      </c>
      <c r="P632" s="3"/>
    </row>
    <row r="633" spans="1:16" ht="15.75">
      <c r="A633" s="3">
        <v>41</v>
      </c>
      <c r="B633" s="75">
        <v>46204</v>
      </c>
      <c r="C633" s="3" t="s">
        <v>51</v>
      </c>
      <c r="D633" s="5" t="s">
        <v>347</v>
      </c>
      <c r="E633" s="3" t="s">
        <v>49</v>
      </c>
      <c r="F633" s="3" t="s">
        <v>341</v>
      </c>
      <c r="G633" s="3" t="s">
        <v>342</v>
      </c>
      <c r="H633" s="3">
        <v>7496866457</v>
      </c>
      <c r="I633" s="3">
        <v>1000</v>
      </c>
      <c r="J633" s="3"/>
      <c r="K633" s="3"/>
      <c r="L633" s="3"/>
      <c r="M633" s="3"/>
      <c r="N633" s="3"/>
      <c r="O633" s="6">
        <v>27000</v>
      </c>
      <c r="P633" s="3"/>
    </row>
    <row r="634" spans="1: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3"/>
      <c r="D635" s="3"/>
      <c r="E635" s="3"/>
      <c r="F635" s="3"/>
      <c r="G635" s="3"/>
      <c r="H635" s="3"/>
      <c r="I635" s="3">
        <f>SUM(I593:I634)</f>
        <v>32560</v>
      </c>
      <c r="J635" s="3"/>
      <c r="K635" s="3"/>
      <c r="L635" s="3"/>
      <c r="M635" s="3"/>
      <c r="N635" s="3"/>
      <c r="O635" s="3">
        <f>SUM(O593:O634)</f>
        <v>820700</v>
      </c>
      <c r="P635" s="3"/>
    </row>
    <row r="639" spans="1:16" ht="27.75">
      <c r="A639" s="142" t="s">
        <v>155</v>
      </c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</row>
    <row r="640" spans="1:16" ht="75">
      <c r="A640" s="1" t="s">
        <v>87</v>
      </c>
      <c r="B640" s="1" t="s">
        <v>103</v>
      </c>
      <c r="C640" s="1" t="s">
        <v>88</v>
      </c>
      <c r="D640" s="1" t="s">
        <v>104</v>
      </c>
      <c r="E640" s="1" t="s">
        <v>105</v>
      </c>
      <c r="F640" s="1" t="s">
        <v>106</v>
      </c>
      <c r="G640" s="1" t="s">
        <v>93</v>
      </c>
      <c r="H640" s="1" t="s">
        <v>107</v>
      </c>
      <c r="I640" s="1" t="s">
        <v>108</v>
      </c>
      <c r="J640" s="1" t="s">
        <v>109</v>
      </c>
      <c r="K640" s="1" t="s">
        <v>110</v>
      </c>
      <c r="L640" s="1" t="s">
        <v>21</v>
      </c>
      <c r="M640" s="1" t="s">
        <v>45</v>
      </c>
      <c r="N640" s="1" t="s">
        <v>111</v>
      </c>
      <c r="O640" s="2" t="s">
        <v>112</v>
      </c>
      <c r="P640" s="1" t="s">
        <v>113</v>
      </c>
    </row>
    <row r="641" spans="1:16" ht="15.75">
      <c r="A641" s="7">
        <v>1</v>
      </c>
      <c r="B641" s="80">
        <v>46210</v>
      </c>
      <c r="C641" s="7" t="s">
        <v>51</v>
      </c>
      <c r="D641" s="5" t="s">
        <v>70</v>
      </c>
      <c r="E641" s="5" t="s">
        <v>66</v>
      </c>
      <c r="F641" s="5" t="s">
        <v>67</v>
      </c>
      <c r="G641" s="5" t="s">
        <v>68</v>
      </c>
      <c r="H641" s="5">
        <v>8395916139</v>
      </c>
      <c r="I641" s="5">
        <v>800</v>
      </c>
      <c r="J641" s="7"/>
      <c r="K641" s="7"/>
      <c r="L641" s="7"/>
      <c r="M641" s="7"/>
      <c r="N641" s="7"/>
      <c r="O641" s="5">
        <v>20000</v>
      </c>
      <c r="P641" s="7"/>
    </row>
    <row r="642" spans="1:16" ht="15.75">
      <c r="A642" s="7">
        <v>2</v>
      </c>
      <c r="B642" s="80">
        <v>46210</v>
      </c>
      <c r="C642" s="7" t="s">
        <v>51</v>
      </c>
      <c r="D642" s="5" t="s">
        <v>73</v>
      </c>
      <c r="E642" s="5" t="s">
        <v>66</v>
      </c>
      <c r="F642" s="5" t="s">
        <v>71</v>
      </c>
      <c r="G642" s="5" t="s">
        <v>72</v>
      </c>
      <c r="H642" s="5">
        <v>7289049720</v>
      </c>
      <c r="I642" s="5">
        <v>750</v>
      </c>
      <c r="J642" s="7"/>
      <c r="K642" s="7"/>
      <c r="L642" s="7"/>
      <c r="M642" s="7"/>
      <c r="N642" s="7"/>
      <c r="O642" s="5">
        <v>12750</v>
      </c>
      <c r="P642" s="7"/>
    </row>
    <row r="643" spans="1:16" ht="15.75">
      <c r="A643" s="7">
        <v>3</v>
      </c>
      <c r="B643" s="80">
        <v>46210</v>
      </c>
      <c r="C643" s="7" t="s">
        <v>51</v>
      </c>
      <c r="D643" s="5" t="s">
        <v>79</v>
      </c>
      <c r="E643" s="5" t="s">
        <v>66</v>
      </c>
      <c r="F643" s="6" t="s">
        <v>77</v>
      </c>
      <c r="G643" s="6" t="s">
        <v>78</v>
      </c>
      <c r="H643" s="6">
        <v>7355817478</v>
      </c>
      <c r="I643" s="5">
        <v>750</v>
      </c>
      <c r="J643" s="7"/>
      <c r="K643" s="7"/>
      <c r="L643" s="7"/>
      <c r="M643" s="7"/>
      <c r="N643" s="7"/>
      <c r="O643" s="5">
        <v>12750</v>
      </c>
      <c r="P643" s="7"/>
    </row>
    <row r="644" spans="1:16" ht="15.75">
      <c r="A644" s="7">
        <v>4</v>
      </c>
      <c r="B644" s="80">
        <v>46210</v>
      </c>
      <c r="C644" s="7" t="s">
        <v>51</v>
      </c>
      <c r="D644" s="5" t="s">
        <v>82</v>
      </c>
      <c r="E644" s="6" t="s">
        <v>66</v>
      </c>
      <c r="F644" s="6" t="s">
        <v>80</v>
      </c>
      <c r="G644" s="6" t="s">
        <v>81</v>
      </c>
      <c r="H644" s="6">
        <v>7027566795</v>
      </c>
      <c r="I644" s="5">
        <v>800</v>
      </c>
      <c r="J644" s="7"/>
      <c r="K644" s="7"/>
      <c r="L644" s="7"/>
      <c r="M644" s="7"/>
      <c r="N644" s="7"/>
      <c r="O644" s="5">
        <v>20000</v>
      </c>
      <c r="P644" s="7"/>
    </row>
    <row r="645" spans="1:16" ht="15.75">
      <c r="A645" s="7">
        <v>5</v>
      </c>
      <c r="B645" s="80">
        <v>46210</v>
      </c>
      <c r="C645" s="7" t="s">
        <v>51</v>
      </c>
      <c r="D645" s="5" t="s">
        <v>85</v>
      </c>
      <c r="E645" s="6" t="s">
        <v>66</v>
      </c>
      <c r="F645" s="5" t="s">
        <v>83</v>
      </c>
      <c r="G645" s="5" t="s">
        <v>84</v>
      </c>
      <c r="H645" s="5">
        <v>9992825464</v>
      </c>
      <c r="I645" s="5">
        <v>800</v>
      </c>
      <c r="J645" s="7"/>
      <c r="K645" s="7"/>
      <c r="L645" s="7"/>
      <c r="M645" s="7"/>
      <c r="N645" s="7"/>
      <c r="O645" s="5">
        <v>20000</v>
      </c>
      <c r="P645" s="7"/>
    </row>
    <row r="646" spans="1:16" ht="15.75">
      <c r="A646" s="7">
        <v>6</v>
      </c>
      <c r="B646" s="80">
        <v>46210</v>
      </c>
      <c r="C646" s="7" t="s">
        <v>51</v>
      </c>
      <c r="D646" s="5" t="s">
        <v>114</v>
      </c>
      <c r="E646" s="10" t="s">
        <v>66</v>
      </c>
      <c r="F646" s="10" t="s">
        <v>120</v>
      </c>
      <c r="G646" s="10" t="s">
        <v>124</v>
      </c>
      <c r="H646" s="10">
        <v>8295596976</v>
      </c>
      <c r="I646" s="10">
        <v>750</v>
      </c>
      <c r="J646" s="7"/>
      <c r="K646" s="7"/>
      <c r="L646" s="7"/>
      <c r="M646" s="7"/>
      <c r="N646" s="7"/>
      <c r="O646" s="5">
        <v>12750</v>
      </c>
      <c r="P646" s="7"/>
    </row>
    <row r="647" spans="1:16" ht="15.75">
      <c r="A647" s="7">
        <v>7</v>
      </c>
      <c r="B647" s="80">
        <v>46210</v>
      </c>
      <c r="C647" s="7" t="s">
        <v>51</v>
      </c>
      <c r="D647" s="5" t="s">
        <v>115</v>
      </c>
      <c r="E647" s="10" t="s">
        <v>66</v>
      </c>
      <c r="F647" s="10" t="s">
        <v>121</v>
      </c>
      <c r="G647" s="10" t="s">
        <v>125</v>
      </c>
      <c r="H647" s="10">
        <v>8816907186</v>
      </c>
      <c r="I647" s="10">
        <v>750</v>
      </c>
      <c r="J647" s="7"/>
      <c r="K647" s="7"/>
      <c r="L647" s="7"/>
      <c r="M647" s="7"/>
      <c r="N647" s="7"/>
      <c r="O647" s="5">
        <v>12750</v>
      </c>
      <c r="P647" s="7"/>
    </row>
    <row r="648" spans="1:16" ht="15.75">
      <c r="A648" s="7">
        <v>8</v>
      </c>
      <c r="B648" s="80">
        <v>46210</v>
      </c>
      <c r="C648" s="7" t="s">
        <v>51</v>
      </c>
      <c r="D648" s="5" t="s">
        <v>147</v>
      </c>
      <c r="E648" s="5" t="s">
        <v>129</v>
      </c>
      <c r="F648" s="5" t="s">
        <v>132</v>
      </c>
      <c r="G648" s="5" t="s">
        <v>140</v>
      </c>
      <c r="H648" s="5">
        <v>8397037924</v>
      </c>
      <c r="I648" s="5">
        <v>800</v>
      </c>
      <c r="J648" s="7"/>
      <c r="K648" s="7"/>
      <c r="L648" s="7"/>
      <c r="M648" s="7"/>
      <c r="N648" s="7"/>
      <c r="O648" s="5">
        <v>20800</v>
      </c>
      <c r="P648" s="7"/>
    </row>
    <row r="649" spans="1:16" ht="15.75">
      <c r="A649" s="7">
        <v>9</v>
      </c>
      <c r="B649" s="80">
        <v>46210</v>
      </c>
      <c r="C649" s="7" t="s">
        <v>51</v>
      </c>
      <c r="D649" s="5" t="s">
        <v>151</v>
      </c>
      <c r="E649" s="5" t="s">
        <v>66</v>
      </c>
      <c r="F649" s="5" t="s">
        <v>136</v>
      </c>
      <c r="G649" s="5" t="s">
        <v>143</v>
      </c>
      <c r="H649" s="5">
        <v>9992969785</v>
      </c>
      <c r="I649" s="5">
        <v>800</v>
      </c>
      <c r="J649" s="7"/>
      <c r="K649" s="7"/>
      <c r="L649" s="7"/>
      <c r="M649" s="7"/>
      <c r="N649" s="7"/>
      <c r="O649" s="5">
        <v>20800</v>
      </c>
      <c r="P649" s="7"/>
    </row>
    <row r="650" spans="1:16" ht="15.75">
      <c r="A650" s="7">
        <v>10</v>
      </c>
      <c r="B650" s="80">
        <v>46210</v>
      </c>
      <c r="C650" s="7" t="s">
        <v>51</v>
      </c>
      <c r="D650" s="5" t="s">
        <v>190</v>
      </c>
      <c r="E650" s="10" t="s">
        <v>195</v>
      </c>
      <c r="F650" s="10" t="s">
        <v>184</v>
      </c>
      <c r="G650" s="10" t="s">
        <v>185</v>
      </c>
      <c r="H650" s="41">
        <v>9728976039</v>
      </c>
      <c r="I650" s="43">
        <v>750</v>
      </c>
      <c r="J650" s="7"/>
      <c r="K650" s="7"/>
      <c r="L650" s="7"/>
      <c r="M650" s="7"/>
      <c r="N650" s="7"/>
      <c r="O650" s="5">
        <v>15000</v>
      </c>
      <c r="P650" s="7"/>
    </row>
    <row r="651" spans="1:16" ht="15.75">
      <c r="A651" s="7">
        <v>11</v>
      </c>
      <c r="B651" s="80">
        <v>46210</v>
      </c>
      <c r="C651" s="7" t="s">
        <v>51</v>
      </c>
      <c r="D651" s="5" t="s">
        <v>191</v>
      </c>
      <c r="E651" s="10" t="s">
        <v>196</v>
      </c>
      <c r="F651" s="10" t="s">
        <v>186</v>
      </c>
      <c r="G651" s="10" t="s">
        <v>187</v>
      </c>
      <c r="H651" s="41">
        <v>9991073613</v>
      </c>
      <c r="I651" s="43">
        <v>750</v>
      </c>
      <c r="J651" s="7"/>
      <c r="K651" s="7"/>
      <c r="L651" s="7"/>
      <c r="M651" s="7"/>
      <c r="N651" s="7"/>
      <c r="O651" s="5">
        <v>15000</v>
      </c>
      <c r="P651" s="7"/>
    </row>
    <row r="652" spans="1:16" ht="15.75">
      <c r="A652" s="7">
        <v>12</v>
      </c>
      <c r="B652" s="80">
        <v>46210</v>
      </c>
      <c r="C652" s="7" t="s">
        <v>51</v>
      </c>
      <c r="D652" s="5" t="s">
        <v>192</v>
      </c>
      <c r="E652" s="10" t="s">
        <v>195</v>
      </c>
      <c r="F652" s="10" t="s">
        <v>188</v>
      </c>
      <c r="G652" s="10" t="s">
        <v>198</v>
      </c>
      <c r="H652" s="41">
        <v>8047377476</v>
      </c>
      <c r="I652" s="5">
        <v>800</v>
      </c>
      <c r="J652" s="7"/>
      <c r="K652" s="7"/>
      <c r="L652" s="7"/>
      <c r="M652" s="7"/>
      <c r="N652" s="7"/>
      <c r="O652" s="5">
        <v>22400</v>
      </c>
      <c r="P652" s="7"/>
    </row>
    <row r="653" spans="1:16" ht="15.75">
      <c r="A653" s="7">
        <v>13</v>
      </c>
      <c r="B653" s="80">
        <v>46210</v>
      </c>
      <c r="C653" s="7" t="s">
        <v>51</v>
      </c>
      <c r="D653" s="5" t="s">
        <v>193</v>
      </c>
      <c r="E653" s="10" t="s">
        <v>195</v>
      </c>
      <c r="F653" s="10" t="s">
        <v>83</v>
      </c>
      <c r="G653" s="10" t="s">
        <v>189</v>
      </c>
      <c r="H653" s="41">
        <v>8396804752</v>
      </c>
      <c r="I653" s="43">
        <v>750</v>
      </c>
      <c r="J653" s="7"/>
      <c r="K653" s="7"/>
      <c r="L653" s="7"/>
      <c r="M653" s="7"/>
      <c r="N653" s="7"/>
      <c r="O653" s="5">
        <v>15000</v>
      </c>
      <c r="P653" s="7"/>
    </row>
    <row r="654" spans="1:16" ht="15.75">
      <c r="A654" s="7">
        <v>14</v>
      </c>
      <c r="B654" s="80">
        <v>46210</v>
      </c>
      <c r="C654" s="7" t="s">
        <v>51</v>
      </c>
      <c r="D654" s="5" t="s">
        <v>207</v>
      </c>
      <c r="E654" s="10" t="s">
        <v>225</v>
      </c>
      <c r="F654" s="10" t="s">
        <v>213</v>
      </c>
      <c r="G654" s="10" t="s">
        <v>214</v>
      </c>
      <c r="H654" s="41">
        <v>9034419162</v>
      </c>
      <c r="I654" s="43">
        <v>750</v>
      </c>
      <c r="J654" s="7"/>
      <c r="K654" s="7"/>
      <c r="L654" s="7"/>
      <c r="M654" s="7"/>
      <c r="N654" s="7"/>
      <c r="O654" s="5">
        <v>15000</v>
      </c>
      <c r="P654" s="7"/>
    </row>
    <row r="655" spans="1:16" ht="15.75">
      <c r="A655" s="7">
        <v>15</v>
      </c>
      <c r="B655" s="80">
        <v>46210</v>
      </c>
      <c r="C655" s="7" t="s">
        <v>51</v>
      </c>
      <c r="D655" s="5" t="s">
        <v>209</v>
      </c>
      <c r="E655" s="10" t="s">
        <v>226</v>
      </c>
      <c r="F655" s="10" t="s">
        <v>217</v>
      </c>
      <c r="G655" s="10" t="s">
        <v>218</v>
      </c>
      <c r="H655" s="41">
        <v>9671740481</v>
      </c>
      <c r="I655" s="43">
        <v>750</v>
      </c>
      <c r="J655" s="7"/>
      <c r="K655" s="7"/>
      <c r="L655" s="7"/>
      <c r="M655" s="7"/>
      <c r="N655" s="7"/>
      <c r="O655" s="5">
        <v>15000</v>
      </c>
      <c r="P655" s="7"/>
    </row>
    <row r="656" spans="1:16" ht="15.75">
      <c r="A656" s="7">
        <v>16</v>
      </c>
      <c r="B656" s="80">
        <v>46210</v>
      </c>
      <c r="C656" s="7" t="s">
        <v>51</v>
      </c>
      <c r="D656" s="5" t="s">
        <v>210</v>
      </c>
      <c r="E656" s="10" t="s">
        <v>227</v>
      </c>
      <c r="F656" s="10" t="s">
        <v>219</v>
      </c>
      <c r="G656" s="10" t="s">
        <v>220</v>
      </c>
      <c r="H656" s="41">
        <v>9311797101</v>
      </c>
      <c r="I656" s="43">
        <v>750</v>
      </c>
      <c r="J656" s="7"/>
      <c r="K656" s="7"/>
      <c r="L656" s="7"/>
      <c r="M656" s="7"/>
      <c r="N656" s="7"/>
      <c r="O656" s="5">
        <v>15000</v>
      </c>
      <c r="P656" s="7"/>
    </row>
    <row r="657" spans="1:16" ht="15.75">
      <c r="A657" s="7">
        <v>17</v>
      </c>
      <c r="B657" s="80">
        <v>46210</v>
      </c>
      <c r="C657" s="7" t="s">
        <v>51</v>
      </c>
      <c r="D657" s="5" t="s">
        <v>211</v>
      </c>
      <c r="E657" s="10" t="s">
        <v>226</v>
      </c>
      <c r="F657" s="10" t="s">
        <v>221</v>
      </c>
      <c r="G657" s="10" t="s">
        <v>222</v>
      </c>
      <c r="H657" s="41">
        <v>7206610781</v>
      </c>
      <c r="I657" s="43">
        <v>750</v>
      </c>
      <c r="J657" s="7"/>
      <c r="K657" s="7"/>
      <c r="L657" s="7"/>
      <c r="M657" s="7"/>
      <c r="N657" s="7"/>
      <c r="O657" s="5">
        <v>15000</v>
      </c>
      <c r="P657" s="7"/>
    </row>
    <row r="658" spans="1:16" ht="15.75">
      <c r="A658" s="7">
        <v>18</v>
      </c>
      <c r="B658" s="80">
        <v>46210</v>
      </c>
      <c r="C658" s="7" t="s">
        <v>51</v>
      </c>
      <c r="D658" s="5" t="s">
        <v>212</v>
      </c>
      <c r="E658" s="10" t="s">
        <v>226</v>
      </c>
      <c r="F658" s="10" t="s">
        <v>223</v>
      </c>
      <c r="G658" s="10" t="s">
        <v>224</v>
      </c>
      <c r="H658" s="41">
        <v>8814045633</v>
      </c>
      <c r="I658" s="43">
        <v>750</v>
      </c>
      <c r="J658" s="7"/>
      <c r="K658" s="7"/>
      <c r="L658" s="7"/>
      <c r="M658" s="7"/>
      <c r="N658" s="7"/>
      <c r="O658" s="5">
        <v>15000</v>
      </c>
      <c r="P658" s="7"/>
    </row>
    <row r="659" spans="1:16" ht="15.75">
      <c r="A659" s="7">
        <v>19</v>
      </c>
      <c r="B659" s="80">
        <v>46210</v>
      </c>
      <c r="C659" s="7" t="s">
        <v>51</v>
      </c>
      <c r="D659" s="5" t="s">
        <v>228</v>
      </c>
      <c r="E659" s="81" t="s">
        <v>229</v>
      </c>
      <c r="F659" s="10" t="s">
        <v>165</v>
      </c>
      <c r="G659" s="10" t="s">
        <v>198</v>
      </c>
      <c r="H659" s="10" t="s">
        <v>230</v>
      </c>
      <c r="I659" s="43">
        <v>750</v>
      </c>
      <c r="J659" s="7"/>
      <c r="K659" s="7"/>
      <c r="L659" s="7"/>
      <c r="M659" s="7"/>
      <c r="N659" s="7"/>
      <c r="O659" s="5">
        <v>15000</v>
      </c>
      <c r="P659" s="7"/>
    </row>
    <row r="660" spans="1:16" ht="15.75">
      <c r="A660" s="7">
        <v>20</v>
      </c>
      <c r="B660" s="80">
        <v>46210</v>
      </c>
      <c r="C660" s="7" t="s">
        <v>51</v>
      </c>
      <c r="D660" s="5" t="s">
        <v>233</v>
      </c>
      <c r="E660" s="10" t="s">
        <v>49</v>
      </c>
      <c r="F660" s="10" t="s">
        <v>231</v>
      </c>
      <c r="G660" s="10" t="s">
        <v>142</v>
      </c>
      <c r="H660" s="41">
        <v>7497855174</v>
      </c>
      <c r="I660" s="43">
        <v>750</v>
      </c>
      <c r="J660" s="7"/>
      <c r="K660" s="7"/>
      <c r="L660" s="7"/>
      <c r="M660" s="7"/>
      <c r="N660" s="7"/>
      <c r="O660" s="5">
        <v>15750</v>
      </c>
      <c r="P660" s="7"/>
    </row>
    <row r="661" spans="1:16" ht="15.75">
      <c r="A661" s="7">
        <v>21</v>
      </c>
      <c r="B661" s="80">
        <v>46210</v>
      </c>
      <c r="C661" s="7" t="s">
        <v>51</v>
      </c>
      <c r="D661" s="5" t="s">
        <v>236</v>
      </c>
      <c r="E661" s="10" t="s">
        <v>238</v>
      </c>
      <c r="F661" s="10" t="s">
        <v>180</v>
      </c>
      <c r="G661" s="10" t="s">
        <v>240</v>
      </c>
      <c r="H661" s="41">
        <v>9728727855</v>
      </c>
      <c r="I661" s="43">
        <v>750</v>
      </c>
      <c r="J661" s="7"/>
      <c r="K661" s="7"/>
      <c r="L661" s="7"/>
      <c r="M661" s="7"/>
      <c r="N661" s="7"/>
      <c r="O661" s="5">
        <v>15750</v>
      </c>
      <c r="P661" s="7"/>
    </row>
    <row r="662" spans="1:16" ht="15.75">
      <c r="A662" s="7">
        <v>22</v>
      </c>
      <c r="B662" s="80">
        <v>46210</v>
      </c>
      <c r="C662" s="7" t="s">
        <v>51</v>
      </c>
      <c r="D662" s="5" t="s">
        <v>237</v>
      </c>
      <c r="E662" s="10" t="s">
        <v>238</v>
      </c>
      <c r="F662" s="10" t="s">
        <v>239</v>
      </c>
      <c r="G662" s="10" t="s">
        <v>241</v>
      </c>
      <c r="H662" s="41">
        <v>9813575389</v>
      </c>
      <c r="I662" s="43">
        <v>800</v>
      </c>
      <c r="J662" s="7"/>
      <c r="K662" s="7"/>
      <c r="L662" s="7"/>
      <c r="M662" s="7"/>
      <c r="N662" s="7"/>
      <c r="O662" s="5">
        <v>23200</v>
      </c>
      <c r="P662" s="7"/>
    </row>
    <row r="663" spans="1:16" ht="15.75">
      <c r="A663" s="7">
        <v>23</v>
      </c>
      <c r="B663" s="80">
        <v>46210</v>
      </c>
      <c r="C663" s="7" t="s">
        <v>51</v>
      </c>
      <c r="D663" s="5" t="s">
        <v>242</v>
      </c>
      <c r="E663" s="10" t="s">
        <v>226</v>
      </c>
      <c r="F663" s="10" t="s">
        <v>246</v>
      </c>
      <c r="G663" s="10" t="s">
        <v>249</v>
      </c>
      <c r="H663" s="41">
        <v>9997650988</v>
      </c>
      <c r="I663" s="43">
        <v>750</v>
      </c>
      <c r="J663" s="7"/>
      <c r="K663" s="7"/>
      <c r="L663" s="7"/>
      <c r="M663" s="7"/>
      <c r="N663" s="7"/>
      <c r="O663" s="5">
        <v>15750</v>
      </c>
      <c r="P663" s="7"/>
    </row>
    <row r="664" spans="1:16" ht="15.75">
      <c r="A664" s="7">
        <v>24</v>
      </c>
      <c r="B664" s="80">
        <v>46210</v>
      </c>
      <c r="C664" s="7" t="s">
        <v>51</v>
      </c>
      <c r="D664" s="5" t="s">
        <v>243</v>
      </c>
      <c r="E664" s="10" t="s">
        <v>225</v>
      </c>
      <c r="F664" s="10" t="s">
        <v>247</v>
      </c>
      <c r="G664" s="10" t="s">
        <v>250</v>
      </c>
      <c r="H664" s="41">
        <v>8607470754</v>
      </c>
      <c r="I664" s="43">
        <v>800</v>
      </c>
      <c r="J664" s="7"/>
      <c r="K664" s="7"/>
      <c r="L664" s="7"/>
      <c r="M664" s="7"/>
      <c r="N664" s="7"/>
      <c r="O664" s="5">
        <v>23200</v>
      </c>
      <c r="P664" s="7"/>
    </row>
    <row r="665" spans="1:16" ht="15.75">
      <c r="A665" s="7">
        <v>25</v>
      </c>
      <c r="B665" s="80">
        <v>46210</v>
      </c>
      <c r="C665" s="7" t="s">
        <v>51</v>
      </c>
      <c r="D665" s="5" t="s">
        <v>244</v>
      </c>
      <c r="E665" s="10" t="s">
        <v>226</v>
      </c>
      <c r="F665" s="10" t="s">
        <v>248</v>
      </c>
      <c r="G665" s="10" t="s">
        <v>251</v>
      </c>
      <c r="H665" s="41">
        <v>8929903323</v>
      </c>
      <c r="I665" s="43">
        <v>800</v>
      </c>
      <c r="J665" s="7"/>
      <c r="K665" s="7"/>
      <c r="L665" s="7"/>
      <c r="M665" s="7"/>
      <c r="N665" s="7"/>
      <c r="O665" s="5">
        <v>23200</v>
      </c>
      <c r="P665" s="7"/>
    </row>
    <row r="666" spans="1:16" ht="15.75">
      <c r="A666" s="7">
        <v>26</v>
      </c>
      <c r="B666" s="80">
        <v>46210</v>
      </c>
      <c r="C666" s="7" t="s">
        <v>51</v>
      </c>
      <c r="D666" s="5" t="s">
        <v>252</v>
      </c>
      <c r="E666" s="10" t="s">
        <v>226</v>
      </c>
      <c r="F666" s="10" t="s">
        <v>120</v>
      </c>
      <c r="G666" s="10" t="s">
        <v>253</v>
      </c>
      <c r="H666" s="41">
        <v>8930304731</v>
      </c>
      <c r="I666" s="43">
        <v>800</v>
      </c>
      <c r="J666" s="7"/>
      <c r="K666" s="7"/>
      <c r="L666" s="7"/>
      <c r="M666" s="7"/>
      <c r="N666" s="7"/>
      <c r="O666" s="5">
        <v>23200</v>
      </c>
      <c r="P666" s="7"/>
    </row>
    <row r="667" spans="1:16" ht="15.75">
      <c r="A667" s="7">
        <v>27</v>
      </c>
      <c r="B667" s="80">
        <v>46210</v>
      </c>
      <c r="C667" s="7" t="s">
        <v>51</v>
      </c>
      <c r="D667" s="5" t="s">
        <v>256</v>
      </c>
      <c r="E667" s="10" t="s">
        <v>257</v>
      </c>
      <c r="F667" s="10" t="s">
        <v>258</v>
      </c>
      <c r="G667" s="10" t="s">
        <v>259</v>
      </c>
      <c r="H667" s="41">
        <v>7355860393</v>
      </c>
      <c r="I667" s="43">
        <v>750</v>
      </c>
      <c r="J667" s="7"/>
      <c r="K667" s="7"/>
      <c r="L667" s="7"/>
      <c r="M667" s="7"/>
      <c r="N667" s="7"/>
      <c r="O667" s="5">
        <v>15750</v>
      </c>
      <c r="P667" s="7"/>
    </row>
    <row r="668" spans="1:16" ht="15.75">
      <c r="A668" s="7">
        <v>28</v>
      </c>
      <c r="B668" s="80">
        <v>46210</v>
      </c>
      <c r="C668" s="7" t="s">
        <v>51</v>
      </c>
      <c r="D668" s="5" t="s">
        <v>263</v>
      </c>
      <c r="E668" s="10" t="s">
        <v>196</v>
      </c>
      <c r="F668" s="10" t="s">
        <v>260</v>
      </c>
      <c r="G668" s="10" t="s">
        <v>268</v>
      </c>
      <c r="H668" s="41">
        <v>8936838477</v>
      </c>
      <c r="I668" s="43">
        <v>750</v>
      </c>
      <c r="J668" s="7"/>
      <c r="K668" s="7"/>
      <c r="L668" s="7"/>
      <c r="M668" s="7"/>
      <c r="N668" s="7"/>
      <c r="O668" s="5">
        <v>16500</v>
      </c>
      <c r="P668" s="7"/>
    </row>
    <row r="669" spans="1:16" ht="15.75">
      <c r="A669" s="7">
        <v>29</v>
      </c>
      <c r="B669" s="80">
        <v>46210</v>
      </c>
      <c r="C669" s="7" t="s">
        <v>51</v>
      </c>
      <c r="D669" s="5" t="s">
        <v>266</v>
      </c>
      <c r="E669" s="10" t="s">
        <v>196</v>
      </c>
      <c r="F669" s="10" t="s">
        <v>239</v>
      </c>
      <c r="G669" s="10" t="s">
        <v>235</v>
      </c>
      <c r="H669" s="41">
        <v>9728139162</v>
      </c>
      <c r="I669" s="43">
        <v>750</v>
      </c>
      <c r="J669" s="7"/>
      <c r="K669" s="7"/>
      <c r="L669" s="7"/>
      <c r="M669" s="7"/>
      <c r="N669" s="7"/>
      <c r="O669" s="5">
        <v>16500</v>
      </c>
      <c r="P669" s="7"/>
    </row>
    <row r="670" spans="1:16" ht="15.75">
      <c r="A670" s="7">
        <v>30</v>
      </c>
      <c r="B670" s="80">
        <v>46210</v>
      </c>
      <c r="C670" s="7" t="s">
        <v>51</v>
      </c>
      <c r="D670" s="5" t="s">
        <v>288</v>
      </c>
      <c r="E670" s="55" t="s">
        <v>290</v>
      </c>
      <c r="F670" s="55" t="s">
        <v>180</v>
      </c>
      <c r="G670" s="55" t="s">
        <v>295</v>
      </c>
      <c r="H670" s="46">
        <v>9671443722</v>
      </c>
      <c r="I670" s="43">
        <v>800</v>
      </c>
      <c r="J670" s="7"/>
      <c r="K670" s="7"/>
      <c r="L670" s="7"/>
      <c r="M670" s="7"/>
      <c r="N670" s="7"/>
      <c r="O670" s="5">
        <v>25600</v>
      </c>
      <c r="P670" s="7"/>
    </row>
    <row r="671" spans="1:16" ht="15.75">
      <c r="A671" s="7">
        <v>31</v>
      </c>
      <c r="B671" s="80">
        <v>46210</v>
      </c>
      <c r="C671" s="7" t="s">
        <v>51</v>
      </c>
      <c r="D671" s="5" t="s">
        <v>289</v>
      </c>
      <c r="E671" s="55" t="s">
        <v>291</v>
      </c>
      <c r="F671" s="55" t="s">
        <v>292</v>
      </c>
      <c r="G671" s="55" t="s">
        <v>296</v>
      </c>
      <c r="H671" s="46">
        <v>9343799675</v>
      </c>
      <c r="I671" s="43">
        <v>800</v>
      </c>
      <c r="J671" s="7"/>
      <c r="K671" s="7"/>
      <c r="L671" s="7"/>
      <c r="M671" s="7"/>
      <c r="N671" s="7"/>
      <c r="O671" s="5">
        <v>24800</v>
      </c>
      <c r="P671" s="7"/>
    </row>
    <row r="672" spans="1:16" ht="15.75">
      <c r="A672" s="7">
        <v>32</v>
      </c>
      <c r="B672" s="80">
        <v>46210</v>
      </c>
      <c r="C672" s="7" t="s">
        <v>51</v>
      </c>
      <c r="D672" s="5" t="s">
        <v>298</v>
      </c>
      <c r="E672" s="57" t="s">
        <v>300</v>
      </c>
      <c r="F672" s="57" t="s">
        <v>71</v>
      </c>
      <c r="G672" s="57" t="s">
        <v>302</v>
      </c>
      <c r="H672" s="46">
        <v>7056212672</v>
      </c>
      <c r="I672" s="46">
        <v>750</v>
      </c>
      <c r="J672" s="7"/>
      <c r="K672" s="7"/>
      <c r="L672" s="7"/>
      <c r="M672" s="7"/>
      <c r="N672" s="7"/>
      <c r="O672" s="5">
        <v>17250</v>
      </c>
      <c r="P672" s="7"/>
    </row>
    <row r="673" spans="1:16" ht="15.75">
      <c r="A673" s="7">
        <v>33</v>
      </c>
      <c r="B673" s="80">
        <v>46210</v>
      </c>
      <c r="C673" s="7" t="s">
        <v>51</v>
      </c>
      <c r="D673" s="5" t="s">
        <v>306</v>
      </c>
      <c r="E673" s="58" t="s">
        <v>308</v>
      </c>
      <c r="F673" s="58" t="s">
        <v>165</v>
      </c>
      <c r="G673" s="58" t="s">
        <v>310</v>
      </c>
      <c r="H673" s="46">
        <v>9971836202</v>
      </c>
      <c r="I673" s="46">
        <v>800</v>
      </c>
      <c r="J673" s="7"/>
      <c r="K673" s="7"/>
      <c r="L673" s="7"/>
      <c r="M673" s="7"/>
      <c r="N673" s="7"/>
      <c r="O673" s="6">
        <v>25600</v>
      </c>
      <c r="P673" s="7"/>
    </row>
    <row r="674" spans="1:16" ht="15.75">
      <c r="A674" s="7">
        <v>34</v>
      </c>
      <c r="B674" s="80">
        <v>46210</v>
      </c>
      <c r="C674" s="7" t="s">
        <v>51</v>
      </c>
      <c r="D674" s="5" t="s">
        <v>307</v>
      </c>
      <c r="E674" s="58" t="s">
        <v>309</v>
      </c>
      <c r="F674" s="58" t="s">
        <v>305</v>
      </c>
      <c r="G674" s="58" t="s">
        <v>54</v>
      </c>
      <c r="H674" s="46">
        <v>8307951615</v>
      </c>
      <c r="I674" s="46">
        <v>1000</v>
      </c>
      <c r="J674" s="7"/>
      <c r="K674" s="7"/>
      <c r="L674" s="7"/>
      <c r="M674" s="7"/>
      <c r="N674" s="7"/>
      <c r="O674" s="6">
        <v>25000</v>
      </c>
      <c r="P674" s="7"/>
    </row>
    <row r="675" spans="1:16" ht="15.75">
      <c r="A675" s="7">
        <v>35</v>
      </c>
      <c r="B675" s="80">
        <v>46210</v>
      </c>
      <c r="C675" s="7" t="s">
        <v>51</v>
      </c>
      <c r="D675" s="5" t="s">
        <v>313</v>
      </c>
      <c r="E675" s="60" t="s">
        <v>314</v>
      </c>
      <c r="F675" s="59" t="s">
        <v>311</v>
      </c>
      <c r="G675" s="60" t="s">
        <v>316</v>
      </c>
      <c r="H675" s="46">
        <v>8053115922</v>
      </c>
      <c r="I675" s="46">
        <v>1000</v>
      </c>
      <c r="J675" s="7"/>
      <c r="K675" s="7"/>
      <c r="L675" s="7"/>
      <c r="M675" s="7"/>
      <c r="N675" s="7"/>
      <c r="O675" s="6">
        <v>25000</v>
      </c>
      <c r="P675" s="7"/>
    </row>
    <row r="676" spans="1:16" ht="15.75">
      <c r="A676" s="7">
        <v>36</v>
      </c>
      <c r="B676" s="80">
        <v>46210</v>
      </c>
      <c r="C676" s="7" t="s">
        <v>51</v>
      </c>
      <c r="D676" s="5" t="s">
        <v>324</v>
      </c>
      <c r="E676" s="62" t="s">
        <v>130</v>
      </c>
      <c r="F676" s="61" t="s">
        <v>317</v>
      </c>
      <c r="G676" s="61" t="s">
        <v>318</v>
      </c>
      <c r="H676" s="46">
        <v>9034416529</v>
      </c>
      <c r="I676" s="46">
        <v>1000</v>
      </c>
      <c r="J676" s="7"/>
      <c r="K676" s="7"/>
      <c r="L676" s="7"/>
      <c r="M676" s="7"/>
      <c r="N676" s="7"/>
      <c r="O676" s="6">
        <v>25000</v>
      </c>
      <c r="P676" s="7"/>
    </row>
    <row r="677" spans="1:16" ht="15.75">
      <c r="A677" s="7">
        <v>37</v>
      </c>
      <c r="B677" s="80">
        <v>46210</v>
      </c>
      <c r="C677" s="7" t="s">
        <v>51</v>
      </c>
      <c r="D677" s="5" t="s">
        <v>325</v>
      </c>
      <c r="E677" s="62" t="s">
        <v>130</v>
      </c>
      <c r="F677" s="61" t="s">
        <v>319</v>
      </c>
      <c r="G677" s="61" t="s">
        <v>320</v>
      </c>
      <c r="H677" s="46">
        <v>9728411675</v>
      </c>
      <c r="I677" s="46">
        <v>1000</v>
      </c>
      <c r="J677" s="7"/>
      <c r="K677" s="7"/>
      <c r="L677" s="7"/>
      <c r="M677" s="7"/>
      <c r="N677" s="7"/>
      <c r="O677" s="6">
        <v>25000</v>
      </c>
      <c r="P677" s="7"/>
    </row>
    <row r="678" spans="1:16" ht="15.75">
      <c r="A678" s="7">
        <v>38</v>
      </c>
      <c r="B678" s="80">
        <v>46210</v>
      </c>
      <c r="C678" s="7" t="s">
        <v>51</v>
      </c>
      <c r="D678" s="5" t="s">
        <v>326</v>
      </c>
      <c r="E678" s="62" t="s">
        <v>130</v>
      </c>
      <c r="F678" s="61" t="s">
        <v>321</v>
      </c>
      <c r="G678" s="61" t="s">
        <v>322</v>
      </c>
      <c r="H678" s="46">
        <v>9034416529</v>
      </c>
      <c r="I678" s="46">
        <v>1000</v>
      </c>
      <c r="J678" s="7"/>
      <c r="K678" s="7"/>
      <c r="L678" s="7"/>
      <c r="M678" s="7"/>
      <c r="N678" s="7"/>
      <c r="O678" s="6">
        <v>25000</v>
      </c>
      <c r="P678" s="7"/>
    </row>
    <row r="679" spans="1:16" ht="15.75">
      <c r="A679" s="7">
        <v>39</v>
      </c>
      <c r="B679" s="80">
        <v>46210</v>
      </c>
      <c r="C679" s="7" t="s">
        <v>51</v>
      </c>
      <c r="D679" s="5" t="s">
        <v>327</v>
      </c>
      <c r="E679" s="62" t="s">
        <v>300</v>
      </c>
      <c r="F679" s="61" t="s">
        <v>180</v>
      </c>
      <c r="G679" s="61" t="s">
        <v>78</v>
      </c>
      <c r="H679" s="46">
        <v>7027786391</v>
      </c>
      <c r="I679" s="46">
        <v>1000</v>
      </c>
      <c r="J679" s="7"/>
      <c r="K679" s="7"/>
      <c r="L679" s="7"/>
      <c r="M679" s="7"/>
      <c r="N679" s="7"/>
      <c r="O679" s="6">
        <v>25000</v>
      </c>
      <c r="P679" s="7"/>
    </row>
    <row r="680" spans="1:16" ht="15.75">
      <c r="A680" s="7">
        <v>40</v>
      </c>
      <c r="B680" s="80">
        <v>46210</v>
      </c>
      <c r="C680" s="7" t="s">
        <v>51</v>
      </c>
      <c r="D680" s="5" t="s">
        <v>328</v>
      </c>
      <c r="E680" s="62" t="s">
        <v>130</v>
      </c>
      <c r="F680" s="61" t="s">
        <v>323</v>
      </c>
      <c r="G680" s="61" t="s">
        <v>126</v>
      </c>
      <c r="H680" s="46">
        <v>9996695743</v>
      </c>
      <c r="I680" s="46">
        <v>1000</v>
      </c>
      <c r="J680" s="7"/>
      <c r="K680" s="7"/>
      <c r="L680" s="7"/>
      <c r="M680" s="7"/>
      <c r="N680" s="7"/>
      <c r="O680" s="6">
        <v>25000</v>
      </c>
      <c r="P680" s="7"/>
    </row>
    <row r="681" spans="1:16" ht="15.75">
      <c r="A681" s="7">
        <v>41</v>
      </c>
      <c r="B681" s="80">
        <v>46210</v>
      </c>
      <c r="C681" s="7" t="s">
        <v>51</v>
      </c>
      <c r="D681" s="5" t="s">
        <v>345</v>
      </c>
      <c r="E681" s="64" t="s">
        <v>349</v>
      </c>
      <c r="F681" s="63" t="s">
        <v>337</v>
      </c>
      <c r="G681" s="63" t="s">
        <v>338</v>
      </c>
      <c r="H681" s="46">
        <v>9306916119</v>
      </c>
      <c r="I681" s="46">
        <v>810</v>
      </c>
      <c r="J681" s="7"/>
      <c r="K681" s="7"/>
      <c r="L681" s="7"/>
      <c r="M681" s="7"/>
      <c r="N681" s="7"/>
      <c r="O681" s="6">
        <v>20250</v>
      </c>
      <c r="P681" s="7"/>
    </row>
    <row r="682" spans="1:16" ht="15.75">
      <c r="A682" s="7">
        <v>42</v>
      </c>
      <c r="B682" s="80">
        <v>46210</v>
      </c>
      <c r="C682" s="7" t="s">
        <v>51</v>
      </c>
      <c r="D682" s="5" t="s">
        <v>350</v>
      </c>
      <c r="E682" s="65" t="s">
        <v>197</v>
      </c>
      <c r="F682" s="65" t="s">
        <v>358</v>
      </c>
      <c r="G682" s="65" t="s">
        <v>364</v>
      </c>
      <c r="H682" s="46">
        <v>9319598592</v>
      </c>
      <c r="I682" s="46">
        <v>1000</v>
      </c>
      <c r="J682" s="7"/>
      <c r="K682" s="7"/>
      <c r="L682" s="7"/>
      <c r="M682" s="7"/>
      <c r="N682" s="7"/>
      <c r="O682" s="6">
        <v>27000</v>
      </c>
      <c r="P682" s="7"/>
    </row>
    <row r="683" spans="1:16" ht="15.75">
      <c r="A683" s="7">
        <v>43</v>
      </c>
      <c r="B683" s="80">
        <v>46210</v>
      </c>
      <c r="C683" s="7" t="s">
        <v>51</v>
      </c>
      <c r="D683" s="5" t="s">
        <v>351</v>
      </c>
      <c r="E683" s="65" t="s">
        <v>308</v>
      </c>
      <c r="F683" s="65" t="s">
        <v>360</v>
      </c>
      <c r="G683" s="65" t="s">
        <v>365</v>
      </c>
      <c r="H683" s="46">
        <v>9582305438</v>
      </c>
      <c r="I683" s="46">
        <v>810</v>
      </c>
      <c r="J683" s="7"/>
      <c r="K683" s="7"/>
      <c r="L683" s="7"/>
      <c r="M683" s="7"/>
      <c r="N683" s="7"/>
      <c r="O683" s="6">
        <v>20250</v>
      </c>
      <c r="P683" s="7"/>
    </row>
    <row r="684" spans="1:16" ht="15.75">
      <c r="A684" s="7">
        <v>44</v>
      </c>
      <c r="B684" s="80">
        <v>46210</v>
      </c>
      <c r="C684" s="7" t="s">
        <v>51</v>
      </c>
      <c r="D684" s="5" t="s">
        <v>352</v>
      </c>
      <c r="E684" s="65" t="s">
        <v>300</v>
      </c>
      <c r="F684" s="65" t="s">
        <v>359</v>
      </c>
      <c r="G684" s="65" t="s">
        <v>366</v>
      </c>
      <c r="H684" s="46">
        <v>9813880978</v>
      </c>
      <c r="I684" s="46">
        <v>810</v>
      </c>
      <c r="J684" s="7"/>
      <c r="K684" s="7"/>
      <c r="L684" s="7"/>
      <c r="M684" s="7"/>
      <c r="N684" s="7"/>
      <c r="O684" s="6">
        <v>20250</v>
      </c>
      <c r="P684" s="7"/>
    </row>
    <row r="685" spans="1:16" ht="15.75">
      <c r="A685" s="7">
        <v>45</v>
      </c>
      <c r="B685" s="80">
        <v>46210</v>
      </c>
      <c r="C685" s="7" t="s">
        <v>51</v>
      </c>
      <c r="D685" s="5" t="s">
        <v>353</v>
      </c>
      <c r="E685" s="65" t="s">
        <v>308</v>
      </c>
      <c r="F685" s="65" t="s">
        <v>361</v>
      </c>
      <c r="G685" s="65" t="s">
        <v>367</v>
      </c>
      <c r="H685" s="46">
        <v>9319848440</v>
      </c>
      <c r="I685" s="46">
        <v>1000</v>
      </c>
      <c r="J685" s="7"/>
      <c r="K685" s="7"/>
      <c r="L685" s="7"/>
      <c r="M685" s="7"/>
      <c r="N685" s="7"/>
      <c r="O685" s="6">
        <v>27000</v>
      </c>
      <c r="P685" s="7"/>
    </row>
    <row r="686" spans="1:16" ht="15.75">
      <c r="A686" s="7">
        <v>46</v>
      </c>
      <c r="B686" s="80">
        <v>46210</v>
      </c>
      <c r="C686" s="7" t="s">
        <v>51</v>
      </c>
      <c r="D686" s="5" t="s">
        <v>354</v>
      </c>
      <c r="E686" s="65" t="s">
        <v>308</v>
      </c>
      <c r="F686" s="65" t="s">
        <v>203</v>
      </c>
      <c r="G686" s="65" t="s">
        <v>368</v>
      </c>
      <c r="H686" s="46">
        <v>9389488234</v>
      </c>
      <c r="I686" s="46">
        <v>1000</v>
      </c>
      <c r="J686" s="7"/>
      <c r="K686" s="7"/>
      <c r="L686" s="7"/>
      <c r="M686" s="7"/>
      <c r="N686" s="7"/>
      <c r="O686" s="6">
        <v>27000</v>
      </c>
      <c r="P686" s="7"/>
    </row>
    <row r="687" spans="1:16" ht="15.75">
      <c r="A687" s="7">
        <v>47</v>
      </c>
      <c r="B687" s="80">
        <v>46210</v>
      </c>
      <c r="C687" s="7" t="s">
        <v>51</v>
      </c>
      <c r="D687" s="5" t="s">
        <v>355</v>
      </c>
      <c r="E687" s="65" t="s">
        <v>308</v>
      </c>
      <c r="F687" s="65" t="s">
        <v>362</v>
      </c>
      <c r="G687" s="65" t="s">
        <v>369</v>
      </c>
      <c r="H687" s="46">
        <v>9211692359</v>
      </c>
      <c r="I687" s="46">
        <v>1000</v>
      </c>
      <c r="J687" s="7"/>
      <c r="K687" s="7"/>
      <c r="L687" s="7"/>
      <c r="M687" s="7"/>
      <c r="N687" s="7"/>
      <c r="O687" s="6">
        <v>27000</v>
      </c>
      <c r="P687" s="7"/>
    </row>
    <row r="688" spans="1:16" ht="15.75">
      <c r="A688" s="7">
        <v>48</v>
      </c>
      <c r="B688" s="80">
        <v>46210</v>
      </c>
      <c r="C688" s="7" t="s">
        <v>51</v>
      </c>
      <c r="D688" s="5" t="s">
        <v>356</v>
      </c>
      <c r="E688" s="65" t="s">
        <v>357</v>
      </c>
      <c r="F688" s="65" t="s">
        <v>363</v>
      </c>
      <c r="G688" s="65" t="s">
        <v>68</v>
      </c>
      <c r="H688" s="46">
        <v>7027202092</v>
      </c>
      <c r="I688" s="46">
        <v>810</v>
      </c>
      <c r="J688" s="7"/>
      <c r="K688" s="7"/>
      <c r="L688" s="7"/>
      <c r="M688" s="7"/>
      <c r="N688" s="7"/>
      <c r="O688" s="6">
        <v>20250</v>
      </c>
      <c r="P688" s="7"/>
    </row>
    <row r="689" spans="1:16" ht="15.75">
      <c r="A689" s="7">
        <v>49</v>
      </c>
      <c r="B689" s="80">
        <v>46210</v>
      </c>
      <c r="C689" s="7" t="s">
        <v>51</v>
      </c>
      <c r="D689" s="5" t="s">
        <v>370</v>
      </c>
      <c r="E689" s="66" t="s">
        <v>308</v>
      </c>
      <c r="F689" s="66" t="s">
        <v>373</v>
      </c>
      <c r="G689" s="66" t="s">
        <v>375</v>
      </c>
      <c r="H689" s="46">
        <v>8929770356</v>
      </c>
      <c r="I689" s="46">
        <v>1000</v>
      </c>
      <c r="J689" s="7"/>
      <c r="K689" s="7"/>
      <c r="L689" s="7"/>
      <c r="M689" s="7"/>
      <c r="N689" s="7"/>
      <c r="O689" s="6">
        <v>27000</v>
      </c>
      <c r="P689" s="7"/>
    </row>
    <row r="690" spans="1:16" ht="15.75">
      <c r="A690" s="7">
        <v>50</v>
      </c>
      <c r="B690" s="80">
        <v>46210</v>
      </c>
      <c r="C690" s="7" t="s">
        <v>51</v>
      </c>
      <c r="D690" s="5" t="s">
        <v>371</v>
      </c>
      <c r="E690" s="66" t="s">
        <v>372</v>
      </c>
      <c r="F690" s="66" t="s">
        <v>374</v>
      </c>
      <c r="G690" s="66" t="s">
        <v>376</v>
      </c>
      <c r="H690" s="46">
        <v>9996738835</v>
      </c>
      <c r="I690" s="46">
        <v>810</v>
      </c>
      <c r="J690" s="7"/>
      <c r="K690" s="7"/>
      <c r="L690" s="7"/>
      <c r="M690" s="7"/>
      <c r="N690" s="7"/>
      <c r="O690" s="6">
        <v>20250</v>
      </c>
      <c r="P690" s="7"/>
    </row>
    <row r="691" spans="1:16" ht="15.75">
      <c r="A691" s="7">
        <v>51</v>
      </c>
      <c r="B691" s="80">
        <v>46210</v>
      </c>
      <c r="C691" s="7" t="s">
        <v>51</v>
      </c>
      <c r="D691" s="5" t="s">
        <v>377</v>
      </c>
      <c r="E691" s="67" t="s">
        <v>308</v>
      </c>
      <c r="F691" s="67" t="s">
        <v>384</v>
      </c>
      <c r="G691" s="67" t="s">
        <v>390</v>
      </c>
      <c r="H691" s="46">
        <v>9311578306</v>
      </c>
      <c r="I691" s="46">
        <v>1000</v>
      </c>
      <c r="J691" s="7"/>
      <c r="K691" s="7"/>
      <c r="L691" s="7"/>
      <c r="M691" s="7"/>
      <c r="N691" s="7"/>
      <c r="O691" s="6">
        <v>27000</v>
      </c>
      <c r="P691" s="7"/>
    </row>
    <row r="692" spans="1:16" ht="15.75">
      <c r="A692" s="7">
        <v>52</v>
      </c>
      <c r="B692" s="80">
        <v>46210</v>
      </c>
      <c r="C692" s="7" t="s">
        <v>51</v>
      </c>
      <c r="D692" s="5" t="s">
        <v>378</v>
      </c>
      <c r="E692" s="67" t="s">
        <v>308</v>
      </c>
      <c r="F692" s="67" t="s">
        <v>385</v>
      </c>
      <c r="G692" s="67" t="s">
        <v>54</v>
      </c>
      <c r="H692" s="46">
        <v>9818635674</v>
      </c>
      <c r="I692" s="46">
        <v>1000</v>
      </c>
      <c r="J692" s="7"/>
      <c r="K692" s="7"/>
      <c r="L692" s="7"/>
      <c r="M692" s="7"/>
      <c r="N692" s="7"/>
      <c r="O692" s="6">
        <v>27000</v>
      </c>
      <c r="P692" s="7"/>
    </row>
    <row r="693" spans="1:16" ht="15.75">
      <c r="A693" s="7">
        <v>53</v>
      </c>
      <c r="B693" s="80">
        <v>46210</v>
      </c>
      <c r="C693" s="7" t="s">
        <v>51</v>
      </c>
      <c r="D693" s="5" t="s">
        <v>379</v>
      </c>
      <c r="E693" s="67" t="s">
        <v>130</v>
      </c>
      <c r="F693" s="67" t="s">
        <v>132</v>
      </c>
      <c r="G693" s="67" t="s">
        <v>391</v>
      </c>
      <c r="H693" s="46">
        <v>9728976983</v>
      </c>
      <c r="I693" s="46">
        <v>810</v>
      </c>
      <c r="J693" s="7"/>
      <c r="K693" s="7"/>
      <c r="L693" s="7"/>
      <c r="M693" s="7"/>
      <c r="N693" s="7"/>
      <c r="O693" s="6">
        <v>20250</v>
      </c>
      <c r="P693" s="7"/>
    </row>
    <row r="694" spans="1:16" ht="15.75">
      <c r="A694" s="7">
        <v>54</v>
      </c>
      <c r="B694" s="80">
        <v>46210</v>
      </c>
      <c r="C694" s="7" t="s">
        <v>51</v>
      </c>
      <c r="D694" s="5" t="s">
        <v>380</v>
      </c>
      <c r="E694" s="67" t="s">
        <v>130</v>
      </c>
      <c r="F694" s="67" t="s">
        <v>386</v>
      </c>
      <c r="G694" s="67" t="s">
        <v>389</v>
      </c>
      <c r="H694" s="46">
        <v>9671616193</v>
      </c>
      <c r="I694" s="46">
        <v>810</v>
      </c>
      <c r="J694" s="7"/>
      <c r="K694" s="7"/>
      <c r="L694" s="7"/>
      <c r="M694" s="7"/>
      <c r="N694" s="7"/>
      <c r="O694" s="6">
        <v>20250</v>
      </c>
      <c r="P694" s="7"/>
    </row>
    <row r="695" spans="1:1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spans="1:1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spans="1:16">
      <c r="A697" s="7"/>
      <c r="B697" s="7"/>
      <c r="C697" s="7"/>
      <c r="D697" s="7"/>
      <c r="E697" s="7"/>
      <c r="F697" s="7"/>
      <c r="G697" s="7"/>
      <c r="H697" s="7"/>
      <c r="I697" s="7">
        <f>SUM(I641:I696)</f>
        <v>45070</v>
      </c>
      <c r="J697" s="7"/>
      <c r="K697" s="7"/>
      <c r="L697" s="7"/>
      <c r="M697" s="7"/>
      <c r="N697" s="7"/>
      <c r="O697" s="7">
        <f>SUM(O641:O696)</f>
        <v>1097800</v>
      </c>
      <c r="P697" s="7"/>
    </row>
    <row r="701" spans="1:16" ht="27.75">
      <c r="A701" s="142" t="s">
        <v>102</v>
      </c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</row>
    <row r="702" spans="1:16" ht="75">
      <c r="A702" s="1" t="s">
        <v>87</v>
      </c>
      <c r="B702" s="1" t="s">
        <v>103</v>
      </c>
      <c r="C702" s="1" t="s">
        <v>88</v>
      </c>
      <c r="D702" s="1" t="s">
        <v>104</v>
      </c>
      <c r="E702" s="1" t="s">
        <v>105</v>
      </c>
      <c r="F702" s="1" t="s">
        <v>106</v>
      </c>
      <c r="G702" s="1" t="s">
        <v>93</v>
      </c>
      <c r="H702" s="1" t="s">
        <v>107</v>
      </c>
      <c r="I702" s="1" t="s">
        <v>108</v>
      </c>
      <c r="J702" s="1" t="s">
        <v>109</v>
      </c>
      <c r="K702" s="1" t="s">
        <v>110</v>
      </c>
      <c r="L702" s="1" t="s">
        <v>21</v>
      </c>
      <c r="M702" s="1" t="s">
        <v>45</v>
      </c>
      <c r="N702" s="1" t="s">
        <v>111</v>
      </c>
      <c r="O702" s="2" t="s">
        <v>112</v>
      </c>
      <c r="P702" s="1" t="s">
        <v>113</v>
      </c>
    </row>
    <row r="703" spans="1:16" ht="15.75">
      <c r="A703" s="3">
        <v>1</v>
      </c>
      <c r="B703" s="4">
        <v>46211</v>
      </c>
      <c r="C703" s="3" t="s">
        <v>51</v>
      </c>
      <c r="D703" s="5" t="s">
        <v>56</v>
      </c>
      <c r="E703" s="5" t="s">
        <v>49</v>
      </c>
      <c r="F703" s="5" t="s">
        <v>53</v>
      </c>
      <c r="G703" s="5" t="s">
        <v>54</v>
      </c>
      <c r="H703" s="5">
        <v>9416205447</v>
      </c>
      <c r="I703" s="5">
        <v>750</v>
      </c>
      <c r="J703" s="3"/>
      <c r="K703" s="3"/>
      <c r="L703" s="3"/>
      <c r="M703" s="3"/>
      <c r="N703" s="3"/>
      <c r="O703" s="5">
        <v>12000</v>
      </c>
      <c r="P703" s="3"/>
    </row>
    <row r="704" spans="1:16" ht="15.75">
      <c r="A704" s="3">
        <v>2</v>
      </c>
      <c r="B704" s="4">
        <v>46211</v>
      </c>
      <c r="C704" s="3" t="s">
        <v>51</v>
      </c>
      <c r="D704" s="5" t="s">
        <v>61</v>
      </c>
      <c r="E704" s="5" t="s">
        <v>58</v>
      </c>
      <c r="F704" s="5" t="s">
        <v>59</v>
      </c>
      <c r="G704" s="5" t="s">
        <v>60</v>
      </c>
      <c r="H704" s="5">
        <v>7082390753</v>
      </c>
      <c r="I704" s="5">
        <v>750</v>
      </c>
      <c r="J704" s="3"/>
      <c r="K704" s="3"/>
      <c r="L704" s="3"/>
      <c r="M704" s="3"/>
      <c r="N704" s="3"/>
      <c r="O704" s="5">
        <v>12000</v>
      </c>
      <c r="P704" s="3"/>
    </row>
    <row r="705" spans="1:16" ht="15.75">
      <c r="A705" s="3">
        <v>3</v>
      </c>
      <c r="B705" s="4">
        <v>46211</v>
      </c>
      <c r="C705" s="3" t="s">
        <v>51</v>
      </c>
      <c r="D705" s="5" t="s">
        <v>65</v>
      </c>
      <c r="E705" s="5" t="s">
        <v>62</v>
      </c>
      <c r="F705" s="5" t="s">
        <v>63</v>
      </c>
      <c r="G705" s="5" t="s">
        <v>64</v>
      </c>
      <c r="H705" s="5">
        <v>9050560127</v>
      </c>
      <c r="I705" s="5">
        <v>750</v>
      </c>
      <c r="J705" s="3"/>
      <c r="K705" s="3"/>
      <c r="L705" s="3"/>
      <c r="M705" s="3"/>
      <c r="N705" s="3"/>
      <c r="O705" s="5">
        <v>12000</v>
      </c>
      <c r="P705" s="3"/>
    </row>
    <row r="706" spans="1:16" ht="15.75">
      <c r="A706" s="3">
        <v>4</v>
      </c>
      <c r="B706" s="4">
        <v>46211</v>
      </c>
      <c r="C706" s="3" t="s">
        <v>51</v>
      </c>
      <c r="D706" s="5" t="s">
        <v>76</v>
      </c>
      <c r="E706" s="5" t="s">
        <v>62</v>
      </c>
      <c r="F706" s="6" t="s">
        <v>74</v>
      </c>
      <c r="G706" s="6" t="s">
        <v>75</v>
      </c>
      <c r="H706" s="6">
        <v>8607782625</v>
      </c>
      <c r="I706" s="5">
        <v>750</v>
      </c>
      <c r="J706" s="3"/>
      <c r="K706" s="3"/>
      <c r="L706" s="3"/>
      <c r="M706" s="3"/>
      <c r="N706" s="3"/>
      <c r="O706" s="5">
        <v>12000</v>
      </c>
      <c r="P706" s="3"/>
    </row>
    <row r="707" spans="1:16" ht="15.75">
      <c r="A707" s="3">
        <v>5</v>
      </c>
      <c r="B707" s="4">
        <v>46211</v>
      </c>
      <c r="C707" s="3" t="s">
        <v>51</v>
      </c>
      <c r="D707" s="5" t="s">
        <v>116</v>
      </c>
      <c r="E707" s="10" t="s">
        <v>118</v>
      </c>
      <c r="F707" s="10" t="s">
        <v>122</v>
      </c>
      <c r="G707" s="10" t="s">
        <v>126</v>
      </c>
      <c r="H707" s="10">
        <v>9971164371</v>
      </c>
      <c r="I707" s="10">
        <v>750</v>
      </c>
      <c r="J707" s="3"/>
      <c r="K707" s="3"/>
      <c r="L707" s="3"/>
      <c r="M707" s="3"/>
      <c r="N707" s="3"/>
      <c r="O707" s="5">
        <v>12750</v>
      </c>
      <c r="P707" s="3"/>
    </row>
    <row r="708" spans="1:16" ht="15.75">
      <c r="A708" s="3">
        <v>6</v>
      </c>
      <c r="B708" s="4">
        <v>46211</v>
      </c>
      <c r="C708" s="3" t="s">
        <v>51</v>
      </c>
      <c r="D708" s="5" t="s">
        <v>117</v>
      </c>
      <c r="E708" s="10" t="s">
        <v>119</v>
      </c>
      <c r="F708" s="10" t="s">
        <v>123</v>
      </c>
      <c r="G708" s="10" t="s">
        <v>127</v>
      </c>
      <c r="H708" s="10">
        <v>8816966347</v>
      </c>
      <c r="I708" s="10">
        <v>750</v>
      </c>
      <c r="J708" s="3"/>
      <c r="K708" s="3"/>
      <c r="L708" s="3"/>
      <c r="M708" s="3"/>
      <c r="N708" s="3"/>
      <c r="O708" s="5">
        <v>12750</v>
      </c>
      <c r="P708" s="3"/>
    </row>
    <row r="709" spans="1:16" ht="15.75">
      <c r="A709" s="3">
        <v>7</v>
      </c>
      <c r="B709" s="4">
        <v>46211</v>
      </c>
      <c r="C709" s="3" t="s">
        <v>51</v>
      </c>
      <c r="D709" s="5" t="s">
        <v>146</v>
      </c>
      <c r="E709" s="5" t="s">
        <v>128</v>
      </c>
      <c r="F709" s="5" t="s">
        <v>131</v>
      </c>
      <c r="G709" s="5" t="s">
        <v>139</v>
      </c>
      <c r="H709" s="5">
        <v>8295428639</v>
      </c>
      <c r="I709" s="5">
        <v>800</v>
      </c>
      <c r="J709" s="3"/>
      <c r="K709" s="3"/>
      <c r="L709" s="3"/>
      <c r="M709" s="3"/>
      <c r="N709" s="3"/>
      <c r="O709" s="5">
        <v>20800</v>
      </c>
      <c r="P709" s="3"/>
    </row>
    <row r="710" spans="1:16" ht="15.75">
      <c r="A710" s="3">
        <v>8</v>
      </c>
      <c r="B710" s="4">
        <v>46211</v>
      </c>
      <c r="C710" s="3" t="s">
        <v>51</v>
      </c>
      <c r="D710" s="5" t="s">
        <v>148</v>
      </c>
      <c r="E710" s="5" t="s">
        <v>130</v>
      </c>
      <c r="F710" s="5" t="s">
        <v>133</v>
      </c>
      <c r="G710" s="5" t="s">
        <v>68</v>
      </c>
      <c r="H710" s="5">
        <v>9050180519</v>
      </c>
      <c r="I710" s="6">
        <v>750</v>
      </c>
      <c r="J710" s="3"/>
      <c r="K710" s="3"/>
      <c r="L710" s="3"/>
      <c r="M710" s="3"/>
      <c r="N710" s="3"/>
      <c r="O710" s="5">
        <v>13500</v>
      </c>
      <c r="P710" s="3"/>
    </row>
    <row r="711" spans="1:16" ht="15.75">
      <c r="A711" s="3">
        <v>9</v>
      </c>
      <c r="B711" s="4">
        <v>46211</v>
      </c>
      <c r="C711" s="3" t="s">
        <v>51</v>
      </c>
      <c r="D711" s="5" t="s">
        <v>149</v>
      </c>
      <c r="E711" s="5" t="s">
        <v>119</v>
      </c>
      <c r="F711" s="5" t="s">
        <v>134</v>
      </c>
      <c r="G711" s="5" t="s">
        <v>141</v>
      </c>
      <c r="H711" s="5">
        <v>9671597235</v>
      </c>
      <c r="I711" s="5">
        <v>800</v>
      </c>
      <c r="J711" s="3"/>
      <c r="K711" s="3"/>
      <c r="L711" s="3"/>
      <c r="M711" s="3"/>
      <c r="N711" s="3"/>
      <c r="O711" s="5">
        <v>20800</v>
      </c>
      <c r="P711" s="3"/>
    </row>
    <row r="712" spans="1:16" ht="15.75">
      <c r="A712" s="3">
        <v>10</v>
      </c>
      <c r="B712" s="4">
        <v>46211</v>
      </c>
      <c r="C712" s="3" t="s">
        <v>51</v>
      </c>
      <c r="D712" s="5" t="s">
        <v>150</v>
      </c>
      <c r="E712" s="5" t="s">
        <v>119</v>
      </c>
      <c r="F712" s="5" t="s">
        <v>135</v>
      </c>
      <c r="G712" s="5" t="s">
        <v>142</v>
      </c>
      <c r="H712" s="5">
        <v>9729501850</v>
      </c>
      <c r="I712" s="5">
        <v>800</v>
      </c>
      <c r="J712" s="3"/>
      <c r="K712" s="3"/>
      <c r="L712" s="3"/>
      <c r="M712" s="3"/>
      <c r="N712" s="3"/>
      <c r="O712" s="5">
        <v>20800</v>
      </c>
      <c r="P712" s="3"/>
    </row>
    <row r="713" spans="1:16" ht="15.75">
      <c r="A713" s="3">
        <v>11</v>
      </c>
      <c r="B713" s="4">
        <v>46211</v>
      </c>
      <c r="C713" s="3" t="s">
        <v>51</v>
      </c>
      <c r="D713" s="5" t="s">
        <v>152</v>
      </c>
      <c r="E713" s="5" t="s">
        <v>119</v>
      </c>
      <c r="F713" s="5" t="s">
        <v>137</v>
      </c>
      <c r="G713" s="5" t="s">
        <v>144</v>
      </c>
      <c r="H713" s="5">
        <v>9991638771</v>
      </c>
      <c r="I713" s="5">
        <v>800</v>
      </c>
      <c r="J713" s="3"/>
      <c r="K713" s="3"/>
      <c r="L713" s="3"/>
      <c r="M713" s="3"/>
      <c r="N713" s="3"/>
      <c r="O713" s="5">
        <v>20800</v>
      </c>
      <c r="P713" s="3"/>
    </row>
    <row r="714" spans="1:16" ht="15.75">
      <c r="A714" s="3">
        <v>12</v>
      </c>
      <c r="B714" s="4">
        <v>46211</v>
      </c>
      <c r="C714" s="3" t="s">
        <v>51</v>
      </c>
      <c r="D714" s="5" t="s">
        <v>158</v>
      </c>
      <c r="E714" s="10" t="s">
        <v>119</v>
      </c>
      <c r="F714" s="10" t="s">
        <v>71</v>
      </c>
      <c r="G714" s="10" t="s">
        <v>167</v>
      </c>
      <c r="H714" s="10">
        <v>9992401965</v>
      </c>
      <c r="I714" s="5">
        <v>800</v>
      </c>
      <c r="J714" s="3"/>
      <c r="K714" s="3"/>
      <c r="L714" s="3"/>
      <c r="M714" s="3"/>
      <c r="N714" s="3"/>
      <c r="O714" s="5">
        <v>20800</v>
      </c>
      <c r="P714" s="3"/>
    </row>
    <row r="715" spans="1:16" ht="15.75">
      <c r="A715" s="3">
        <v>13</v>
      </c>
      <c r="B715" s="4">
        <v>46211</v>
      </c>
      <c r="C715" s="3" t="s">
        <v>51</v>
      </c>
      <c r="D715" s="5" t="s">
        <v>159</v>
      </c>
      <c r="E715" s="10" t="s">
        <v>171</v>
      </c>
      <c r="F715" s="10" t="s">
        <v>163</v>
      </c>
      <c r="G715" s="10" t="s">
        <v>168</v>
      </c>
      <c r="H715" s="10">
        <v>7404474940</v>
      </c>
      <c r="I715" s="6">
        <v>750</v>
      </c>
      <c r="J715" s="3"/>
      <c r="K715" s="3"/>
      <c r="L715" s="3"/>
      <c r="M715" s="3"/>
      <c r="N715" s="3"/>
      <c r="O715" s="5">
        <v>13500</v>
      </c>
      <c r="P715" s="3"/>
    </row>
    <row r="716" spans="1:16" ht="15.75">
      <c r="A716" s="3">
        <v>14</v>
      </c>
      <c r="B716" s="4">
        <v>46211</v>
      </c>
      <c r="C716" s="3" t="s">
        <v>51</v>
      </c>
      <c r="D716" s="5" t="s">
        <v>160</v>
      </c>
      <c r="E716" s="10" t="s">
        <v>172</v>
      </c>
      <c r="F716" s="10" t="s">
        <v>164</v>
      </c>
      <c r="G716" s="10" t="s">
        <v>169</v>
      </c>
      <c r="H716" s="10">
        <v>9540614028</v>
      </c>
      <c r="I716" s="5">
        <v>800</v>
      </c>
      <c r="J716" s="3"/>
      <c r="K716" s="3"/>
      <c r="L716" s="3"/>
      <c r="M716" s="3"/>
      <c r="N716" s="3"/>
      <c r="O716" s="5">
        <v>20800</v>
      </c>
      <c r="P716" s="3"/>
    </row>
    <row r="717" spans="1:16" ht="15.75">
      <c r="A717" s="3">
        <v>15</v>
      </c>
      <c r="B717" s="4">
        <v>46211</v>
      </c>
      <c r="C717" s="3" t="s">
        <v>51</v>
      </c>
      <c r="D717" s="5" t="s">
        <v>161</v>
      </c>
      <c r="E717" s="10" t="s">
        <v>119</v>
      </c>
      <c r="F717" s="10" t="s">
        <v>165</v>
      </c>
      <c r="G717" s="10" t="s">
        <v>140</v>
      </c>
      <c r="H717" s="10">
        <v>8395910861</v>
      </c>
      <c r="I717" s="6">
        <v>750</v>
      </c>
      <c r="J717" s="3"/>
      <c r="K717" s="3"/>
      <c r="L717" s="3"/>
      <c r="M717" s="3"/>
      <c r="N717" s="3"/>
      <c r="O717" s="5">
        <v>13500</v>
      </c>
      <c r="P717" s="3"/>
    </row>
    <row r="718" spans="1:16" ht="15.75">
      <c r="A718" s="3">
        <v>16</v>
      </c>
      <c r="B718" s="4">
        <v>46211</v>
      </c>
      <c r="C718" s="3" t="s">
        <v>51</v>
      </c>
      <c r="D718" s="5" t="s">
        <v>162</v>
      </c>
      <c r="E718" s="10" t="s">
        <v>119</v>
      </c>
      <c r="F718" s="10" t="s">
        <v>166</v>
      </c>
      <c r="G718" s="10" t="s">
        <v>170</v>
      </c>
      <c r="H718" s="10">
        <v>9671227093</v>
      </c>
      <c r="I718" s="5">
        <v>800</v>
      </c>
      <c r="J718" s="3"/>
      <c r="K718" s="3"/>
      <c r="L718" s="3"/>
      <c r="M718" s="3"/>
      <c r="N718" s="3"/>
      <c r="O718" s="5">
        <v>20800</v>
      </c>
      <c r="P718" s="3"/>
    </row>
    <row r="719" spans="1:16" ht="15.75">
      <c r="A719" s="3">
        <v>17</v>
      </c>
      <c r="B719" s="4">
        <v>46211</v>
      </c>
      <c r="C719" s="3" t="s">
        <v>51</v>
      </c>
      <c r="D719" s="5" t="s">
        <v>174</v>
      </c>
      <c r="E719" s="5" t="s">
        <v>177</v>
      </c>
      <c r="F719" s="10" t="s">
        <v>179</v>
      </c>
      <c r="G719" s="10" t="s">
        <v>181</v>
      </c>
      <c r="H719" s="10">
        <v>9991575314</v>
      </c>
      <c r="I719" s="3">
        <v>800</v>
      </c>
      <c r="J719" s="3"/>
      <c r="K719" s="3"/>
      <c r="L719" s="3"/>
      <c r="M719" s="3"/>
      <c r="N719" s="3"/>
      <c r="O719" s="5">
        <v>21600</v>
      </c>
      <c r="P719" s="3"/>
    </row>
    <row r="720" spans="1:16" ht="15.75">
      <c r="A720" s="3">
        <v>18</v>
      </c>
      <c r="B720" s="4">
        <v>46211</v>
      </c>
      <c r="C720" s="3" t="s">
        <v>51</v>
      </c>
      <c r="D720" s="5" t="s">
        <v>175</v>
      </c>
      <c r="E720" s="10" t="s">
        <v>171</v>
      </c>
      <c r="F720" s="10" t="s">
        <v>180</v>
      </c>
      <c r="G720" s="10" t="s">
        <v>182</v>
      </c>
      <c r="H720" s="10">
        <v>8814086202</v>
      </c>
      <c r="I720" s="3">
        <v>750</v>
      </c>
      <c r="J720" s="3"/>
      <c r="K720" s="3"/>
      <c r="L720" s="3"/>
      <c r="M720" s="3"/>
      <c r="N720" s="3"/>
      <c r="O720" s="5">
        <v>13500</v>
      </c>
      <c r="P720" s="3"/>
    </row>
    <row r="721" spans="1:16" ht="15.75">
      <c r="A721" s="3">
        <v>19</v>
      </c>
      <c r="B721" s="4">
        <v>46211</v>
      </c>
      <c r="C721" s="3" t="s">
        <v>51</v>
      </c>
      <c r="D721" s="5" t="s">
        <v>176</v>
      </c>
      <c r="E721" s="10" t="s">
        <v>178</v>
      </c>
      <c r="F721" s="10" t="s">
        <v>165</v>
      </c>
      <c r="G721" s="10" t="s">
        <v>183</v>
      </c>
      <c r="H721" s="10">
        <v>9991361344</v>
      </c>
      <c r="I721" s="3">
        <v>750</v>
      </c>
      <c r="J721" s="3"/>
      <c r="K721" s="3"/>
      <c r="L721" s="3"/>
      <c r="M721" s="3"/>
      <c r="N721" s="3"/>
      <c r="O721" s="5">
        <v>14250</v>
      </c>
      <c r="P721" s="3"/>
    </row>
    <row r="722" spans="1:16" ht="15.75">
      <c r="A722" s="3">
        <v>20</v>
      </c>
      <c r="B722" s="4">
        <v>46211</v>
      </c>
      <c r="C722" s="3" t="s">
        <v>51</v>
      </c>
      <c r="D722" s="5" t="s">
        <v>194</v>
      </c>
      <c r="E722" s="10" t="s">
        <v>197</v>
      </c>
      <c r="F722" s="10" t="s">
        <v>71</v>
      </c>
      <c r="G722" s="10" t="s">
        <v>125</v>
      </c>
      <c r="H722" s="10">
        <v>9053156064</v>
      </c>
      <c r="I722" s="3">
        <v>750</v>
      </c>
      <c r="J722" s="3"/>
      <c r="K722" s="3"/>
      <c r="L722" s="3"/>
      <c r="M722" s="3"/>
      <c r="N722" s="3"/>
      <c r="O722" s="5">
        <v>15000</v>
      </c>
      <c r="P722" s="3"/>
    </row>
    <row r="723" spans="1:16" ht="15.75">
      <c r="A723" s="3">
        <v>21</v>
      </c>
      <c r="B723" s="4">
        <v>46211</v>
      </c>
      <c r="C723" s="3" t="s">
        <v>51</v>
      </c>
      <c r="D723" s="5" t="s">
        <v>199</v>
      </c>
      <c r="E723" s="10" t="s">
        <v>197</v>
      </c>
      <c r="F723" s="10" t="s">
        <v>53</v>
      </c>
      <c r="G723" s="10" t="s">
        <v>204</v>
      </c>
      <c r="H723" s="10">
        <v>9813304531</v>
      </c>
      <c r="I723" s="3">
        <v>750</v>
      </c>
      <c r="J723" s="3"/>
      <c r="K723" s="3"/>
      <c r="L723" s="3"/>
      <c r="M723" s="3"/>
      <c r="N723" s="3"/>
      <c r="O723" s="5">
        <v>15000</v>
      </c>
      <c r="P723" s="3"/>
    </row>
    <row r="724" spans="1:16" ht="15.75">
      <c r="A724" s="3">
        <v>22</v>
      </c>
      <c r="B724" s="4">
        <v>46211</v>
      </c>
      <c r="C724" s="3" t="s">
        <v>51</v>
      </c>
      <c r="D724" s="5" t="s">
        <v>200</v>
      </c>
      <c r="E724" s="10" t="s">
        <v>197</v>
      </c>
      <c r="F724" s="10" t="s">
        <v>121</v>
      </c>
      <c r="G724" s="10" t="s">
        <v>140</v>
      </c>
      <c r="H724" s="10">
        <v>8930321437</v>
      </c>
      <c r="I724" s="3">
        <v>800</v>
      </c>
      <c r="J724" s="3"/>
      <c r="K724" s="3"/>
      <c r="L724" s="3"/>
      <c r="M724" s="3"/>
      <c r="N724" s="3"/>
      <c r="O724" s="5">
        <v>22400</v>
      </c>
      <c r="P724" s="3"/>
    </row>
    <row r="725" spans="1:16" ht="15.75">
      <c r="A725" s="3">
        <v>23</v>
      </c>
      <c r="B725" s="4">
        <v>46211</v>
      </c>
      <c r="C725" s="3" t="s">
        <v>51</v>
      </c>
      <c r="D725" s="5" t="s">
        <v>201</v>
      </c>
      <c r="E725" s="10" t="s">
        <v>206</v>
      </c>
      <c r="F725" s="10" t="s">
        <v>165</v>
      </c>
      <c r="G725" s="10" t="s">
        <v>205</v>
      </c>
      <c r="H725" s="10">
        <v>8295267191</v>
      </c>
      <c r="I725" s="3">
        <v>800</v>
      </c>
      <c r="J725" s="3"/>
      <c r="K725" s="3"/>
      <c r="L725" s="3"/>
      <c r="M725" s="3"/>
      <c r="N725" s="3"/>
      <c r="O725" s="5">
        <v>22400</v>
      </c>
      <c r="P725" s="3"/>
    </row>
    <row r="726" spans="1:16" ht="15.75">
      <c r="A726" s="3">
        <v>24</v>
      </c>
      <c r="B726" s="4">
        <v>46211</v>
      </c>
      <c r="C726" s="3" t="s">
        <v>51</v>
      </c>
      <c r="D726" s="5" t="s">
        <v>202</v>
      </c>
      <c r="E726" s="10" t="s">
        <v>118</v>
      </c>
      <c r="F726" s="10" t="s">
        <v>203</v>
      </c>
      <c r="G726" s="10" t="s">
        <v>185</v>
      </c>
      <c r="H726" s="10">
        <v>7988050867</v>
      </c>
      <c r="I726" s="3">
        <v>750</v>
      </c>
      <c r="J726" s="3"/>
      <c r="K726" s="3"/>
      <c r="L726" s="3"/>
      <c r="M726" s="3"/>
      <c r="N726" s="3"/>
      <c r="O726" s="5">
        <v>15000</v>
      </c>
      <c r="P726" s="3"/>
    </row>
    <row r="727" spans="1:16" ht="15.75">
      <c r="A727" s="3">
        <v>25</v>
      </c>
      <c r="B727" s="4">
        <v>46211</v>
      </c>
      <c r="C727" s="3" t="s">
        <v>51</v>
      </c>
      <c r="D727" s="5" t="s">
        <v>208</v>
      </c>
      <c r="E727" s="10" t="s">
        <v>49</v>
      </c>
      <c r="F727" s="10" t="s">
        <v>215</v>
      </c>
      <c r="G727" s="10" t="s">
        <v>216</v>
      </c>
      <c r="H727" s="10">
        <v>9812012403</v>
      </c>
      <c r="I727" s="3">
        <v>800</v>
      </c>
      <c r="J727" s="3"/>
      <c r="K727" s="3"/>
      <c r="L727" s="3"/>
      <c r="M727" s="3"/>
      <c r="N727" s="3"/>
      <c r="O727" s="5">
        <v>22400</v>
      </c>
      <c r="P727" s="3"/>
    </row>
    <row r="728" spans="1:16" ht="15.75">
      <c r="A728" s="3">
        <v>26</v>
      </c>
      <c r="B728" s="4">
        <v>46211</v>
      </c>
      <c r="C728" s="3" t="s">
        <v>51</v>
      </c>
      <c r="D728" s="5" t="s">
        <v>262</v>
      </c>
      <c r="E728" s="10" t="s">
        <v>197</v>
      </c>
      <c r="F728" s="10" t="s">
        <v>247</v>
      </c>
      <c r="G728" s="10" t="s">
        <v>267</v>
      </c>
      <c r="H728" s="10">
        <v>7027082504</v>
      </c>
      <c r="I728" s="3">
        <v>800</v>
      </c>
      <c r="J728" s="3"/>
      <c r="K728" s="3"/>
      <c r="L728" s="3"/>
      <c r="M728" s="3"/>
      <c r="N728" s="3"/>
      <c r="O728" s="5">
        <v>24000</v>
      </c>
      <c r="P728" s="3"/>
    </row>
    <row r="729" spans="1:16" ht="15.75">
      <c r="A729" s="3">
        <v>27</v>
      </c>
      <c r="B729" s="4">
        <v>46211</v>
      </c>
      <c r="C729" s="3" t="s">
        <v>51</v>
      </c>
      <c r="D729" s="5" t="s">
        <v>264</v>
      </c>
      <c r="E729" s="10" t="s">
        <v>49</v>
      </c>
      <c r="F729" s="10" t="s">
        <v>254</v>
      </c>
      <c r="G729" s="10" t="s">
        <v>269</v>
      </c>
      <c r="H729" s="10">
        <v>9729160317</v>
      </c>
      <c r="I729" s="3">
        <v>750</v>
      </c>
      <c r="J729" s="3"/>
      <c r="K729" s="3"/>
      <c r="L729" s="3"/>
      <c r="M729" s="3"/>
      <c r="N729" s="3"/>
      <c r="O729" s="5">
        <v>15750</v>
      </c>
      <c r="P729" s="3"/>
    </row>
    <row r="730" spans="1:16" ht="15.75">
      <c r="A730" s="3">
        <v>28</v>
      </c>
      <c r="B730" s="4">
        <v>46211</v>
      </c>
      <c r="C730" s="3" t="s">
        <v>51</v>
      </c>
      <c r="D730" s="5" t="s">
        <v>265</v>
      </c>
      <c r="E730" s="10" t="s">
        <v>49</v>
      </c>
      <c r="F730" s="10" t="s">
        <v>261</v>
      </c>
      <c r="G730" s="10" t="s">
        <v>270</v>
      </c>
      <c r="H730" s="10">
        <v>9991081679</v>
      </c>
      <c r="I730" s="3">
        <v>800</v>
      </c>
      <c r="J730" s="3"/>
      <c r="K730" s="3"/>
      <c r="L730" s="3"/>
      <c r="M730" s="3"/>
      <c r="N730" s="3"/>
      <c r="O730" s="5">
        <v>24000</v>
      </c>
      <c r="P730" s="3"/>
    </row>
    <row r="731" spans="1:16" ht="15.75">
      <c r="A731" s="3">
        <v>29</v>
      </c>
      <c r="B731" s="4">
        <v>46211</v>
      </c>
      <c r="C731" s="3" t="s">
        <v>51</v>
      </c>
      <c r="D731" s="5" t="s">
        <v>275</v>
      </c>
      <c r="E731" s="10" t="s">
        <v>278</v>
      </c>
      <c r="F731" s="10" t="s">
        <v>271</v>
      </c>
      <c r="G731" s="10" t="s">
        <v>280</v>
      </c>
      <c r="H731" s="10">
        <v>9466502084</v>
      </c>
      <c r="I731" s="3">
        <v>750</v>
      </c>
      <c r="J731" s="3"/>
      <c r="K731" s="3"/>
      <c r="L731" s="3"/>
      <c r="M731" s="3"/>
      <c r="N731" s="3"/>
      <c r="O731" s="5">
        <v>16500</v>
      </c>
      <c r="P731" s="3"/>
    </row>
    <row r="732" spans="1:16" ht="15.75">
      <c r="A732" s="3">
        <v>30</v>
      </c>
      <c r="B732" s="4">
        <v>46211</v>
      </c>
      <c r="C732" s="3" t="s">
        <v>51</v>
      </c>
      <c r="D732" s="5" t="s">
        <v>276</v>
      </c>
      <c r="E732" s="10" t="s">
        <v>279</v>
      </c>
      <c r="F732" s="10" t="s">
        <v>272</v>
      </c>
      <c r="G732" s="10" t="s">
        <v>281</v>
      </c>
      <c r="H732" s="10">
        <v>8168586120</v>
      </c>
      <c r="I732" s="3">
        <v>800</v>
      </c>
      <c r="J732" s="3"/>
      <c r="K732" s="3"/>
      <c r="L732" s="3"/>
      <c r="M732" s="3"/>
      <c r="N732" s="3"/>
      <c r="O732" s="5">
        <v>24000</v>
      </c>
      <c r="P732" s="3"/>
    </row>
    <row r="733" spans="1:16" ht="15.75">
      <c r="A733" s="3">
        <v>31</v>
      </c>
      <c r="B733" s="4">
        <v>46211</v>
      </c>
      <c r="C733" s="3" t="s">
        <v>51</v>
      </c>
      <c r="D733" s="5" t="s">
        <v>277</v>
      </c>
      <c r="E733" s="10" t="s">
        <v>49</v>
      </c>
      <c r="F733" s="10" t="s">
        <v>273</v>
      </c>
      <c r="G733" s="10" t="s">
        <v>282</v>
      </c>
      <c r="H733" s="10">
        <v>8295507421</v>
      </c>
      <c r="I733" s="3">
        <v>800</v>
      </c>
      <c r="J733" s="3"/>
      <c r="K733" s="3"/>
      <c r="L733" s="3"/>
      <c r="M733" s="3"/>
      <c r="N733" s="3"/>
      <c r="O733" s="5">
        <v>24000</v>
      </c>
      <c r="P733" s="3"/>
    </row>
    <row r="734" spans="1:16" ht="15.75">
      <c r="A734" s="3">
        <v>32</v>
      </c>
      <c r="B734" s="4">
        <v>46211</v>
      </c>
      <c r="C734" s="3" t="s">
        <v>51</v>
      </c>
      <c r="D734" s="5" t="s">
        <v>255</v>
      </c>
      <c r="E734" s="10" t="s">
        <v>278</v>
      </c>
      <c r="F734" s="10" t="s">
        <v>274</v>
      </c>
      <c r="G734" s="10" t="s">
        <v>189</v>
      </c>
      <c r="H734" s="10">
        <v>7828359630</v>
      </c>
      <c r="I734" s="3">
        <v>750</v>
      </c>
      <c r="J734" s="3"/>
      <c r="K734" s="3"/>
      <c r="L734" s="3"/>
      <c r="M734" s="3"/>
      <c r="N734" s="3"/>
      <c r="O734" s="5">
        <v>16500</v>
      </c>
      <c r="P734" s="3"/>
    </row>
    <row r="735" spans="1:16" ht="15.75">
      <c r="A735" s="3">
        <v>33</v>
      </c>
      <c r="B735" s="4">
        <v>46211</v>
      </c>
      <c r="C735" s="3" t="s">
        <v>51</v>
      </c>
      <c r="D735" s="5" t="s">
        <v>286</v>
      </c>
      <c r="E735" s="3" t="s">
        <v>49</v>
      </c>
      <c r="F735" s="3" t="s">
        <v>285</v>
      </c>
      <c r="G735" s="3" t="s">
        <v>293</v>
      </c>
      <c r="H735" s="3">
        <v>9671634311</v>
      </c>
      <c r="I735" s="3">
        <v>800</v>
      </c>
      <c r="J735" s="3"/>
      <c r="K735" s="3"/>
      <c r="L735" s="3"/>
      <c r="M735" s="3"/>
      <c r="N735" s="3"/>
      <c r="O735" s="5">
        <v>24800</v>
      </c>
      <c r="P735" s="3"/>
    </row>
    <row r="736" spans="1:16" ht="15.75">
      <c r="A736" s="3">
        <v>34</v>
      </c>
      <c r="B736" s="4">
        <v>46211</v>
      </c>
      <c r="C736" s="3" t="s">
        <v>51</v>
      </c>
      <c r="D736" s="5" t="s">
        <v>287</v>
      </c>
      <c r="E736" s="3" t="s">
        <v>130</v>
      </c>
      <c r="F736" s="3" t="s">
        <v>284</v>
      </c>
      <c r="G736" s="3" t="s">
        <v>294</v>
      </c>
      <c r="H736" s="3">
        <v>9671393271</v>
      </c>
      <c r="I736" s="3">
        <v>800</v>
      </c>
      <c r="J736" s="3"/>
      <c r="K736" s="3"/>
      <c r="L736" s="3"/>
      <c r="M736" s="3"/>
      <c r="N736" s="3"/>
      <c r="O736" s="5">
        <v>24800</v>
      </c>
      <c r="P736" s="3"/>
    </row>
    <row r="737" spans="1:16" ht="15.75">
      <c r="A737" s="3">
        <v>35</v>
      </c>
      <c r="B737" s="4">
        <v>46211</v>
      </c>
      <c r="C737" s="3" t="s">
        <v>51</v>
      </c>
      <c r="D737" s="6" t="s">
        <v>299</v>
      </c>
      <c r="E737" s="3" t="s">
        <v>130</v>
      </c>
      <c r="F737" s="3" t="s">
        <v>301</v>
      </c>
      <c r="G737" s="3" t="s">
        <v>303</v>
      </c>
      <c r="H737" s="3">
        <v>8397097184</v>
      </c>
      <c r="I737" s="3">
        <v>800</v>
      </c>
      <c r="J737" s="3"/>
      <c r="K737" s="3"/>
      <c r="L737" s="3"/>
      <c r="M737" s="3"/>
      <c r="N737" s="3"/>
      <c r="O737" s="6">
        <v>24800</v>
      </c>
      <c r="P737" s="3"/>
    </row>
    <row r="738" spans="1:16" ht="15.75">
      <c r="A738" s="3">
        <v>36</v>
      </c>
      <c r="B738" s="4">
        <v>46211</v>
      </c>
      <c r="C738" s="3" t="s">
        <v>51</v>
      </c>
      <c r="D738" s="5" t="s">
        <v>312</v>
      </c>
      <c r="E738" s="3" t="s">
        <v>197</v>
      </c>
      <c r="F738" s="3" t="s">
        <v>121</v>
      </c>
      <c r="G738" s="3" t="s">
        <v>315</v>
      </c>
      <c r="H738" s="3">
        <v>8059882196</v>
      </c>
      <c r="I738" s="3">
        <v>800</v>
      </c>
      <c r="J738" s="3"/>
      <c r="K738" s="3"/>
      <c r="L738" s="3"/>
      <c r="M738" s="3"/>
      <c r="N738" s="3"/>
      <c r="O738" s="6">
        <v>24800</v>
      </c>
      <c r="P738" s="3"/>
    </row>
    <row r="739" spans="1:16" ht="15.75">
      <c r="A739" s="3">
        <v>37</v>
      </c>
      <c r="B739" s="4">
        <v>46211</v>
      </c>
      <c r="C739" s="3" t="s">
        <v>51</v>
      </c>
      <c r="D739" s="5" t="s">
        <v>332</v>
      </c>
      <c r="E739" s="3" t="s">
        <v>206</v>
      </c>
      <c r="F739" s="3" t="s">
        <v>330</v>
      </c>
      <c r="G739" s="3" t="s">
        <v>331</v>
      </c>
      <c r="H739" s="3">
        <v>7015840262</v>
      </c>
      <c r="I739" s="3">
        <v>800</v>
      </c>
      <c r="J739" s="3"/>
      <c r="K739" s="3"/>
      <c r="L739" s="3"/>
      <c r="M739" s="3"/>
      <c r="N739" s="3"/>
      <c r="O739" s="6">
        <v>25600</v>
      </c>
      <c r="P739" s="3"/>
    </row>
    <row r="740" spans="1:16" ht="15.75">
      <c r="A740" s="3">
        <v>38</v>
      </c>
      <c r="B740" s="4">
        <v>46211</v>
      </c>
      <c r="C740" s="3" t="s">
        <v>51</v>
      </c>
      <c r="D740" s="5" t="s">
        <v>343</v>
      </c>
      <c r="E740" s="3" t="s">
        <v>348</v>
      </c>
      <c r="F740" s="3" t="s">
        <v>333</v>
      </c>
      <c r="G740" s="3" t="s">
        <v>334</v>
      </c>
      <c r="H740" s="3">
        <v>8708050493</v>
      </c>
      <c r="I740" s="3">
        <v>1000</v>
      </c>
      <c r="J740" s="3"/>
      <c r="K740" s="3"/>
      <c r="L740" s="3"/>
      <c r="M740" s="3"/>
      <c r="N740" s="3"/>
      <c r="O740" s="6">
        <v>26000</v>
      </c>
      <c r="P740" s="3"/>
    </row>
    <row r="741" spans="1:16" ht="15.75">
      <c r="A741" s="3">
        <v>39</v>
      </c>
      <c r="B741" s="4">
        <v>46211</v>
      </c>
      <c r="C741" s="3" t="s">
        <v>51</v>
      </c>
      <c r="D741" s="5" t="s">
        <v>344</v>
      </c>
      <c r="E741" s="3" t="s">
        <v>348</v>
      </c>
      <c r="F741" s="3" t="s">
        <v>335</v>
      </c>
      <c r="G741" s="3" t="s">
        <v>336</v>
      </c>
      <c r="H741" s="3">
        <v>8708050493</v>
      </c>
      <c r="I741" s="3">
        <v>1000</v>
      </c>
      <c r="J741" s="3"/>
      <c r="K741" s="3"/>
      <c r="L741" s="3"/>
      <c r="M741" s="3"/>
      <c r="N741" s="3"/>
      <c r="O741" s="6">
        <v>26000</v>
      </c>
      <c r="P741" s="3"/>
    </row>
    <row r="742" spans="1:16" ht="15.75">
      <c r="A742" s="3">
        <v>40</v>
      </c>
      <c r="B742" s="4">
        <v>46211</v>
      </c>
      <c r="C742" s="3" t="s">
        <v>51</v>
      </c>
      <c r="D742" s="5" t="s">
        <v>346</v>
      </c>
      <c r="E742" s="3" t="s">
        <v>49</v>
      </c>
      <c r="F742" s="3" t="s">
        <v>339</v>
      </c>
      <c r="G742" s="3" t="s">
        <v>340</v>
      </c>
      <c r="H742" s="3">
        <v>7496866457</v>
      </c>
      <c r="I742" s="3">
        <v>810</v>
      </c>
      <c r="J742" s="3"/>
      <c r="K742" s="3"/>
      <c r="L742" s="3"/>
      <c r="M742" s="3"/>
      <c r="N742" s="3"/>
      <c r="O742" s="6">
        <v>19440</v>
      </c>
      <c r="P742" s="3"/>
    </row>
    <row r="743" spans="1:16" ht="15.75">
      <c r="A743" s="3">
        <v>41</v>
      </c>
      <c r="B743" s="4">
        <v>46211</v>
      </c>
      <c r="C743" s="3" t="s">
        <v>51</v>
      </c>
      <c r="D743" s="5" t="s">
        <v>347</v>
      </c>
      <c r="E743" s="3" t="s">
        <v>49</v>
      </c>
      <c r="F743" s="3" t="s">
        <v>341</v>
      </c>
      <c r="G743" s="3" t="s">
        <v>342</v>
      </c>
      <c r="H743" s="3">
        <v>7496866457</v>
      </c>
      <c r="I743" s="3">
        <v>1000</v>
      </c>
      <c r="J743" s="3"/>
      <c r="K743" s="3"/>
      <c r="L743" s="3"/>
      <c r="M743" s="3"/>
      <c r="N743" s="3"/>
      <c r="O743" s="6">
        <v>26000</v>
      </c>
      <c r="P743" s="3"/>
    </row>
    <row r="744" spans="1:16" ht="15.75">
      <c r="A744" s="3">
        <v>42</v>
      </c>
      <c r="B744" s="4">
        <v>46211</v>
      </c>
      <c r="C744" s="3" t="s">
        <v>51</v>
      </c>
      <c r="D744" s="5" t="s">
        <v>381</v>
      </c>
      <c r="E744" s="3" t="s">
        <v>118</v>
      </c>
      <c r="F744" s="3" t="s">
        <v>387</v>
      </c>
      <c r="G744" s="3" t="s">
        <v>388</v>
      </c>
      <c r="H744" s="3">
        <v>8307074126</v>
      </c>
      <c r="I744" s="3">
        <v>810</v>
      </c>
      <c r="J744" s="3"/>
      <c r="K744" s="3"/>
      <c r="L744" s="3"/>
      <c r="M744" s="3"/>
      <c r="N744" s="3"/>
      <c r="O744" s="6">
        <v>20250</v>
      </c>
      <c r="P744" s="3"/>
    </row>
    <row r="745" spans="1:16" ht="15.75">
      <c r="A745" s="3">
        <v>43</v>
      </c>
      <c r="B745" s="4">
        <v>46211</v>
      </c>
      <c r="C745" s="3" t="s">
        <v>51</v>
      </c>
      <c r="D745" s="5" t="s">
        <v>382</v>
      </c>
      <c r="E745" s="3" t="s">
        <v>383</v>
      </c>
      <c r="F745" s="3" t="s">
        <v>215</v>
      </c>
      <c r="G745" s="3" t="s">
        <v>375</v>
      </c>
      <c r="H745" s="3">
        <v>9813268064</v>
      </c>
      <c r="I745" s="3">
        <v>1000</v>
      </c>
      <c r="J745" s="3"/>
      <c r="K745" s="3"/>
      <c r="L745" s="3"/>
      <c r="M745" s="3"/>
      <c r="N745" s="3"/>
      <c r="O745" s="6">
        <v>27000</v>
      </c>
      <c r="P745" s="3"/>
    </row>
    <row r="746" spans="1: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3"/>
      <c r="D748" s="3"/>
      <c r="E748" s="3"/>
      <c r="F748" s="3"/>
      <c r="G748" s="3"/>
      <c r="H748" s="3"/>
      <c r="I748" s="3">
        <f>SUM(I703:I747)</f>
        <v>34370</v>
      </c>
      <c r="J748" s="3"/>
      <c r="K748" s="3"/>
      <c r="L748" s="3"/>
      <c r="M748" s="3"/>
      <c r="N748" s="3"/>
      <c r="O748" s="3">
        <f>SUM(O703:O747)</f>
        <v>835390</v>
      </c>
      <c r="P748" s="3"/>
    </row>
    <row r="749" spans="1: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4" spans="1:16" ht="27.75">
      <c r="A754" s="142" t="s">
        <v>155</v>
      </c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</row>
    <row r="755" spans="1:16" ht="75">
      <c r="A755" s="1" t="s">
        <v>87</v>
      </c>
      <c r="B755" s="1" t="s">
        <v>103</v>
      </c>
      <c r="C755" s="1" t="s">
        <v>88</v>
      </c>
      <c r="D755" s="1" t="s">
        <v>104</v>
      </c>
      <c r="E755" s="1" t="s">
        <v>105</v>
      </c>
      <c r="F755" s="1" t="s">
        <v>106</v>
      </c>
      <c r="G755" s="1" t="s">
        <v>93</v>
      </c>
      <c r="H755" s="1" t="s">
        <v>107</v>
      </c>
      <c r="I755" s="1" t="s">
        <v>108</v>
      </c>
      <c r="J755" s="1" t="s">
        <v>109</v>
      </c>
      <c r="K755" s="1" t="s">
        <v>110</v>
      </c>
      <c r="L755" s="1" t="s">
        <v>21</v>
      </c>
      <c r="M755" s="1" t="s">
        <v>45</v>
      </c>
      <c r="N755" s="1" t="s">
        <v>111</v>
      </c>
      <c r="O755" s="2" t="s">
        <v>112</v>
      </c>
      <c r="P755" s="1" t="s">
        <v>113</v>
      </c>
    </row>
    <row r="756" spans="1:16" ht="15.75">
      <c r="A756" s="3">
        <v>1</v>
      </c>
      <c r="B756" s="4">
        <v>46217</v>
      </c>
      <c r="C756" s="3" t="s">
        <v>51</v>
      </c>
      <c r="D756" s="5" t="s">
        <v>70</v>
      </c>
      <c r="E756" s="5" t="s">
        <v>66</v>
      </c>
      <c r="F756" s="5" t="s">
        <v>67</v>
      </c>
      <c r="G756" s="5" t="s">
        <v>68</v>
      </c>
      <c r="H756" s="5">
        <v>8395916139</v>
      </c>
      <c r="I756" s="5">
        <v>800</v>
      </c>
      <c r="J756" s="3"/>
      <c r="K756" s="3"/>
      <c r="L756" s="3"/>
      <c r="M756" s="3"/>
      <c r="N756" s="3"/>
      <c r="O756" s="5">
        <v>19200</v>
      </c>
      <c r="P756" s="3"/>
    </row>
    <row r="757" spans="1:16" ht="15.75">
      <c r="A757" s="3">
        <v>2</v>
      </c>
      <c r="B757" s="4">
        <v>46217</v>
      </c>
      <c r="C757" s="3" t="s">
        <v>51</v>
      </c>
      <c r="D757" s="5" t="s">
        <v>73</v>
      </c>
      <c r="E757" s="5" t="s">
        <v>66</v>
      </c>
      <c r="F757" s="5" t="s">
        <v>71</v>
      </c>
      <c r="G757" s="5" t="s">
        <v>72</v>
      </c>
      <c r="H757" s="5">
        <v>7289049720</v>
      </c>
      <c r="I757" s="5">
        <v>750</v>
      </c>
      <c r="J757" s="3"/>
      <c r="K757" s="3"/>
      <c r="L757" s="3"/>
      <c r="M757" s="3"/>
      <c r="N757" s="3"/>
      <c r="O757" s="5">
        <v>12000</v>
      </c>
      <c r="P757" s="3"/>
    </row>
    <row r="758" spans="1:16" ht="15.75">
      <c r="A758" s="3">
        <v>3</v>
      </c>
      <c r="B758" s="4">
        <v>46217</v>
      </c>
      <c r="C758" s="3" t="s">
        <v>51</v>
      </c>
      <c r="D758" s="5" t="s">
        <v>79</v>
      </c>
      <c r="E758" s="5" t="s">
        <v>66</v>
      </c>
      <c r="F758" s="6" t="s">
        <v>77</v>
      </c>
      <c r="G758" s="6" t="s">
        <v>78</v>
      </c>
      <c r="H758" s="6">
        <v>7355817478</v>
      </c>
      <c r="I758" s="5">
        <v>750</v>
      </c>
      <c r="J758" s="3"/>
      <c r="K758" s="3"/>
      <c r="L758" s="3"/>
      <c r="M758" s="3"/>
      <c r="N758" s="3"/>
      <c r="O758" s="5">
        <v>12000</v>
      </c>
      <c r="P758" s="3"/>
    </row>
    <row r="759" spans="1:16" ht="15.75">
      <c r="A759" s="3">
        <v>4</v>
      </c>
      <c r="B759" s="4">
        <v>46217</v>
      </c>
      <c r="C759" s="3" t="s">
        <v>51</v>
      </c>
      <c r="D759" s="5" t="s">
        <v>82</v>
      </c>
      <c r="E759" s="6" t="s">
        <v>66</v>
      </c>
      <c r="F759" s="6" t="s">
        <v>80</v>
      </c>
      <c r="G759" s="6" t="s">
        <v>81</v>
      </c>
      <c r="H759" s="6">
        <v>7027566795</v>
      </c>
      <c r="I759" s="5">
        <v>800</v>
      </c>
      <c r="J759" s="3"/>
      <c r="K759" s="3"/>
      <c r="L759" s="3"/>
      <c r="M759" s="3"/>
      <c r="N759" s="3"/>
      <c r="O759" s="5">
        <v>19200</v>
      </c>
      <c r="P759" s="3"/>
    </row>
    <row r="760" spans="1:16" ht="15.75">
      <c r="A760" s="3">
        <v>5</v>
      </c>
      <c r="B760" s="4">
        <v>46217</v>
      </c>
      <c r="C760" s="3" t="s">
        <v>51</v>
      </c>
      <c r="D760" s="5" t="s">
        <v>85</v>
      </c>
      <c r="E760" s="6" t="s">
        <v>66</v>
      </c>
      <c r="F760" s="5" t="s">
        <v>83</v>
      </c>
      <c r="G760" s="5" t="s">
        <v>84</v>
      </c>
      <c r="H760" s="5">
        <v>9992825464</v>
      </c>
      <c r="I760" s="5">
        <v>800</v>
      </c>
      <c r="J760" s="3"/>
      <c r="K760" s="3"/>
      <c r="L760" s="3"/>
      <c r="M760" s="3"/>
      <c r="N760" s="3"/>
      <c r="O760" s="5">
        <v>19200</v>
      </c>
      <c r="P760" s="3"/>
    </row>
    <row r="761" spans="1:16" ht="15.75">
      <c r="A761" s="3">
        <v>6</v>
      </c>
      <c r="B761" s="4">
        <v>46217</v>
      </c>
      <c r="C761" s="3" t="s">
        <v>51</v>
      </c>
      <c r="D761" s="5" t="s">
        <v>114</v>
      </c>
      <c r="E761" s="10" t="s">
        <v>66</v>
      </c>
      <c r="F761" s="10" t="s">
        <v>120</v>
      </c>
      <c r="G761" s="10" t="s">
        <v>124</v>
      </c>
      <c r="H761" s="10">
        <v>8295596976</v>
      </c>
      <c r="I761" s="10">
        <v>750</v>
      </c>
      <c r="J761" s="3"/>
      <c r="K761" s="3"/>
      <c r="L761" s="3"/>
      <c r="M761" s="3"/>
      <c r="N761" s="3"/>
      <c r="O761" s="5">
        <v>12000</v>
      </c>
      <c r="P761" s="3"/>
    </row>
    <row r="762" spans="1:16" ht="15.75">
      <c r="A762" s="3">
        <v>7</v>
      </c>
      <c r="B762" s="4">
        <v>46217</v>
      </c>
      <c r="C762" s="3" t="s">
        <v>51</v>
      </c>
      <c r="D762" s="5" t="s">
        <v>115</v>
      </c>
      <c r="E762" s="10" t="s">
        <v>66</v>
      </c>
      <c r="F762" s="10" t="s">
        <v>121</v>
      </c>
      <c r="G762" s="10" t="s">
        <v>125</v>
      </c>
      <c r="H762" s="10">
        <v>8816907186</v>
      </c>
      <c r="I762" s="10">
        <v>750</v>
      </c>
      <c r="J762" s="3"/>
      <c r="K762" s="3"/>
      <c r="L762" s="3"/>
      <c r="M762" s="3"/>
      <c r="N762" s="3"/>
      <c r="O762" s="5">
        <v>12000</v>
      </c>
      <c r="P762" s="3"/>
    </row>
    <row r="763" spans="1:16" ht="15.75">
      <c r="A763" s="3">
        <v>8</v>
      </c>
      <c r="B763" s="4">
        <v>46217</v>
      </c>
      <c r="C763" s="3" t="s">
        <v>51</v>
      </c>
      <c r="D763" s="5" t="s">
        <v>147</v>
      </c>
      <c r="E763" s="5" t="s">
        <v>129</v>
      </c>
      <c r="F763" s="5" t="s">
        <v>132</v>
      </c>
      <c r="G763" s="5" t="s">
        <v>140</v>
      </c>
      <c r="H763" s="5">
        <v>8397037924</v>
      </c>
      <c r="I763" s="5">
        <v>800</v>
      </c>
      <c r="J763" s="3"/>
      <c r="K763" s="3"/>
      <c r="L763" s="3"/>
      <c r="M763" s="3"/>
      <c r="N763" s="3"/>
      <c r="O763" s="5">
        <v>20000</v>
      </c>
      <c r="P763" s="3"/>
    </row>
    <row r="764" spans="1:16" ht="15.75">
      <c r="A764" s="3">
        <v>9</v>
      </c>
      <c r="B764" s="4">
        <v>46217</v>
      </c>
      <c r="C764" s="3" t="s">
        <v>51</v>
      </c>
      <c r="D764" s="5" t="s">
        <v>151</v>
      </c>
      <c r="E764" s="5" t="s">
        <v>66</v>
      </c>
      <c r="F764" s="5" t="s">
        <v>136</v>
      </c>
      <c r="G764" s="5" t="s">
        <v>143</v>
      </c>
      <c r="H764" s="5">
        <v>9992969785</v>
      </c>
      <c r="I764" s="5">
        <v>800</v>
      </c>
      <c r="J764" s="3"/>
      <c r="K764" s="3"/>
      <c r="L764" s="3"/>
      <c r="M764" s="3"/>
      <c r="N764" s="3"/>
      <c r="O764" s="5">
        <v>20000</v>
      </c>
      <c r="P764" s="3"/>
    </row>
    <row r="765" spans="1:16" ht="15.75">
      <c r="A765" s="3">
        <v>10</v>
      </c>
      <c r="B765" s="4">
        <v>46217</v>
      </c>
      <c r="C765" s="3" t="s">
        <v>51</v>
      </c>
      <c r="D765" s="5" t="s">
        <v>190</v>
      </c>
      <c r="E765" s="10" t="s">
        <v>195</v>
      </c>
      <c r="F765" s="10" t="s">
        <v>184</v>
      </c>
      <c r="G765" s="10" t="s">
        <v>185</v>
      </c>
      <c r="H765" s="10">
        <v>9728976039</v>
      </c>
      <c r="I765" s="3">
        <v>750</v>
      </c>
      <c r="J765" s="3"/>
      <c r="K765" s="3"/>
      <c r="L765" s="3"/>
      <c r="M765" s="3"/>
      <c r="N765" s="3"/>
      <c r="O765" s="5">
        <v>14250</v>
      </c>
      <c r="P765" s="3"/>
    </row>
    <row r="766" spans="1:16" ht="15.75">
      <c r="A766" s="3">
        <v>11</v>
      </c>
      <c r="B766" s="4">
        <v>46217</v>
      </c>
      <c r="C766" s="3" t="s">
        <v>51</v>
      </c>
      <c r="D766" s="5" t="s">
        <v>191</v>
      </c>
      <c r="E766" s="10" t="s">
        <v>196</v>
      </c>
      <c r="F766" s="10" t="s">
        <v>186</v>
      </c>
      <c r="G766" s="10" t="s">
        <v>187</v>
      </c>
      <c r="H766" s="10">
        <v>9991073613</v>
      </c>
      <c r="I766" s="3">
        <v>750</v>
      </c>
      <c r="J766" s="3"/>
      <c r="K766" s="3"/>
      <c r="L766" s="3"/>
      <c r="M766" s="3"/>
      <c r="N766" s="3"/>
      <c r="O766" s="5">
        <v>14250</v>
      </c>
      <c r="P766" s="3"/>
    </row>
    <row r="767" spans="1:16" ht="15.75">
      <c r="A767" s="3">
        <v>12</v>
      </c>
      <c r="B767" s="4">
        <v>46217</v>
      </c>
      <c r="C767" s="3" t="s">
        <v>51</v>
      </c>
      <c r="D767" s="5" t="s">
        <v>192</v>
      </c>
      <c r="E767" s="10" t="s">
        <v>195</v>
      </c>
      <c r="F767" s="10" t="s">
        <v>188</v>
      </c>
      <c r="G767" s="10" t="s">
        <v>198</v>
      </c>
      <c r="H767" s="10">
        <v>8047377476</v>
      </c>
      <c r="I767" s="5">
        <v>800</v>
      </c>
      <c r="J767" s="3"/>
      <c r="K767" s="3"/>
      <c r="L767" s="3"/>
      <c r="M767" s="3"/>
      <c r="N767" s="3"/>
      <c r="O767" s="5">
        <v>21600</v>
      </c>
      <c r="P767" s="3"/>
    </row>
    <row r="768" spans="1:16" ht="15.75">
      <c r="A768" s="3">
        <v>13</v>
      </c>
      <c r="B768" s="4">
        <v>46217</v>
      </c>
      <c r="C768" s="3" t="s">
        <v>51</v>
      </c>
      <c r="D768" s="5" t="s">
        <v>193</v>
      </c>
      <c r="E768" s="10" t="s">
        <v>195</v>
      </c>
      <c r="F768" s="10" t="s">
        <v>83</v>
      </c>
      <c r="G768" s="10" t="s">
        <v>189</v>
      </c>
      <c r="H768" s="10">
        <v>8396804752</v>
      </c>
      <c r="I768" s="3">
        <v>750</v>
      </c>
      <c r="J768" s="3"/>
      <c r="K768" s="3"/>
      <c r="L768" s="3"/>
      <c r="M768" s="3"/>
      <c r="N768" s="3"/>
      <c r="O768" s="5">
        <v>14250</v>
      </c>
      <c r="P768" s="3"/>
    </row>
    <row r="769" spans="1:16" ht="15.75">
      <c r="A769" s="3">
        <v>14</v>
      </c>
      <c r="B769" s="4">
        <v>46217</v>
      </c>
      <c r="C769" s="3" t="s">
        <v>51</v>
      </c>
      <c r="D769" s="5" t="s">
        <v>207</v>
      </c>
      <c r="E769" s="10" t="s">
        <v>225</v>
      </c>
      <c r="F769" s="10" t="s">
        <v>213</v>
      </c>
      <c r="G769" s="10" t="s">
        <v>214</v>
      </c>
      <c r="H769" s="10">
        <v>9034419162</v>
      </c>
      <c r="I769" s="3">
        <v>750</v>
      </c>
      <c r="J769" s="3"/>
      <c r="K769" s="3"/>
      <c r="L769" s="3"/>
      <c r="M769" s="3"/>
      <c r="N769" s="3"/>
      <c r="O769" s="5">
        <v>14250</v>
      </c>
      <c r="P769" s="3"/>
    </row>
    <row r="770" spans="1:16" ht="15.75">
      <c r="A770" s="3">
        <v>15</v>
      </c>
      <c r="B770" s="4">
        <v>46217</v>
      </c>
      <c r="C770" s="3" t="s">
        <v>51</v>
      </c>
      <c r="D770" s="5" t="s">
        <v>209</v>
      </c>
      <c r="E770" s="10" t="s">
        <v>226</v>
      </c>
      <c r="F770" s="10" t="s">
        <v>217</v>
      </c>
      <c r="G770" s="10" t="s">
        <v>218</v>
      </c>
      <c r="H770" s="10">
        <v>9671740481</v>
      </c>
      <c r="I770" s="3">
        <v>750</v>
      </c>
      <c r="J770" s="3"/>
      <c r="K770" s="3"/>
      <c r="L770" s="3"/>
      <c r="M770" s="3"/>
      <c r="N770" s="3"/>
      <c r="O770" s="5">
        <v>14250</v>
      </c>
      <c r="P770" s="3"/>
    </row>
    <row r="771" spans="1:16" ht="15.75">
      <c r="A771" s="3">
        <v>16</v>
      </c>
      <c r="B771" s="4">
        <v>46217</v>
      </c>
      <c r="C771" s="3" t="s">
        <v>51</v>
      </c>
      <c r="D771" s="5" t="s">
        <v>210</v>
      </c>
      <c r="E771" s="10" t="s">
        <v>227</v>
      </c>
      <c r="F771" s="10" t="s">
        <v>219</v>
      </c>
      <c r="G771" s="10" t="s">
        <v>220</v>
      </c>
      <c r="H771" s="10">
        <v>9311797101</v>
      </c>
      <c r="I771" s="3">
        <v>750</v>
      </c>
      <c r="J771" s="3"/>
      <c r="K771" s="3"/>
      <c r="L771" s="3"/>
      <c r="M771" s="3"/>
      <c r="N771" s="3"/>
      <c r="O771" s="5">
        <v>14250</v>
      </c>
      <c r="P771" s="3"/>
    </row>
    <row r="772" spans="1:16" ht="15.75">
      <c r="A772" s="3">
        <v>17</v>
      </c>
      <c r="B772" s="4">
        <v>46217</v>
      </c>
      <c r="C772" s="3" t="s">
        <v>51</v>
      </c>
      <c r="D772" s="5" t="s">
        <v>211</v>
      </c>
      <c r="E772" s="10" t="s">
        <v>226</v>
      </c>
      <c r="F772" s="10" t="s">
        <v>221</v>
      </c>
      <c r="G772" s="10" t="s">
        <v>222</v>
      </c>
      <c r="H772" s="10">
        <v>7206610781</v>
      </c>
      <c r="I772" s="3">
        <v>750</v>
      </c>
      <c r="J772" s="3"/>
      <c r="K772" s="3"/>
      <c r="L772" s="3"/>
      <c r="M772" s="3"/>
      <c r="N772" s="3"/>
      <c r="O772" s="5">
        <v>14250</v>
      </c>
      <c r="P772" s="3"/>
    </row>
    <row r="773" spans="1:16" ht="15.75">
      <c r="A773" s="3">
        <v>18</v>
      </c>
      <c r="B773" s="4">
        <v>46217</v>
      </c>
      <c r="C773" s="3" t="s">
        <v>51</v>
      </c>
      <c r="D773" s="5" t="s">
        <v>212</v>
      </c>
      <c r="E773" s="10" t="s">
        <v>226</v>
      </c>
      <c r="F773" s="10" t="s">
        <v>223</v>
      </c>
      <c r="G773" s="10" t="s">
        <v>224</v>
      </c>
      <c r="H773" s="10">
        <v>8814045633</v>
      </c>
      <c r="I773" s="3">
        <v>750</v>
      </c>
      <c r="J773" s="3"/>
      <c r="K773" s="3"/>
      <c r="L773" s="3"/>
      <c r="M773" s="3"/>
      <c r="N773" s="3"/>
      <c r="O773" s="5">
        <v>14250</v>
      </c>
      <c r="P773" s="3"/>
    </row>
    <row r="774" spans="1:16" ht="15.75">
      <c r="A774" s="3">
        <v>19</v>
      </c>
      <c r="B774" s="4">
        <v>46217</v>
      </c>
      <c r="C774" s="3" t="s">
        <v>51</v>
      </c>
      <c r="D774" s="5" t="s">
        <v>228</v>
      </c>
      <c r="E774" s="3" t="s">
        <v>229</v>
      </c>
      <c r="F774" s="10" t="s">
        <v>165</v>
      </c>
      <c r="G774" s="10" t="s">
        <v>198</v>
      </c>
      <c r="H774" s="10" t="s">
        <v>230</v>
      </c>
      <c r="I774" s="3">
        <v>750</v>
      </c>
      <c r="J774" s="3"/>
      <c r="K774" s="3"/>
      <c r="L774" s="3"/>
      <c r="M774" s="3"/>
      <c r="N774" s="3"/>
      <c r="O774" s="5">
        <v>14250</v>
      </c>
      <c r="P774" s="3"/>
    </row>
    <row r="775" spans="1:16" ht="15.75">
      <c r="A775" s="3">
        <v>20</v>
      </c>
      <c r="B775" s="4">
        <v>46217</v>
      </c>
      <c r="C775" s="3" t="s">
        <v>51</v>
      </c>
      <c r="D775" s="5" t="s">
        <v>233</v>
      </c>
      <c r="E775" s="10" t="s">
        <v>49</v>
      </c>
      <c r="F775" s="10" t="s">
        <v>231</v>
      </c>
      <c r="G775" s="10" t="s">
        <v>142</v>
      </c>
      <c r="H775" s="10">
        <v>7497855174</v>
      </c>
      <c r="I775" s="3">
        <v>750</v>
      </c>
      <c r="J775" s="3"/>
      <c r="K775" s="3"/>
      <c r="L775" s="3"/>
      <c r="M775" s="3"/>
      <c r="N775" s="3"/>
      <c r="O775" s="5">
        <v>15000</v>
      </c>
      <c r="P775" s="3"/>
    </row>
    <row r="776" spans="1:16" ht="15.75">
      <c r="A776" s="3">
        <v>21</v>
      </c>
      <c r="B776" s="4">
        <v>46217</v>
      </c>
      <c r="C776" s="3" t="s">
        <v>51</v>
      </c>
      <c r="D776" s="5" t="s">
        <v>234</v>
      </c>
      <c r="E776" s="10" t="s">
        <v>196</v>
      </c>
      <c r="F776" s="10" t="s">
        <v>232</v>
      </c>
      <c r="G776" s="10" t="s">
        <v>235</v>
      </c>
      <c r="H776" s="10">
        <v>9817633128</v>
      </c>
      <c r="I776" s="3">
        <v>800</v>
      </c>
      <c r="J776" s="3"/>
      <c r="K776" s="3"/>
      <c r="L776" s="3"/>
      <c r="M776" s="3"/>
      <c r="N776" s="3"/>
      <c r="O776" s="5">
        <v>22400</v>
      </c>
      <c r="P776" s="3"/>
    </row>
    <row r="777" spans="1:16" ht="15.75">
      <c r="A777" s="3">
        <v>22</v>
      </c>
      <c r="B777" s="4">
        <v>46217</v>
      </c>
      <c r="C777" s="3" t="s">
        <v>51</v>
      </c>
      <c r="D777" s="5" t="s">
        <v>236</v>
      </c>
      <c r="E777" s="10" t="s">
        <v>238</v>
      </c>
      <c r="F777" s="10" t="s">
        <v>180</v>
      </c>
      <c r="G777" s="10" t="s">
        <v>240</v>
      </c>
      <c r="H777" s="10">
        <v>9728727855</v>
      </c>
      <c r="I777" s="3">
        <v>750</v>
      </c>
      <c r="J777" s="3"/>
      <c r="K777" s="3"/>
      <c r="L777" s="3"/>
      <c r="M777" s="3"/>
      <c r="N777" s="3"/>
      <c r="O777" s="5">
        <v>15000</v>
      </c>
      <c r="P777" s="3"/>
    </row>
    <row r="778" spans="1:16" ht="15.75">
      <c r="A778" s="3">
        <v>23</v>
      </c>
      <c r="B778" s="4">
        <v>46217</v>
      </c>
      <c r="C778" s="3" t="s">
        <v>51</v>
      </c>
      <c r="D778" s="5" t="s">
        <v>237</v>
      </c>
      <c r="E778" s="10" t="s">
        <v>238</v>
      </c>
      <c r="F778" s="10" t="s">
        <v>239</v>
      </c>
      <c r="G778" s="10" t="s">
        <v>241</v>
      </c>
      <c r="H778" s="10">
        <v>9813575389</v>
      </c>
      <c r="I778" s="3">
        <v>800</v>
      </c>
      <c r="J778" s="3"/>
      <c r="K778" s="3"/>
      <c r="L778" s="3"/>
      <c r="M778" s="3"/>
      <c r="N778" s="3"/>
      <c r="O778" s="5">
        <v>22400</v>
      </c>
      <c r="P778" s="3"/>
    </row>
    <row r="779" spans="1:16" ht="15.75">
      <c r="A779" s="3">
        <v>24</v>
      </c>
      <c r="B779" s="4">
        <v>46217</v>
      </c>
      <c r="C779" s="3" t="s">
        <v>51</v>
      </c>
      <c r="D779" s="5" t="s">
        <v>242</v>
      </c>
      <c r="E779" s="10" t="s">
        <v>226</v>
      </c>
      <c r="F779" s="10" t="s">
        <v>246</v>
      </c>
      <c r="G779" s="10" t="s">
        <v>249</v>
      </c>
      <c r="H779" s="10">
        <v>9997650988</v>
      </c>
      <c r="I779" s="3">
        <v>750</v>
      </c>
      <c r="J779" s="3"/>
      <c r="K779" s="3"/>
      <c r="L779" s="3"/>
      <c r="M779" s="3"/>
      <c r="N779" s="3"/>
      <c r="O779" s="5">
        <v>15000</v>
      </c>
      <c r="P779" s="3"/>
    </row>
    <row r="780" spans="1:16" ht="15.75">
      <c r="A780" s="3">
        <v>25</v>
      </c>
      <c r="B780" s="4">
        <v>46217</v>
      </c>
      <c r="C780" s="3" t="s">
        <v>51</v>
      </c>
      <c r="D780" s="5" t="s">
        <v>243</v>
      </c>
      <c r="E780" s="10" t="s">
        <v>225</v>
      </c>
      <c r="F780" s="10" t="s">
        <v>247</v>
      </c>
      <c r="G780" s="10" t="s">
        <v>250</v>
      </c>
      <c r="H780" s="10">
        <v>8607470754</v>
      </c>
      <c r="I780" s="3">
        <v>800</v>
      </c>
      <c r="J780" s="3"/>
      <c r="K780" s="3"/>
      <c r="L780" s="3"/>
      <c r="M780" s="3"/>
      <c r="N780" s="3"/>
      <c r="O780" s="5">
        <v>22400</v>
      </c>
      <c r="P780" s="3"/>
    </row>
    <row r="781" spans="1:16" ht="15.75">
      <c r="A781" s="3">
        <v>26</v>
      </c>
      <c r="B781" s="4">
        <v>46217</v>
      </c>
      <c r="C781" s="3" t="s">
        <v>51</v>
      </c>
      <c r="D781" s="5" t="s">
        <v>244</v>
      </c>
      <c r="E781" s="10" t="s">
        <v>226</v>
      </c>
      <c r="F781" s="10" t="s">
        <v>248</v>
      </c>
      <c r="G781" s="10" t="s">
        <v>251</v>
      </c>
      <c r="H781" s="10">
        <v>8929903323</v>
      </c>
      <c r="I781" s="3">
        <v>800</v>
      </c>
      <c r="J781" s="3"/>
      <c r="K781" s="3"/>
      <c r="L781" s="3"/>
      <c r="M781" s="3"/>
      <c r="N781" s="3"/>
      <c r="O781" s="5">
        <v>22400</v>
      </c>
      <c r="P781" s="3"/>
    </row>
    <row r="782" spans="1:16" ht="15.75">
      <c r="A782" s="3">
        <v>27</v>
      </c>
      <c r="B782" s="4">
        <v>46217</v>
      </c>
      <c r="C782" s="3" t="s">
        <v>51</v>
      </c>
      <c r="D782" s="5" t="s">
        <v>252</v>
      </c>
      <c r="E782" s="10" t="s">
        <v>226</v>
      </c>
      <c r="F782" s="10" t="s">
        <v>120</v>
      </c>
      <c r="G782" s="10" t="s">
        <v>253</v>
      </c>
      <c r="H782" s="10">
        <v>8930304731</v>
      </c>
      <c r="I782" s="3">
        <v>800</v>
      </c>
      <c r="J782" s="3"/>
      <c r="K782" s="3"/>
      <c r="L782" s="3"/>
      <c r="M782" s="3"/>
      <c r="N782" s="3"/>
      <c r="O782" s="5">
        <v>22400</v>
      </c>
      <c r="P782" s="3"/>
    </row>
    <row r="783" spans="1:16" ht="15.75">
      <c r="A783" s="3">
        <v>28</v>
      </c>
      <c r="B783" s="4">
        <v>46217</v>
      </c>
      <c r="C783" s="3" t="s">
        <v>51</v>
      </c>
      <c r="D783" s="5" t="s">
        <v>256</v>
      </c>
      <c r="E783" s="10" t="s">
        <v>257</v>
      </c>
      <c r="F783" s="10" t="s">
        <v>258</v>
      </c>
      <c r="G783" s="10" t="s">
        <v>259</v>
      </c>
      <c r="H783" s="10">
        <v>7355860393</v>
      </c>
      <c r="I783" s="3">
        <v>750</v>
      </c>
      <c r="J783" s="3"/>
      <c r="K783" s="3"/>
      <c r="L783" s="3"/>
      <c r="M783" s="3"/>
      <c r="N783" s="3"/>
      <c r="O783" s="5">
        <v>15000</v>
      </c>
      <c r="P783" s="3"/>
    </row>
    <row r="784" spans="1:16" ht="15.75">
      <c r="A784" s="3">
        <v>29</v>
      </c>
      <c r="B784" s="4">
        <v>46217</v>
      </c>
      <c r="C784" s="3" t="s">
        <v>51</v>
      </c>
      <c r="D784" s="5" t="s">
        <v>263</v>
      </c>
      <c r="E784" s="10" t="s">
        <v>196</v>
      </c>
      <c r="F784" s="10" t="s">
        <v>260</v>
      </c>
      <c r="G784" s="10" t="s">
        <v>268</v>
      </c>
      <c r="H784" s="10">
        <v>8936838477</v>
      </c>
      <c r="I784" s="3">
        <v>750</v>
      </c>
      <c r="J784" s="3"/>
      <c r="K784" s="3"/>
      <c r="L784" s="3"/>
      <c r="M784" s="3"/>
      <c r="N784" s="3"/>
      <c r="O784" s="5">
        <v>15750</v>
      </c>
      <c r="P784" s="3"/>
    </row>
    <row r="785" spans="1:16" ht="15.75">
      <c r="A785" s="3">
        <v>30</v>
      </c>
      <c r="B785" s="4">
        <v>46217</v>
      </c>
      <c r="C785" s="3" t="s">
        <v>51</v>
      </c>
      <c r="D785" s="5" t="s">
        <v>266</v>
      </c>
      <c r="E785" s="10" t="s">
        <v>196</v>
      </c>
      <c r="F785" s="10" t="s">
        <v>239</v>
      </c>
      <c r="G785" s="10" t="s">
        <v>235</v>
      </c>
      <c r="H785" s="10">
        <v>9728139162</v>
      </c>
      <c r="I785" s="3">
        <v>750</v>
      </c>
      <c r="J785" s="3"/>
      <c r="K785" s="3"/>
      <c r="L785" s="3"/>
      <c r="M785" s="3"/>
      <c r="N785" s="3"/>
      <c r="O785" s="5">
        <v>15750</v>
      </c>
      <c r="P785" s="3"/>
    </row>
    <row r="786" spans="1:16" ht="15.75">
      <c r="A786" s="3">
        <v>31</v>
      </c>
      <c r="B786" s="4">
        <v>46217</v>
      </c>
      <c r="C786" s="3" t="s">
        <v>51</v>
      </c>
      <c r="D786" s="5" t="s">
        <v>288</v>
      </c>
      <c r="E786" s="3" t="s">
        <v>290</v>
      </c>
      <c r="F786" s="3" t="s">
        <v>180</v>
      </c>
      <c r="G786" s="3" t="s">
        <v>295</v>
      </c>
      <c r="H786" s="3">
        <v>9671443722</v>
      </c>
      <c r="I786" s="3">
        <v>800</v>
      </c>
      <c r="J786" s="3"/>
      <c r="K786" s="3"/>
      <c r="L786" s="3"/>
      <c r="M786" s="3"/>
      <c r="N786" s="3"/>
      <c r="O786" s="5">
        <v>24800</v>
      </c>
      <c r="P786" s="3"/>
    </row>
    <row r="787" spans="1:16" ht="15.75">
      <c r="A787" s="3">
        <v>32</v>
      </c>
      <c r="B787" s="4">
        <v>46217</v>
      </c>
      <c r="C787" s="3" t="s">
        <v>51</v>
      </c>
      <c r="D787" s="5" t="s">
        <v>289</v>
      </c>
      <c r="E787" s="3" t="s">
        <v>291</v>
      </c>
      <c r="F787" s="3" t="s">
        <v>292</v>
      </c>
      <c r="G787" s="3" t="s">
        <v>296</v>
      </c>
      <c r="H787" s="3">
        <v>9343799675</v>
      </c>
      <c r="I787" s="3">
        <v>800</v>
      </c>
      <c r="J787" s="3"/>
      <c r="K787" s="3"/>
      <c r="L787" s="3"/>
      <c r="M787" s="3"/>
      <c r="N787" s="3"/>
      <c r="O787" s="5">
        <v>24000</v>
      </c>
      <c r="P787" s="3"/>
    </row>
    <row r="788" spans="1:16" ht="15.75">
      <c r="A788" s="3">
        <v>33</v>
      </c>
      <c r="B788" s="4">
        <v>46217</v>
      </c>
      <c r="C788" s="3" t="s">
        <v>51</v>
      </c>
      <c r="D788" s="5" t="s">
        <v>298</v>
      </c>
      <c r="E788" s="3" t="s">
        <v>300</v>
      </c>
      <c r="F788" s="3" t="s">
        <v>71</v>
      </c>
      <c r="G788" s="3" t="s">
        <v>302</v>
      </c>
      <c r="H788" s="3">
        <v>7056212672</v>
      </c>
      <c r="I788" s="3">
        <v>750</v>
      </c>
      <c r="J788" s="3"/>
      <c r="K788" s="3"/>
      <c r="L788" s="3"/>
      <c r="M788" s="3"/>
      <c r="N788" s="3"/>
      <c r="O788" s="5">
        <v>16500</v>
      </c>
      <c r="P788" s="3"/>
    </row>
    <row r="789" spans="1:16" ht="15.75">
      <c r="A789" s="3">
        <v>34</v>
      </c>
      <c r="B789" s="4">
        <v>46217</v>
      </c>
      <c r="C789" s="3" t="s">
        <v>51</v>
      </c>
      <c r="D789" s="5" t="s">
        <v>306</v>
      </c>
      <c r="E789" s="3" t="s">
        <v>308</v>
      </c>
      <c r="F789" s="3" t="s">
        <v>165</v>
      </c>
      <c r="G789" s="3" t="s">
        <v>310</v>
      </c>
      <c r="H789" s="3">
        <v>9971836202</v>
      </c>
      <c r="I789" s="3">
        <v>800</v>
      </c>
      <c r="J789" s="3"/>
      <c r="K789" s="3"/>
      <c r="L789" s="3"/>
      <c r="M789" s="3"/>
      <c r="N789" s="3"/>
      <c r="O789" s="6">
        <v>24800</v>
      </c>
      <c r="P789" s="3"/>
    </row>
    <row r="790" spans="1:16" ht="15.75">
      <c r="A790" s="3">
        <v>35</v>
      </c>
      <c r="B790" s="4">
        <v>46217</v>
      </c>
      <c r="C790" s="3" t="s">
        <v>51</v>
      </c>
      <c r="D790" s="5" t="s">
        <v>307</v>
      </c>
      <c r="E790" s="3" t="s">
        <v>309</v>
      </c>
      <c r="F790" s="3" t="s">
        <v>305</v>
      </c>
      <c r="G790" s="3" t="s">
        <v>54</v>
      </c>
      <c r="H790" s="3">
        <v>8307951615</v>
      </c>
      <c r="I790" s="3">
        <v>1000</v>
      </c>
      <c r="J790" s="3"/>
      <c r="K790" s="3"/>
      <c r="L790" s="3"/>
      <c r="M790" s="3"/>
      <c r="N790" s="3"/>
      <c r="O790" s="6">
        <v>24000</v>
      </c>
      <c r="P790" s="3"/>
    </row>
    <row r="791" spans="1:16" ht="15.75">
      <c r="A791" s="3">
        <v>36</v>
      </c>
      <c r="B791" s="4">
        <v>46217</v>
      </c>
      <c r="C791" s="3" t="s">
        <v>51</v>
      </c>
      <c r="D791" s="5" t="s">
        <v>313</v>
      </c>
      <c r="E791" s="3" t="s">
        <v>314</v>
      </c>
      <c r="F791" s="3" t="s">
        <v>311</v>
      </c>
      <c r="G791" s="3" t="s">
        <v>316</v>
      </c>
      <c r="H791" s="3">
        <v>8053115922</v>
      </c>
      <c r="I791" s="3">
        <v>1000</v>
      </c>
      <c r="J791" s="3"/>
      <c r="K791" s="3"/>
      <c r="L791" s="3"/>
      <c r="M791" s="3"/>
      <c r="N791" s="3"/>
      <c r="O791" s="6">
        <v>24000</v>
      </c>
      <c r="P791" s="3"/>
    </row>
    <row r="792" spans="1:16" ht="15.75">
      <c r="A792" s="3">
        <v>37</v>
      </c>
      <c r="B792" s="4">
        <v>46217</v>
      </c>
      <c r="C792" s="3" t="s">
        <v>51</v>
      </c>
      <c r="D792" s="5" t="s">
        <v>324</v>
      </c>
      <c r="E792" s="3" t="s">
        <v>130</v>
      </c>
      <c r="F792" s="3" t="s">
        <v>317</v>
      </c>
      <c r="G792" s="3" t="s">
        <v>318</v>
      </c>
      <c r="H792" s="3">
        <v>9034416529</v>
      </c>
      <c r="I792" s="3">
        <v>1000</v>
      </c>
      <c r="J792" s="3"/>
      <c r="K792" s="3"/>
      <c r="L792" s="3"/>
      <c r="M792" s="3"/>
      <c r="N792" s="3"/>
      <c r="O792" s="6">
        <v>24000</v>
      </c>
      <c r="P792" s="3"/>
    </row>
    <row r="793" spans="1:16" ht="15.75">
      <c r="A793" s="3">
        <v>38</v>
      </c>
      <c r="B793" s="4">
        <v>46217</v>
      </c>
      <c r="C793" s="3" t="s">
        <v>51</v>
      </c>
      <c r="D793" s="5" t="s">
        <v>325</v>
      </c>
      <c r="E793" s="3" t="s">
        <v>130</v>
      </c>
      <c r="F793" s="3" t="s">
        <v>319</v>
      </c>
      <c r="G793" s="3" t="s">
        <v>320</v>
      </c>
      <c r="H793" s="3">
        <v>9728411675</v>
      </c>
      <c r="I793" s="3">
        <v>1000</v>
      </c>
      <c r="J793" s="3"/>
      <c r="K793" s="3"/>
      <c r="L793" s="3"/>
      <c r="M793" s="3"/>
      <c r="N793" s="3"/>
      <c r="O793" s="6">
        <v>24000</v>
      </c>
      <c r="P793" s="3"/>
    </row>
    <row r="794" spans="1:16" ht="15.75">
      <c r="A794" s="3">
        <v>39</v>
      </c>
      <c r="B794" s="4">
        <v>46217</v>
      </c>
      <c r="C794" s="3" t="s">
        <v>51</v>
      </c>
      <c r="D794" s="5" t="s">
        <v>326</v>
      </c>
      <c r="E794" s="3" t="s">
        <v>130</v>
      </c>
      <c r="F794" s="3" t="s">
        <v>321</v>
      </c>
      <c r="G794" s="3" t="s">
        <v>322</v>
      </c>
      <c r="H794" s="3">
        <v>9034416529</v>
      </c>
      <c r="I794" s="3">
        <v>1000</v>
      </c>
      <c r="J794" s="3"/>
      <c r="K794" s="3"/>
      <c r="L794" s="3"/>
      <c r="M794" s="3"/>
      <c r="N794" s="3"/>
      <c r="O794" s="6">
        <v>24000</v>
      </c>
      <c r="P794" s="3"/>
    </row>
    <row r="795" spans="1:16" ht="15.75">
      <c r="A795" s="3">
        <v>40</v>
      </c>
      <c r="B795" s="4">
        <v>46217</v>
      </c>
      <c r="C795" s="3" t="s">
        <v>51</v>
      </c>
      <c r="D795" s="5" t="s">
        <v>327</v>
      </c>
      <c r="E795" s="3" t="s">
        <v>300</v>
      </c>
      <c r="F795" s="3" t="s">
        <v>180</v>
      </c>
      <c r="G795" s="3" t="s">
        <v>78</v>
      </c>
      <c r="H795" s="3">
        <v>7027786391</v>
      </c>
      <c r="I795" s="3">
        <v>1000</v>
      </c>
      <c r="J795" s="3"/>
      <c r="K795" s="3"/>
      <c r="L795" s="3"/>
      <c r="M795" s="3"/>
      <c r="N795" s="3"/>
      <c r="O795" s="6">
        <v>24000</v>
      </c>
      <c r="P795" s="3"/>
    </row>
    <row r="796" spans="1:16" ht="15.75">
      <c r="A796" s="3">
        <v>41</v>
      </c>
      <c r="B796" s="4">
        <v>46217</v>
      </c>
      <c r="C796" s="3" t="s">
        <v>51</v>
      </c>
      <c r="D796" s="5" t="s">
        <v>328</v>
      </c>
      <c r="E796" s="3" t="s">
        <v>130</v>
      </c>
      <c r="F796" s="3" t="s">
        <v>323</v>
      </c>
      <c r="G796" s="3" t="s">
        <v>126</v>
      </c>
      <c r="H796" s="3">
        <v>9996695743</v>
      </c>
      <c r="I796" s="3">
        <v>1000</v>
      </c>
      <c r="J796" s="3"/>
      <c r="K796" s="3"/>
      <c r="L796" s="3"/>
      <c r="M796" s="3"/>
      <c r="N796" s="3"/>
      <c r="O796" s="6">
        <v>24000</v>
      </c>
      <c r="P796" s="3"/>
    </row>
    <row r="797" spans="1:16" ht="15.75">
      <c r="A797" s="3">
        <v>42</v>
      </c>
      <c r="B797" s="4">
        <v>46217</v>
      </c>
      <c r="C797" s="3" t="s">
        <v>51</v>
      </c>
      <c r="D797" s="5" t="s">
        <v>345</v>
      </c>
      <c r="E797" s="3" t="s">
        <v>349</v>
      </c>
      <c r="F797" s="3" t="s">
        <v>337</v>
      </c>
      <c r="G797" s="3" t="s">
        <v>338</v>
      </c>
      <c r="H797" s="3">
        <v>9306916119</v>
      </c>
      <c r="I797" s="3">
        <v>810</v>
      </c>
      <c r="J797" s="3"/>
      <c r="K797" s="3"/>
      <c r="L797" s="3"/>
      <c r="M797" s="3"/>
      <c r="N797" s="3"/>
      <c r="O797" s="6">
        <v>19440</v>
      </c>
      <c r="P797" s="3"/>
    </row>
    <row r="798" spans="1:16" ht="15.75">
      <c r="A798" s="3">
        <v>43</v>
      </c>
      <c r="B798" s="4">
        <v>46217</v>
      </c>
      <c r="C798" s="3" t="s">
        <v>51</v>
      </c>
      <c r="D798" s="5" t="s">
        <v>350</v>
      </c>
      <c r="E798" s="3" t="s">
        <v>197</v>
      </c>
      <c r="F798" s="3" t="s">
        <v>358</v>
      </c>
      <c r="G798" s="3" t="s">
        <v>364</v>
      </c>
      <c r="H798" s="3">
        <v>9319598592</v>
      </c>
      <c r="I798" s="3">
        <v>1000</v>
      </c>
      <c r="J798" s="3"/>
      <c r="K798" s="3"/>
      <c r="L798" s="3"/>
      <c r="M798" s="3"/>
      <c r="N798" s="3"/>
      <c r="O798" s="6">
        <v>26000</v>
      </c>
      <c r="P798" s="3"/>
    </row>
    <row r="799" spans="1:16" ht="15.75">
      <c r="A799" s="3">
        <v>44</v>
      </c>
      <c r="B799" s="4">
        <v>46217</v>
      </c>
      <c r="C799" s="3" t="s">
        <v>51</v>
      </c>
      <c r="D799" s="5" t="s">
        <v>351</v>
      </c>
      <c r="E799" s="3" t="s">
        <v>308</v>
      </c>
      <c r="F799" s="3" t="s">
        <v>360</v>
      </c>
      <c r="G799" s="3" t="s">
        <v>365</v>
      </c>
      <c r="H799" s="3">
        <v>9582305438</v>
      </c>
      <c r="I799" s="3">
        <v>810</v>
      </c>
      <c r="J799" s="3"/>
      <c r="K799" s="3"/>
      <c r="L799" s="3"/>
      <c r="M799" s="3"/>
      <c r="N799" s="3"/>
      <c r="O799" s="6">
        <v>19440</v>
      </c>
      <c r="P799" s="3"/>
    </row>
    <row r="800" spans="1:16" ht="15.75">
      <c r="A800" s="3">
        <v>45</v>
      </c>
      <c r="B800" s="4">
        <v>46217</v>
      </c>
      <c r="C800" s="3" t="s">
        <v>51</v>
      </c>
      <c r="D800" s="5" t="s">
        <v>352</v>
      </c>
      <c r="E800" s="3" t="s">
        <v>300</v>
      </c>
      <c r="F800" s="3" t="s">
        <v>359</v>
      </c>
      <c r="G800" s="3" t="s">
        <v>366</v>
      </c>
      <c r="H800" s="3">
        <v>9813880978</v>
      </c>
      <c r="I800" s="3">
        <v>810</v>
      </c>
      <c r="J800" s="3"/>
      <c r="K800" s="3"/>
      <c r="L800" s="3"/>
      <c r="M800" s="3"/>
      <c r="N800" s="3"/>
      <c r="O800" s="6">
        <v>19440</v>
      </c>
      <c r="P800" s="3"/>
    </row>
    <row r="801" spans="1:16" ht="15.75">
      <c r="A801" s="3">
        <v>46</v>
      </c>
      <c r="B801" s="4">
        <v>46217</v>
      </c>
      <c r="C801" s="3" t="s">
        <v>51</v>
      </c>
      <c r="D801" s="5" t="s">
        <v>353</v>
      </c>
      <c r="E801" s="3" t="s">
        <v>308</v>
      </c>
      <c r="F801" s="3" t="s">
        <v>361</v>
      </c>
      <c r="G801" s="3" t="s">
        <v>367</v>
      </c>
      <c r="H801" s="3">
        <v>9319848440</v>
      </c>
      <c r="I801" s="3">
        <v>1000</v>
      </c>
      <c r="J801" s="3"/>
      <c r="K801" s="3"/>
      <c r="L801" s="3"/>
      <c r="M801" s="3"/>
      <c r="N801" s="3"/>
      <c r="O801" s="6">
        <v>26000</v>
      </c>
      <c r="P801" s="3"/>
    </row>
    <row r="802" spans="1:16" ht="15.75">
      <c r="A802" s="3">
        <v>47</v>
      </c>
      <c r="B802" s="4">
        <v>46217</v>
      </c>
      <c r="C802" s="3" t="s">
        <v>51</v>
      </c>
      <c r="D802" s="5" t="s">
        <v>354</v>
      </c>
      <c r="E802" s="3" t="s">
        <v>308</v>
      </c>
      <c r="F802" s="3" t="s">
        <v>203</v>
      </c>
      <c r="G802" s="3" t="s">
        <v>368</v>
      </c>
      <c r="H802" s="3">
        <v>9389488234</v>
      </c>
      <c r="I802" s="3">
        <v>1000</v>
      </c>
      <c r="J802" s="3"/>
      <c r="K802" s="3"/>
      <c r="L802" s="3"/>
      <c r="M802" s="3"/>
      <c r="N802" s="3"/>
      <c r="O802" s="6">
        <v>26000</v>
      </c>
      <c r="P802" s="3"/>
    </row>
    <row r="803" spans="1:16" ht="15.75">
      <c r="A803" s="3">
        <v>48</v>
      </c>
      <c r="B803" s="4">
        <v>46217</v>
      </c>
      <c r="C803" s="3" t="s">
        <v>51</v>
      </c>
      <c r="D803" s="5" t="s">
        <v>355</v>
      </c>
      <c r="E803" s="3" t="s">
        <v>308</v>
      </c>
      <c r="F803" s="3" t="s">
        <v>362</v>
      </c>
      <c r="G803" s="3" t="s">
        <v>369</v>
      </c>
      <c r="H803" s="3">
        <v>9211692359</v>
      </c>
      <c r="I803" s="3">
        <v>1000</v>
      </c>
      <c r="J803" s="3"/>
      <c r="K803" s="3"/>
      <c r="L803" s="3"/>
      <c r="M803" s="3"/>
      <c r="N803" s="3"/>
      <c r="O803" s="6">
        <v>26000</v>
      </c>
      <c r="P803" s="3"/>
    </row>
    <row r="804" spans="1:16" ht="15.75">
      <c r="A804" s="3">
        <v>49</v>
      </c>
      <c r="B804" s="4">
        <v>46217</v>
      </c>
      <c r="C804" s="3" t="s">
        <v>51</v>
      </c>
      <c r="D804" s="5" t="s">
        <v>356</v>
      </c>
      <c r="E804" s="3" t="s">
        <v>357</v>
      </c>
      <c r="F804" s="3" t="s">
        <v>363</v>
      </c>
      <c r="G804" s="3" t="s">
        <v>68</v>
      </c>
      <c r="H804" s="3">
        <v>7027202092</v>
      </c>
      <c r="I804" s="3">
        <v>810</v>
      </c>
      <c r="J804" s="3"/>
      <c r="K804" s="3"/>
      <c r="L804" s="3"/>
      <c r="M804" s="3"/>
      <c r="N804" s="3"/>
      <c r="O804" s="6">
        <v>19440</v>
      </c>
      <c r="P804" s="3"/>
    </row>
    <row r="805" spans="1:16" ht="15.75">
      <c r="A805" s="3">
        <v>50</v>
      </c>
      <c r="B805" s="4">
        <v>46217</v>
      </c>
      <c r="C805" s="3" t="s">
        <v>51</v>
      </c>
      <c r="D805" s="5" t="s">
        <v>370</v>
      </c>
      <c r="E805" s="3" t="s">
        <v>308</v>
      </c>
      <c r="F805" s="3" t="s">
        <v>373</v>
      </c>
      <c r="G805" s="3" t="s">
        <v>375</v>
      </c>
      <c r="H805" s="3">
        <v>8929770356</v>
      </c>
      <c r="I805" s="3">
        <v>1000</v>
      </c>
      <c r="J805" s="3"/>
      <c r="K805" s="3"/>
      <c r="L805" s="3"/>
      <c r="M805" s="3"/>
      <c r="N805" s="3"/>
      <c r="O805" s="6">
        <v>26000</v>
      </c>
      <c r="P805" s="3"/>
    </row>
    <row r="806" spans="1:16" ht="15.75">
      <c r="A806" s="3">
        <v>51</v>
      </c>
      <c r="B806" s="4">
        <v>46217</v>
      </c>
      <c r="C806" s="3" t="s">
        <v>51</v>
      </c>
      <c r="D806" s="5" t="s">
        <v>371</v>
      </c>
      <c r="E806" s="3" t="s">
        <v>372</v>
      </c>
      <c r="F806" s="3" t="s">
        <v>374</v>
      </c>
      <c r="G806" s="3" t="s">
        <v>376</v>
      </c>
      <c r="H806" s="3">
        <v>9996738835</v>
      </c>
      <c r="I806" s="3">
        <v>810</v>
      </c>
      <c r="J806" s="3"/>
      <c r="K806" s="3"/>
      <c r="L806" s="3"/>
      <c r="M806" s="3"/>
      <c r="N806" s="3"/>
      <c r="O806" s="6">
        <v>19440</v>
      </c>
      <c r="P806" s="3"/>
    </row>
    <row r="807" spans="1:16" ht="15.75">
      <c r="A807" s="3">
        <v>52</v>
      </c>
      <c r="B807" s="4">
        <v>46217</v>
      </c>
      <c r="C807" s="3" t="s">
        <v>51</v>
      </c>
      <c r="D807" s="5" t="s">
        <v>377</v>
      </c>
      <c r="E807" s="3" t="s">
        <v>308</v>
      </c>
      <c r="F807" s="3" t="s">
        <v>384</v>
      </c>
      <c r="G807" s="3" t="s">
        <v>390</v>
      </c>
      <c r="H807" s="3">
        <v>9311578306</v>
      </c>
      <c r="I807" s="3">
        <v>1000</v>
      </c>
      <c r="J807" s="3"/>
      <c r="K807" s="3"/>
      <c r="L807" s="3"/>
      <c r="M807" s="3"/>
      <c r="N807" s="3"/>
      <c r="O807" s="6">
        <v>26000</v>
      </c>
      <c r="P807" s="3"/>
    </row>
    <row r="808" spans="1:16" ht="15.75">
      <c r="A808" s="3">
        <v>53</v>
      </c>
      <c r="B808" s="4">
        <v>46217</v>
      </c>
      <c r="C808" s="3" t="s">
        <v>51</v>
      </c>
      <c r="D808" s="5" t="s">
        <v>378</v>
      </c>
      <c r="E808" s="3" t="s">
        <v>308</v>
      </c>
      <c r="F808" s="3" t="s">
        <v>385</v>
      </c>
      <c r="G808" s="3" t="s">
        <v>54</v>
      </c>
      <c r="H808" s="3">
        <v>9818635674</v>
      </c>
      <c r="I808" s="3">
        <v>1000</v>
      </c>
      <c r="J808" s="3"/>
      <c r="K808" s="3"/>
      <c r="L808" s="3"/>
      <c r="M808" s="3"/>
      <c r="N808" s="3"/>
      <c r="O808" s="6">
        <v>26000</v>
      </c>
      <c r="P808" s="3"/>
    </row>
    <row r="809" spans="1:16" ht="15.75">
      <c r="A809" s="3">
        <v>54</v>
      </c>
      <c r="B809" s="4">
        <v>46217</v>
      </c>
      <c r="C809" s="3" t="s">
        <v>51</v>
      </c>
      <c r="D809" s="5" t="s">
        <v>379</v>
      </c>
      <c r="E809" s="3" t="s">
        <v>130</v>
      </c>
      <c r="F809" s="3" t="s">
        <v>132</v>
      </c>
      <c r="G809" s="3" t="s">
        <v>391</v>
      </c>
      <c r="H809" s="3">
        <v>9728976983</v>
      </c>
      <c r="I809" s="3">
        <v>810</v>
      </c>
      <c r="J809" s="3"/>
      <c r="K809" s="3"/>
      <c r="L809" s="3"/>
      <c r="M809" s="3"/>
      <c r="N809" s="3"/>
      <c r="O809" s="6">
        <v>19440</v>
      </c>
      <c r="P809" s="3"/>
    </row>
    <row r="810" spans="1:16" ht="15.75">
      <c r="A810" s="3">
        <v>55</v>
      </c>
      <c r="B810" s="4">
        <v>46217</v>
      </c>
      <c r="C810" s="3" t="s">
        <v>51</v>
      </c>
      <c r="D810" s="5" t="s">
        <v>380</v>
      </c>
      <c r="E810" s="3" t="s">
        <v>130</v>
      </c>
      <c r="F810" s="3" t="s">
        <v>386</v>
      </c>
      <c r="G810" s="3" t="s">
        <v>389</v>
      </c>
      <c r="H810" s="3">
        <v>9671616193</v>
      </c>
      <c r="I810" s="3">
        <v>810</v>
      </c>
      <c r="J810" s="3"/>
      <c r="K810" s="3"/>
      <c r="L810" s="3"/>
      <c r="M810" s="3"/>
      <c r="N810" s="3"/>
      <c r="O810" s="6">
        <v>19440</v>
      </c>
      <c r="P810" s="3"/>
    </row>
    <row r="811" spans="1: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3"/>
      <c r="D813" s="3"/>
      <c r="E813" s="3"/>
      <c r="F813" s="3"/>
      <c r="G813" s="3"/>
      <c r="H813" s="3"/>
      <c r="I813" s="3">
        <f>SUM(I756:I812)</f>
        <v>45870</v>
      </c>
      <c r="J813" s="3"/>
      <c r="K813" s="3"/>
      <c r="L813" s="3"/>
      <c r="M813" s="3"/>
      <c r="N813" s="3"/>
      <c r="O813" s="3">
        <f>SUM(O756:O812)</f>
        <v>1075130</v>
      </c>
      <c r="P813" s="3"/>
    </row>
    <row r="817" spans="1:16" ht="27.75">
      <c r="A817" s="142" t="s">
        <v>102</v>
      </c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</row>
    <row r="818" spans="1:16" ht="75">
      <c r="A818" s="1" t="s">
        <v>87</v>
      </c>
      <c r="B818" s="1" t="s">
        <v>103</v>
      </c>
      <c r="C818" s="1" t="s">
        <v>88</v>
      </c>
      <c r="D818" s="1" t="s">
        <v>104</v>
      </c>
      <c r="E818" s="1" t="s">
        <v>105</v>
      </c>
      <c r="F818" s="1" t="s">
        <v>106</v>
      </c>
      <c r="G818" s="1" t="s">
        <v>93</v>
      </c>
      <c r="H818" s="1" t="s">
        <v>107</v>
      </c>
      <c r="I818" s="1" t="s">
        <v>108</v>
      </c>
      <c r="J818" s="1" t="s">
        <v>109</v>
      </c>
      <c r="K818" s="1" t="s">
        <v>110</v>
      </c>
      <c r="L818" s="1" t="s">
        <v>21</v>
      </c>
      <c r="M818" s="1" t="s">
        <v>45</v>
      </c>
      <c r="N818" s="1" t="s">
        <v>111</v>
      </c>
      <c r="O818" s="2" t="s">
        <v>112</v>
      </c>
      <c r="P818" s="1" t="s">
        <v>113</v>
      </c>
    </row>
    <row r="819" spans="1:16" ht="15.75">
      <c r="A819" s="3">
        <v>1</v>
      </c>
      <c r="B819" s="4">
        <v>46218</v>
      </c>
      <c r="C819" s="5" t="s">
        <v>51</v>
      </c>
      <c r="D819" s="5" t="s">
        <v>56</v>
      </c>
      <c r="E819" s="5" t="s">
        <v>49</v>
      </c>
      <c r="F819" s="5" t="s">
        <v>53</v>
      </c>
      <c r="G819" s="5" t="s">
        <v>54</v>
      </c>
      <c r="H819" s="5">
        <v>9416205447</v>
      </c>
      <c r="I819" s="5">
        <v>750</v>
      </c>
      <c r="J819" s="3"/>
      <c r="K819" s="3"/>
      <c r="L819" s="3"/>
      <c r="M819" s="3"/>
      <c r="N819" s="3"/>
      <c r="O819" s="5">
        <v>11250</v>
      </c>
      <c r="P819" s="3"/>
    </row>
    <row r="820" spans="1:16" ht="15.75">
      <c r="A820" s="3">
        <v>2</v>
      </c>
      <c r="B820" s="4">
        <v>46218</v>
      </c>
      <c r="C820" s="5" t="s">
        <v>51</v>
      </c>
      <c r="D820" s="5" t="s">
        <v>61</v>
      </c>
      <c r="E820" s="5" t="s">
        <v>58</v>
      </c>
      <c r="F820" s="5" t="s">
        <v>59</v>
      </c>
      <c r="G820" s="5" t="s">
        <v>60</v>
      </c>
      <c r="H820" s="5">
        <v>7082390753</v>
      </c>
      <c r="I820" s="5">
        <v>750</v>
      </c>
      <c r="J820" s="3"/>
      <c r="K820" s="3"/>
      <c r="L820" s="3"/>
      <c r="M820" s="3"/>
      <c r="N820" s="3"/>
      <c r="O820" s="5">
        <v>11250</v>
      </c>
      <c r="P820" s="3"/>
    </row>
    <row r="821" spans="1:16" ht="15.75">
      <c r="A821" s="3">
        <v>3</v>
      </c>
      <c r="B821" s="4">
        <v>46218</v>
      </c>
      <c r="C821" s="5" t="s">
        <v>51</v>
      </c>
      <c r="D821" s="5" t="s">
        <v>65</v>
      </c>
      <c r="E821" s="5" t="s">
        <v>62</v>
      </c>
      <c r="F821" s="5" t="s">
        <v>63</v>
      </c>
      <c r="G821" s="5" t="s">
        <v>64</v>
      </c>
      <c r="H821" s="5">
        <v>9050560127</v>
      </c>
      <c r="I821" s="5">
        <v>750</v>
      </c>
      <c r="J821" s="3"/>
      <c r="K821" s="3"/>
      <c r="L821" s="3"/>
      <c r="M821" s="3"/>
      <c r="N821" s="3"/>
      <c r="O821" s="5">
        <v>11250</v>
      </c>
      <c r="P821" s="3"/>
    </row>
    <row r="822" spans="1:16" ht="15.75">
      <c r="A822" s="3">
        <v>4</v>
      </c>
      <c r="B822" s="4">
        <v>46218</v>
      </c>
      <c r="C822" s="5" t="s">
        <v>51</v>
      </c>
      <c r="D822" s="5" t="s">
        <v>76</v>
      </c>
      <c r="E822" s="5" t="s">
        <v>62</v>
      </c>
      <c r="F822" s="6" t="s">
        <v>74</v>
      </c>
      <c r="G822" s="6" t="s">
        <v>75</v>
      </c>
      <c r="H822" s="6">
        <v>8607782625</v>
      </c>
      <c r="I822" s="5">
        <v>750</v>
      </c>
      <c r="J822" s="3"/>
      <c r="K822" s="3"/>
      <c r="L822" s="3"/>
      <c r="M822" s="3"/>
      <c r="N822" s="3"/>
      <c r="O822" s="5">
        <v>11250</v>
      </c>
      <c r="P822" s="3"/>
    </row>
    <row r="823" spans="1:16" ht="15.75">
      <c r="A823" s="3">
        <v>5</v>
      </c>
      <c r="B823" s="4">
        <v>46218</v>
      </c>
      <c r="C823" s="5" t="s">
        <v>51</v>
      </c>
      <c r="D823" s="5" t="s">
        <v>116</v>
      </c>
      <c r="E823" s="10" t="s">
        <v>118</v>
      </c>
      <c r="F823" s="10" t="s">
        <v>122</v>
      </c>
      <c r="G823" s="10" t="s">
        <v>126</v>
      </c>
      <c r="H823" s="10">
        <v>9971164371</v>
      </c>
      <c r="I823" s="10">
        <v>750</v>
      </c>
      <c r="J823" s="3"/>
      <c r="K823" s="3"/>
      <c r="L823" s="3"/>
      <c r="M823" s="3"/>
      <c r="N823" s="3"/>
      <c r="O823" s="5">
        <v>12000</v>
      </c>
      <c r="P823" s="3"/>
    </row>
    <row r="824" spans="1:16" ht="15.75">
      <c r="A824" s="3">
        <v>6</v>
      </c>
      <c r="B824" s="4">
        <v>46218</v>
      </c>
      <c r="C824" s="5" t="s">
        <v>51</v>
      </c>
      <c r="D824" s="5" t="s">
        <v>117</v>
      </c>
      <c r="E824" s="10" t="s">
        <v>119</v>
      </c>
      <c r="F824" s="10" t="s">
        <v>123</v>
      </c>
      <c r="G824" s="10" t="s">
        <v>127</v>
      </c>
      <c r="H824" s="10">
        <v>8816966347</v>
      </c>
      <c r="I824" s="10">
        <v>750</v>
      </c>
      <c r="J824" s="3"/>
      <c r="K824" s="3"/>
      <c r="L824" s="3"/>
      <c r="M824" s="3"/>
      <c r="N824" s="3"/>
      <c r="O824" s="5">
        <v>12000</v>
      </c>
      <c r="P824" s="3"/>
    </row>
    <row r="825" spans="1:16" ht="15.75">
      <c r="A825" s="3">
        <v>7</v>
      </c>
      <c r="B825" s="4">
        <v>46218</v>
      </c>
      <c r="C825" s="5" t="s">
        <v>51</v>
      </c>
      <c r="D825" s="5" t="s">
        <v>146</v>
      </c>
      <c r="E825" s="5" t="s">
        <v>128</v>
      </c>
      <c r="F825" s="5" t="s">
        <v>131</v>
      </c>
      <c r="G825" s="5" t="s">
        <v>139</v>
      </c>
      <c r="H825" s="5">
        <v>8295428639</v>
      </c>
      <c r="I825" s="5">
        <v>800</v>
      </c>
      <c r="J825" s="3"/>
      <c r="K825" s="3"/>
      <c r="L825" s="3"/>
      <c r="M825" s="3"/>
      <c r="N825" s="3"/>
      <c r="O825" s="5">
        <v>20000</v>
      </c>
      <c r="P825" s="3"/>
    </row>
    <row r="826" spans="1:16" ht="15.75">
      <c r="A826" s="3">
        <v>8</v>
      </c>
      <c r="B826" s="4">
        <v>46218</v>
      </c>
      <c r="C826" s="5" t="s">
        <v>51</v>
      </c>
      <c r="D826" s="5" t="s">
        <v>148</v>
      </c>
      <c r="E826" s="5" t="s">
        <v>130</v>
      </c>
      <c r="F826" s="5" t="s">
        <v>133</v>
      </c>
      <c r="G826" s="5" t="s">
        <v>68</v>
      </c>
      <c r="H826" s="5">
        <v>9050180519</v>
      </c>
      <c r="I826" s="6">
        <v>750</v>
      </c>
      <c r="J826" s="3"/>
      <c r="K826" s="3"/>
      <c r="L826" s="3"/>
      <c r="M826" s="3"/>
      <c r="N826" s="3"/>
      <c r="O826" s="5">
        <v>12750</v>
      </c>
      <c r="P826" s="3"/>
    </row>
    <row r="827" spans="1:16" ht="15.75">
      <c r="A827" s="3">
        <v>9</v>
      </c>
      <c r="B827" s="4">
        <v>46218</v>
      </c>
      <c r="C827" s="5" t="s">
        <v>51</v>
      </c>
      <c r="D827" s="5" t="s">
        <v>149</v>
      </c>
      <c r="E827" s="5" t="s">
        <v>119</v>
      </c>
      <c r="F827" s="5" t="s">
        <v>134</v>
      </c>
      <c r="G827" s="5" t="s">
        <v>141</v>
      </c>
      <c r="H827" s="5">
        <v>9671597235</v>
      </c>
      <c r="I827" s="5">
        <v>800</v>
      </c>
      <c r="J827" s="3"/>
      <c r="K827" s="3"/>
      <c r="L827" s="3"/>
      <c r="M827" s="3"/>
      <c r="N827" s="3"/>
      <c r="O827" s="5">
        <v>20000</v>
      </c>
      <c r="P827" s="3"/>
    </row>
    <row r="828" spans="1:16" ht="15.75">
      <c r="A828" s="3">
        <v>10</v>
      </c>
      <c r="B828" s="4">
        <v>46218</v>
      </c>
      <c r="C828" s="5" t="s">
        <v>51</v>
      </c>
      <c r="D828" s="5" t="s">
        <v>150</v>
      </c>
      <c r="E828" s="5" t="s">
        <v>119</v>
      </c>
      <c r="F828" s="5" t="s">
        <v>135</v>
      </c>
      <c r="G828" s="5" t="s">
        <v>142</v>
      </c>
      <c r="H828" s="5">
        <v>9729501850</v>
      </c>
      <c r="I828" s="5">
        <v>800</v>
      </c>
      <c r="J828" s="3"/>
      <c r="K828" s="3"/>
      <c r="L828" s="3"/>
      <c r="M828" s="3"/>
      <c r="N828" s="3"/>
      <c r="O828" s="5">
        <v>20000</v>
      </c>
      <c r="P828" s="3"/>
    </row>
    <row r="829" spans="1:16" ht="15.75">
      <c r="A829" s="3">
        <v>11</v>
      </c>
      <c r="B829" s="4">
        <v>46218</v>
      </c>
      <c r="C829" s="5" t="s">
        <v>51</v>
      </c>
      <c r="D829" s="5" t="s">
        <v>152</v>
      </c>
      <c r="E829" s="5" t="s">
        <v>119</v>
      </c>
      <c r="F829" s="5" t="s">
        <v>137</v>
      </c>
      <c r="G829" s="5" t="s">
        <v>144</v>
      </c>
      <c r="H829" s="5">
        <v>9991638771</v>
      </c>
      <c r="I829" s="5">
        <v>800</v>
      </c>
      <c r="J829" s="3"/>
      <c r="K829" s="3"/>
      <c r="L829" s="3"/>
      <c r="M829" s="3"/>
      <c r="N829" s="3"/>
      <c r="O829" s="5">
        <v>20000</v>
      </c>
      <c r="P829" s="3"/>
    </row>
    <row r="830" spans="1:16" ht="15.75">
      <c r="A830" s="3">
        <v>12</v>
      </c>
      <c r="B830" s="4">
        <v>46218</v>
      </c>
      <c r="C830" s="5" t="s">
        <v>51</v>
      </c>
      <c r="D830" s="5" t="s">
        <v>158</v>
      </c>
      <c r="E830" s="10" t="s">
        <v>119</v>
      </c>
      <c r="F830" s="10" t="s">
        <v>71</v>
      </c>
      <c r="G830" s="10" t="s">
        <v>167</v>
      </c>
      <c r="H830" s="10">
        <v>9992401965</v>
      </c>
      <c r="I830" s="5">
        <v>800</v>
      </c>
      <c r="J830" s="3"/>
      <c r="K830" s="3"/>
      <c r="L830" s="3"/>
      <c r="M830" s="3"/>
      <c r="N830" s="3"/>
      <c r="O830" s="5">
        <v>20000</v>
      </c>
      <c r="P830" s="3"/>
    </row>
    <row r="831" spans="1:16" ht="15.75">
      <c r="A831" s="3">
        <v>13</v>
      </c>
      <c r="B831" s="4">
        <v>46218</v>
      </c>
      <c r="C831" s="5" t="s">
        <v>51</v>
      </c>
      <c r="D831" s="5" t="s">
        <v>159</v>
      </c>
      <c r="E831" s="10" t="s">
        <v>171</v>
      </c>
      <c r="F831" s="10" t="s">
        <v>163</v>
      </c>
      <c r="G831" s="10" t="s">
        <v>168</v>
      </c>
      <c r="H831" s="10">
        <v>7404474940</v>
      </c>
      <c r="I831" s="6">
        <v>750</v>
      </c>
      <c r="J831" s="3"/>
      <c r="K831" s="3"/>
      <c r="L831" s="3"/>
      <c r="M831" s="3"/>
      <c r="N831" s="3"/>
      <c r="O831" s="5">
        <v>12750</v>
      </c>
      <c r="P831" s="3"/>
    </row>
    <row r="832" spans="1:16" ht="15.75">
      <c r="A832" s="3">
        <v>14</v>
      </c>
      <c r="B832" s="4">
        <v>46218</v>
      </c>
      <c r="C832" s="5" t="s">
        <v>51</v>
      </c>
      <c r="D832" s="5" t="s">
        <v>160</v>
      </c>
      <c r="E832" s="10" t="s">
        <v>172</v>
      </c>
      <c r="F832" s="10" t="s">
        <v>164</v>
      </c>
      <c r="G832" s="10" t="s">
        <v>169</v>
      </c>
      <c r="H832" s="10">
        <v>9540614028</v>
      </c>
      <c r="I832" s="5">
        <v>800</v>
      </c>
      <c r="J832" s="3"/>
      <c r="K832" s="3"/>
      <c r="L832" s="3"/>
      <c r="M832" s="3"/>
      <c r="N832" s="3"/>
      <c r="O832" s="5">
        <v>20000</v>
      </c>
      <c r="P832" s="3"/>
    </row>
    <row r="833" spans="1:16" ht="15.75">
      <c r="A833" s="3">
        <v>15</v>
      </c>
      <c r="B833" s="4">
        <v>46218</v>
      </c>
      <c r="C833" s="5" t="s">
        <v>51</v>
      </c>
      <c r="D833" s="5" t="s">
        <v>161</v>
      </c>
      <c r="E833" s="10" t="s">
        <v>119</v>
      </c>
      <c r="F833" s="10" t="s">
        <v>165</v>
      </c>
      <c r="G833" s="10" t="s">
        <v>140</v>
      </c>
      <c r="H833" s="10">
        <v>8395910861</v>
      </c>
      <c r="I833" s="6">
        <v>750</v>
      </c>
      <c r="J833" s="3"/>
      <c r="K833" s="3"/>
      <c r="L833" s="3"/>
      <c r="M833" s="3"/>
      <c r="N833" s="3"/>
      <c r="O833" s="5">
        <v>12750</v>
      </c>
      <c r="P833" s="3"/>
    </row>
    <row r="834" spans="1:16" ht="15.75">
      <c r="A834" s="3">
        <v>16</v>
      </c>
      <c r="B834" s="4">
        <v>46218</v>
      </c>
      <c r="C834" s="5" t="s">
        <v>51</v>
      </c>
      <c r="D834" s="5" t="s">
        <v>162</v>
      </c>
      <c r="E834" s="10" t="s">
        <v>119</v>
      </c>
      <c r="F834" s="10" t="s">
        <v>166</v>
      </c>
      <c r="G834" s="10" t="s">
        <v>170</v>
      </c>
      <c r="H834" s="10">
        <v>9671227093</v>
      </c>
      <c r="I834" s="5">
        <v>800</v>
      </c>
      <c r="J834" s="3"/>
      <c r="K834" s="3"/>
      <c r="L834" s="3"/>
      <c r="M834" s="3"/>
      <c r="N834" s="3"/>
      <c r="O834" s="5">
        <v>20000</v>
      </c>
      <c r="P834" s="3"/>
    </row>
    <row r="835" spans="1:16" ht="15.75">
      <c r="A835" s="3">
        <v>17</v>
      </c>
      <c r="B835" s="4">
        <v>46218</v>
      </c>
      <c r="C835" s="5" t="s">
        <v>51</v>
      </c>
      <c r="D835" s="5" t="s">
        <v>174</v>
      </c>
      <c r="E835" s="5" t="s">
        <v>177</v>
      </c>
      <c r="F835" s="10" t="s">
        <v>179</v>
      </c>
      <c r="G835" s="10" t="s">
        <v>181</v>
      </c>
      <c r="H835" s="10">
        <v>9991575314</v>
      </c>
      <c r="I835" s="3">
        <v>800</v>
      </c>
      <c r="J835" s="3"/>
      <c r="K835" s="3"/>
      <c r="L835" s="3"/>
      <c r="M835" s="3"/>
      <c r="N835" s="3"/>
      <c r="O835" s="5">
        <v>20800</v>
      </c>
      <c r="P835" s="3"/>
    </row>
    <row r="836" spans="1:16" ht="15.75">
      <c r="A836" s="3">
        <v>18</v>
      </c>
      <c r="B836" s="4">
        <v>46218</v>
      </c>
      <c r="C836" s="5" t="s">
        <v>51</v>
      </c>
      <c r="D836" s="5" t="s">
        <v>175</v>
      </c>
      <c r="E836" s="10" t="s">
        <v>171</v>
      </c>
      <c r="F836" s="10" t="s">
        <v>180</v>
      </c>
      <c r="G836" s="10" t="s">
        <v>182</v>
      </c>
      <c r="H836" s="10">
        <v>8814086202</v>
      </c>
      <c r="I836" s="3">
        <v>750</v>
      </c>
      <c r="J836" s="3"/>
      <c r="K836" s="3"/>
      <c r="L836" s="3"/>
      <c r="M836" s="3"/>
      <c r="N836" s="3"/>
      <c r="O836" s="5">
        <v>12750</v>
      </c>
      <c r="P836" s="3"/>
    </row>
    <row r="837" spans="1:16" ht="15.75">
      <c r="A837" s="3">
        <v>19</v>
      </c>
      <c r="B837" s="4">
        <v>46218</v>
      </c>
      <c r="C837" s="5" t="s">
        <v>51</v>
      </c>
      <c r="D837" s="5" t="s">
        <v>176</v>
      </c>
      <c r="E837" s="10" t="s">
        <v>178</v>
      </c>
      <c r="F837" s="10" t="s">
        <v>165</v>
      </c>
      <c r="G837" s="10" t="s">
        <v>183</v>
      </c>
      <c r="H837" s="10">
        <v>9991361344</v>
      </c>
      <c r="I837" s="3">
        <v>750</v>
      </c>
      <c r="J837" s="3"/>
      <c r="K837" s="3"/>
      <c r="L837" s="3"/>
      <c r="M837" s="3"/>
      <c r="N837" s="3"/>
      <c r="O837" s="5">
        <v>13500</v>
      </c>
      <c r="P837" s="3"/>
    </row>
    <row r="838" spans="1:16" ht="15.75">
      <c r="A838" s="3">
        <v>20</v>
      </c>
      <c r="B838" s="4">
        <v>46218</v>
      </c>
      <c r="C838" s="5" t="s">
        <v>51</v>
      </c>
      <c r="D838" s="5" t="s">
        <v>194</v>
      </c>
      <c r="E838" s="10" t="s">
        <v>197</v>
      </c>
      <c r="F838" s="10" t="s">
        <v>71</v>
      </c>
      <c r="G838" s="10" t="s">
        <v>125</v>
      </c>
      <c r="H838" s="10">
        <v>9053156064</v>
      </c>
      <c r="I838" s="3">
        <v>750</v>
      </c>
      <c r="J838" s="3"/>
      <c r="K838" s="3"/>
      <c r="L838" s="3"/>
      <c r="M838" s="3"/>
      <c r="N838" s="3"/>
      <c r="O838" s="5">
        <v>14250</v>
      </c>
      <c r="P838" s="3"/>
    </row>
    <row r="839" spans="1:16" ht="15.75">
      <c r="A839" s="3">
        <v>21</v>
      </c>
      <c r="B839" s="4">
        <v>46218</v>
      </c>
      <c r="C839" s="5" t="s">
        <v>51</v>
      </c>
      <c r="D839" s="5" t="s">
        <v>199</v>
      </c>
      <c r="E839" s="10" t="s">
        <v>197</v>
      </c>
      <c r="F839" s="10" t="s">
        <v>53</v>
      </c>
      <c r="G839" s="10" t="s">
        <v>204</v>
      </c>
      <c r="H839" s="10">
        <v>9813304531</v>
      </c>
      <c r="I839" s="3">
        <v>750</v>
      </c>
      <c r="J839" s="3"/>
      <c r="K839" s="3"/>
      <c r="L839" s="3"/>
      <c r="M839" s="3"/>
      <c r="N839" s="3"/>
      <c r="O839" s="5">
        <v>14250</v>
      </c>
      <c r="P839" s="3"/>
    </row>
    <row r="840" spans="1:16" ht="15.75">
      <c r="A840" s="3">
        <v>22</v>
      </c>
      <c r="B840" s="4">
        <v>46218</v>
      </c>
      <c r="C840" s="5" t="s">
        <v>51</v>
      </c>
      <c r="D840" s="5" t="s">
        <v>200</v>
      </c>
      <c r="E840" s="10" t="s">
        <v>197</v>
      </c>
      <c r="F840" s="10" t="s">
        <v>121</v>
      </c>
      <c r="G840" s="10" t="s">
        <v>140</v>
      </c>
      <c r="H840" s="10">
        <v>8930321437</v>
      </c>
      <c r="I840" s="3">
        <v>800</v>
      </c>
      <c r="J840" s="3"/>
      <c r="K840" s="3"/>
      <c r="L840" s="3"/>
      <c r="M840" s="3"/>
      <c r="N840" s="3"/>
      <c r="O840" s="5">
        <v>21600</v>
      </c>
      <c r="P840" s="3"/>
    </row>
    <row r="841" spans="1:16" ht="15.75">
      <c r="A841" s="3">
        <v>23</v>
      </c>
      <c r="B841" s="4">
        <v>46218</v>
      </c>
      <c r="C841" s="5" t="s">
        <v>51</v>
      </c>
      <c r="D841" s="5" t="s">
        <v>201</v>
      </c>
      <c r="E841" s="10" t="s">
        <v>206</v>
      </c>
      <c r="F841" s="10" t="s">
        <v>165</v>
      </c>
      <c r="G841" s="10" t="s">
        <v>205</v>
      </c>
      <c r="H841" s="10">
        <v>8295267191</v>
      </c>
      <c r="I841" s="3">
        <v>800</v>
      </c>
      <c r="J841" s="3"/>
      <c r="K841" s="3"/>
      <c r="L841" s="3"/>
      <c r="M841" s="3"/>
      <c r="N841" s="3"/>
      <c r="O841" s="5">
        <v>21600</v>
      </c>
      <c r="P841" s="3"/>
    </row>
    <row r="842" spans="1:16" ht="15.75">
      <c r="A842" s="3">
        <v>24</v>
      </c>
      <c r="B842" s="4">
        <v>46218</v>
      </c>
      <c r="C842" s="5" t="s">
        <v>51</v>
      </c>
      <c r="D842" s="5" t="s">
        <v>202</v>
      </c>
      <c r="E842" s="10" t="s">
        <v>118</v>
      </c>
      <c r="F842" s="10" t="s">
        <v>203</v>
      </c>
      <c r="G842" s="10" t="s">
        <v>185</v>
      </c>
      <c r="H842" s="10">
        <v>7988050867</v>
      </c>
      <c r="I842" s="3">
        <v>750</v>
      </c>
      <c r="J842" s="3"/>
      <c r="K842" s="3"/>
      <c r="L842" s="3"/>
      <c r="M842" s="3"/>
      <c r="N842" s="3"/>
      <c r="O842" s="5">
        <v>14250</v>
      </c>
      <c r="P842" s="3"/>
    </row>
    <row r="843" spans="1:16" ht="15.75">
      <c r="A843" s="3">
        <v>25</v>
      </c>
      <c r="B843" s="4">
        <v>46218</v>
      </c>
      <c r="C843" s="5" t="s">
        <v>51</v>
      </c>
      <c r="D843" s="5" t="s">
        <v>208</v>
      </c>
      <c r="E843" s="10" t="s">
        <v>49</v>
      </c>
      <c r="F843" s="10" t="s">
        <v>215</v>
      </c>
      <c r="G843" s="10" t="s">
        <v>216</v>
      </c>
      <c r="H843" s="10">
        <v>9812012403</v>
      </c>
      <c r="I843" s="3">
        <v>800</v>
      </c>
      <c r="J843" s="3"/>
      <c r="K843" s="3"/>
      <c r="L843" s="3"/>
      <c r="M843" s="3"/>
      <c r="N843" s="3"/>
      <c r="O843" s="5">
        <v>21600</v>
      </c>
      <c r="P843" s="3"/>
    </row>
    <row r="844" spans="1:16" ht="15.75">
      <c r="A844" s="3">
        <v>26</v>
      </c>
      <c r="B844" s="4">
        <v>46218</v>
      </c>
      <c r="C844" s="5" t="s">
        <v>51</v>
      </c>
      <c r="D844" s="5" t="s">
        <v>262</v>
      </c>
      <c r="E844" s="10" t="s">
        <v>197</v>
      </c>
      <c r="F844" s="10" t="s">
        <v>247</v>
      </c>
      <c r="G844" s="10" t="s">
        <v>267</v>
      </c>
      <c r="H844" s="10">
        <v>7027082504</v>
      </c>
      <c r="I844" s="3">
        <v>800</v>
      </c>
      <c r="J844" s="3"/>
      <c r="K844" s="3"/>
      <c r="L844" s="3"/>
      <c r="M844" s="3"/>
      <c r="N844" s="3"/>
      <c r="O844" s="5">
        <v>23200</v>
      </c>
      <c r="P844" s="3"/>
    </row>
    <row r="845" spans="1:16" ht="15.75">
      <c r="A845" s="3">
        <v>27</v>
      </c>
      <c r="B845" s="4">
        <v>46218</v>
      </c>
      <c r="C845" s="5" t="s">
        <v>51</v>
      </c>
      <c r="D845" s="5" t="s">
        <v>264</v>
      </c>
      <c r="E845" s="10" t="s">
        <v>49</v>
      </c>
      <c r="F845" s="10" t="s">
        <v>254</v>
      </c>
      <c r="G845" s="10" t="s">
        <v>269</v>
      </c>
      <c r="H845" s="10">
        <v>9729160317</v>
      </c>
      <c r="I845" s="3">
        <v>750</v>
      </c>
      <c r="J845" s="3"/>
      <c r="K845" s="3"/>
      <c r="L845" s="3"/>
      <c r="M845" s="3"/>
      <c r="N845" s="3"/>
      <c r="O845" s="5">
        <v>15000</v>
      </c>
      <c r="P845" s="3"/>
    </row>
    <row r="846" spans="1:16" ht="15.75">
      <c r="A846" s="3">
        <v>28</v>
      </c>
      <c r="B846" s="4">
        <v>46218</v>
      </c>
      <c r="C846" s="5" t="s">
        <v>51</v>
      </c>
      <c r="D846" s="5" t="s">
        <v>265</v>
      </c>
      <c r="E846" s="10" t="s">
        <v>49</v>
      </c>
      <c r="F846" s="10" t="s">
        <v>261</v>
      </c>
      <c r="G846" s="10" t="s">
        <v>270</v>
      </c>
      <c r="H846" s="10">
        <v>9991081679</v>
      </c>
      <c r="I846" s="3">
        <v>800</v>
      </c>
      <c r="J846" s="3"/>
      <c r="K846" s="3"/>
      <c r="L846" s="3"/>
      <c r="M846" s="3"/>
      <c r="N846" s="3"/>
      <c r="O846" s="5">
        <v>23200</v>
      </c>
      <c r="P846" s="3"/>
    </row>
    <row r="847" spans="1:16" ht="15.75">
      <c r="A847" s="3">
        <v>29</v>
      </c>
      <c r="B847" s="4">
        <v>46218</v>
      </c>
      <c r="C847" s="5" t="s">
        <v>51</v>
      </c>
      <c r="D847" s="5" t="s">
        <v>275</v>
      </c>
      <c r="E847" s="10" t="s">
        <v>278</v>
      </c>
      <c r="F847" s="10" t="s">
        <v>271</v>
      </c>
      <c r="G847" s="10" t="s">
        <v>280</v>
      </c>
      <c r="H847" s="10">
        <v>9466502084</v>
      </c>
      <c r="I847" s="3">
        <v>750</v>
      </c>
      <c r="J847" s="3"/>
      <c r="K847" s="3"/>
      <c r="L847" s="3"/>
      <c r="M847" s="3"/>
      <c r="N847" s="3"/>
      <c r="O847" s="5">
        <v>15750</v>
      </c>
      <c r="P847" s="3"/>
    </row>
    <row r="848" spans="1:16" ht="15.75">
      <c r="A848" s="3">
        <v>30</v>
      </c>
      <c r="B848" s="4">
        <v>46218</v>
      </c>
      <c r="C848" s="5" t="s">
        <v>51</v>
      </c>
      <c r="D848" s="5" t="s">
        <v>276</v>
      </c>
      <c r="E848" s="10" t="s">
        <v>279</v>
      </c>
      <c r="F848" s="10" t="s">
        <v>272</v>
      </c>
      <c r="G848" s="10" t="s">
        <v>281</v>
      </c>
      <c r="H848" s="10">
        <v>8168586120</v>
      </c>
      <c r="I848" s="3">
        <v>800</v>
      </c>
      <c r="J848" s="3"/>
      <c r="K848" s="3"/>
      <c r="L848" s="3"/>
      <c r="M848" s="3"/>
      <c r="N848" s="3"/>
      <c r="O848" s="5">
        <v>23200</v>
      </c>
      <c r="P848" s="3"/>
    </row>
    <row r="849" spans="1:16" ht="15.75">
      <c r="A849" s="3">
        <v>31</v>
      </c>
      <c r="B849" s="4">
        <v>46218</v>
      </c>
      <c r="C849" s="5" t="s">
        <v>51</v>
      </c>
      <c r="D849" s="5" t="s">
        <v>277</v>
      </c>
      <c r="E849" s="10" t="s">
        <v>49</v>
      </c>
      <c r="F849" s="10" t="s">
        <v>273</v>
      </c>
      <c r="G849" s="10" t="s">
        <v>282</v>
      </c>
      <c r="H849" s="10">
        <v>8295507421</v>
      </c>
      <c r="I849" s="3">
        <v>800</v>
      </c>
      <c r="J849" s="3"/>
      <c r="K849" s="3"/>
      <c r="L849" s="3"/>
      <c r="M849" s="3"/>
      <c r="N849" s="3"/>
      <c r="O849" s="5">
        <v>23200</v>
      </c>
      <c r="P849" s="3"/>
    </row>
    <row r="850" spans="1:16" ht="15.75">
      <c r="A850" s="3">
        <v>32</v>
      </c>
      <c r="B850" s="4">
        <v>46218</v>
      </c>
      <c r="C850" s="5" t="s">
        <v>51</v>
      </c>
      <c r="D850" s="5" t="s">
        <v>255</v>
      </c>
      <c r="E850" s="10" t="s">
        <v>278</v>
      </c>
      <c r="F850" s="10" t="s">
        <v>274</v>
      </c>
      <c r="G850" s="10" t="s">
        <v>189</v>
      </c>
      <c r="H850" s="10">
        <v>7828359630</v>
      </c>
      <c r="I850" s="3">
        <v>750</v>
      </c>
      <c r="J850" s="3"/>
      <c r="K850" s="3"/>
      <c r="L850" s="3"/>
      <c r="M850" s="3"/>
      <c r="N850" s="3"/>
      <c r="O850" s="5">
        <v>15750</v>
      </c>
      <c r="P850" s="3"/>
    </row>
    <row r="851" spans="1:16" ht="15.75">
      <c r="A851" s="3">
        <v>33</v>
      </c>
      <c r="B851" s="4">
        <v>46218</v>
      </c>
      <c r="C851" s="5" t="s">
        <v>51</v>
      </c>
      <c r="D851" s="5" t="s">
        <v>286</v>
      </c>
      <c r="E851" s="3" t="s">
        <v>49</v>
      </c>
      <c r="F851" s="3" t="s">
        <v>285</v>
      </c>
      <c r="G851" s="3" t="s">
        <v>293</v>
      </c>
      <c r="H851" s="3">
        <v>9671634311</v>
      </c>
      <c r="I851" s="3">
        <v>800</v>
      </c>
      <c r="J851" s="3"/>
      <c r="K851" s="3"/>
      <c r="L851" s="3"/>
      <c r="M851" s="3"/>
      <c r="N851" s="3"/>
      <c r="O851" s="5">
        <v>24000</v>
      </c>
      <c r="P851" s="3"/>
    </row>
    <row r="852" spans="1:16" ht="15.75">
      <c r="A852" s="3">
        <v>34</v>
      </c>
      <c r="B852" s="4">
        <v>46218</v>
      </c>
      <c r="C852" s="5" t="s">
        <v>51</v>
      </c>
      <c r="D852" s="5" t="s">
        <v>287</v>
      </c>
      <c r="E852" s="3" t="s">
        <v>130</v>
      </c>
      <c r="F852" s="3" t="s">
        <v>284</v>
      </c>
      <c r="G852" s="3" t="s">
        <v>294</v>
      </c>
      <c r="H852" s="3">
        <v>9671393271</v>
      </c>
      <c r="I852" s="3">
        <v>800</v>
      </c>
      <c r="J852" s="3"/>
      <c r="K852" s="3"/>
      <c r="L852" s="3"/>
      <c r="M852" s="3"/>
      <c r="N852" s="3"/>
      <c r="O852" s="5">
        <v>24000</v>
      </c>
      <c r="P852" s="3"/>
    </row>
    <row r="853" spans="1:16" ht="15.75">
      <c r="A853" s="3">
        <v>35</v>
      </c>
      <c r="B853" s="4">
        <v>46218</v>
      </c>
      <c r="C853" s="5" t="s">
        <v>51</v>
      </c>
      <c r="D853" s="6" t="s">
        <v>299</v>
      </c>
      <c r="E853" s="3" t="s">
        <v>130</v>
      </c>
      <c r="F853" s="3" t="s">
        <v>301</v>
      </c>
      <c r="G853" s="3" t="s">
        <v>303</v>
      </c>
      <c r="H853" s="3">
        <v>8397097184</v>
      </c>
      <c r="I853" s="3">
        <v>800</v>
      </c>
      <c r="J853" s="3"/>
      <c r="K853" s="3"/>
      <c r="L853" s="3"/>
      <c r="M853" s="3"/>
      <c r="N853" s="3"/>
      <c r="O853" s="6">
        <v>24000</v>
      </c>
      <c r="P853" s="3"/>
    </row>
    <row r="854" spans="1:16" ht="15.75">
      <c r="A854" s="3">
        <v>36</v>
      </c>
      <c r="B854" s="4">
        <v>46218</v>
      </c>
      <c r="C854" s="5" t="s">
        <v>51</v>
      </c>
      <c r="D854" s="5" t="s">
        <v>312</v>
      </c>
      <c r="E854" s="3" t="s">
        <v>197</v>
      </c>
      <c r="F854" s="3" t="s">
        <v>121</v>
      </c>
      <c r="G854" s="3" t="s">
        <v>315</v>
      </c>
      <c r="H854" s="3">
        <v>8059882196</v>
      </c>
      <c r="I854" s="3">
        <v>800</v>
      </c>
      <c r="J854" s="3"/>
      <c r="K854" s="3"/>
      <c r="L854" s="3"/>
      <c r="M854" s="3"/>
      <c r="N854" s="3"/>
      <c r="O854" s="6">
        <v>24000</v>
      </c>
      <c r="P854" s="3"/>
    </row>
    <row r="855" spans="1:16" ht="15.75">
      <c r="A855" s="3">
        <v>37</v>
      </c>
      <c r="B855" s="4">
        <v>46218</v>
      </c>
      <c r="C855" s="5" t="s">
        <v>51</v>
      </c>
      <c r="D855" s="5" t="s">
        <v>332</v>
      </c>
      <c r="E855" s="3" t="s">
        <v>206</v>
      </c>
      <c r="F855" s="3" t="s">
        <v>330</v>
      </c>
      <c r="G855" s="3" t="s">
        <v>331</v>
      </c>
      <c r="H855" s="3">
        <v>7015840262</v>
      </c>
      <c r="I855" s="3">
        <v>800</v>
      </c>
      <c r="J855" s="3"/>
      <c r="K855" s="3"/>
      <c r="L855" s="3"/>
      <c r="M855" s="3"/>
      <c r="N855" s="3"/>
      <c r="O855" s="6">
        <v>24800</v>
      </c>
      <c r="P855" s="3"/>
    </row>
    <row r="856" spans="1:16" ht="15.75">
      <c r="A856" s="3">
        <v>38</v>
      </c>
      <c r="B856" s="4">
        <v>46218</v>
      </c>
      <c r="C856" s="5" t="s">
        <v>51</v>
      </c>
      <c r="D856" s="5" t="s">
        <v>343</v>
      </c>
      <c r="E856" s="3" t="s">
        <v>348</v>
      </c>
      <c r="F856" s="3" t="s">
        <v>333</v>
      </c>
      <c r="G856" s="3" t="s">
        <v>334</v>
      </c>
      <c r="H856" s="3">
        <v>8708050493</v>
      </c>
      <c r="I856" s="3">
        <v>1000</v>
      </c>
      <c r="J856" s="3"/>
      <c r="K856" s="3"/>
      <c r="L856" s="3"/>
      <c r="M856" s="3"/>
      <c r="N856" s="3"/>
      <c r="O856" s="6">
        <v>25000</v>
      </c>
      <c r="P856" s="3"/>
    </row>
    <row r="857" spans="1:16" ht="15.75">
      <c r="A857" s="3">
        <v>39</v>
      </c>
      <c r="B857" s="4">
        <v>46218</v>
      </c>
      <c r="C857" s="5" t="s">
        <v>51</v>
      </c>
      <c r="D857" s="5" t="s">
        <v>344</v>
      </c>
      <c r="E857" s="3" t="s">
        <v>348</v>
      </c>
      <c r="F857" s="3" t="s">
        <v>335</v>
      </c>
      <c r="G857" s="3" t="s">
        <v>336</v>
      </c>
      <c r="H857" s="3">
        <v>8708050493</v>
      </c>
      <c r="I857" s="3">
        <v>1000</v>
      </c>
      <c r="J857" s="3"/>
      <c r="K857" s="3"/>
      <c r="L857" s="3"/>
      <c r="M857" s="3"/>
      <c r="N857" s="3"/>
      <c r="O857" s="6">
        <v>25000</v>
      </c>
      <c r="P857" s="3"/>
    </row>
    <row r="858" spans="1:16" ht="15.75">
      <c r="A858" s="3">
        <v>40</v>
      </c>
      <c r="B858" s="4">
        <v>46218</v>
      </c>
      <c r="C858" s="5" t="s">
        <v>51</v>
      </c>
      <c r="D858" s="5" t="s">
        <v>346</v>
      </c>
      <c r="E858" s="3" t="s">
        <v>49</v>
      </c>
      <c r="F858" s="3" t="s">
        <v>339</v>
      </c>
      <c r="G858" s="3" t="s">
        <v>340</v>
      </c>
      <c r="H858" s="3">
        <v>7496866457</v>
      </c>
      <c r="I858" s="3">
        <v>810</v>
      </c>
      <c r="J858" s="3"/>
      <c r="K858" s="3"/>
      <c r="L858" s="3"/>
      <c r="M858" s="3"/>
      <c r="N858" s="3"/>
      <c r="O858" s="6">
        <v>18630</v>
      </c>
      <c r="P858" s="3"/>
    </row>
    <row r="859" spans="1:16" ht="15.75">
      <c r="A859" s="3">
        <v>41</v>
      </c>
      <c r="B859" s="4">
        <v>46218</v>
      </c>
      <c r="C859" s="5" t="s">
        <v>51</v>
      </c>
      <c r="D859" s="5" t="s">
        <v>347</v>
      </c>
      <c r="E859" s="3" t="s">
        <v>49</v>
      </c>
      <c r="F859" s="3" t="s">
        <v>341</v>
      </c>
      <c r="G859" s="3" t="s">
        <v>342</v>
      </c>
      <c r="H859" s="3">
        <v>7496866457</v>
      </c>
      <c r="I859" s="3">
        <v>1000</v>
      </c>
      <c r="J859" s="3"/>
      <c r="K859" s="3"/>
      <c r="L859" s="3"/>
      <c r="M859" s="3"/>
      <c r="N859" s="3"/>
      <c r="O859" s="6">
        <v>25000</v>
      </c>
      <c r="P859" s="3"/>
    </row>
    <row r="860" spans="1:16" ht="15.75">
      <c r="A860" s="3">
        <v>42</v>
      </c>
      <c r="B860" s="4">
        <v>46218</v>
      </c>
      <c r="C860" s="5" t="s">
        <v>51</v>
      </c>
      <c r="D860" s="5" t="s">
        <v>381</v>
      </c>
      <c r="E860" s="3" t="s">
        <v>118</v>
      </c>
      <c r="F860" s="3" t="s">
        <v>387</v>
      </c>
      <c r="G860" s="3" t="s">
        <v>388</v>
      </c>
      <c r="H860" s="3">
        <v>8307074126</v>
      </c>
      <c r="I860" s="3">
        <v>810</v>
      </c>
      <c r="J860" s="3"/>
      <c r="K860" s="3"/>
      <c r="L860" s="3"/>
      <c r="M860" s="3"/>
      <c r="N860" s="3"/>
      <c r="O860" s="6">
        <v>19440</v>
      </c>
      <c r="P860" s="3"/>
    </row>
    <row r="861" spans="1:16" ht="15.75">
      <c r="A861" s="3">
        <v>43</v>
      </c>
      <c r="B861" s="4">
        <v>46218</v>
      </c>
      <c r="C861" s="5" t="s">
        <v>51</v>
      </c>
      <c r="D861" s="5" t="s">
        <v>382</v>
      </c>
      <c r="E861" s="3" t="s">
        <v>383</v>
      </c>
      <c r="F861" s="3" t="s">
        <v>215</v>
      </c>
      <c r="G861" s="3" t="s">
        <v>375</v>
      </c>
      <c r="H861" s="3">
        <v>9813268064</v>
      </c>
      <c r="I861" s="3">
        <v>1000</v>
      </c>
      <c r="J861" s="3"/>
      <c r="K861" s="3"/>
      <c r="L861" s="3"/>
      <c r="M861" s="3"/>
      <c r="N861" s="3"/>
      <c r="O861" s="6">
        <v>26000</v>
      </c>
      <c r="P861" s="3"/>
    </row>
    <row r="862" spans="1:16" ht="15.75">
      <c r="A862" s="3">
        <v>44</v>
      </c>
      <c r="B862" s="4">
        <v>46218</v>
      </c>
      <c r="C862" s="5" t="s">
        <v>51</v>
      </c>
      <c r="D862" s="5" t="s">
        <v>392</v>
      </c>
      <c r="E862" s="3" t="s">
        <v>394</v>
      </c>
      <c r="F862" s="3" t="s">
        <v>71</v>
      </c>
      <c r="G862" s="3" t="s">
        <v>393</v>
      </c>
      <c r="H862" s="3">
        <v>8505872401</v>
      </c>
      <c r="I862" s="3">
        <v>1000</v>
      </c>
      <c r="J862" s="3"/>
      <c r="K862" s="3"/>
      <c r="L862" s="3"/>
      <c r="M862" s="3"/>
      <c r="N862" s="3"/>
      <c r="O862" s="6">
        <v>27000</v>
      </c>
      <c r="P862" s="3"/>
    </row>
    <row r="863" spans="1:16" ht="15.75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3"/>
      <c r="D865" s="3"/>
      <c r="E865" s="3"/>
      <c r="F865" s="3"/>
      <c r="G865" s="3"/>
      <c r="H865" s="3"/>
      <c r="I865" s="3">
        <f>SUM(I819:I864)</f>
        <v>35370</v>
      </c>
      <c r="J865" s="3"/>
      <c r="K865" s="3"/>
      <c r="L865" s="3"/>
      <c r="M865" s="3"/>
      <c r="N865" s="3"/>
      <c r="O865" s="3">
        <f>SUM(O819:O864)</f>
        <v>828020</v>
      </c>
      <c r="P865" s="3"/>
    </row>
    <row r="870" spans="1:16" ht="27.75">
      <c r="A870" s="142" t="s">
        <v>155</v>
      </c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</row>
    <row r="871" spans="1:16" ht="75">
      <c r="A871" s="1" t="s">
        <v>87</v>
      </c>
      <c r="B871" s="1" t="s">
        <v>103</v>
      </c>
      <c r="C871" s="1" t="s">
        <v>88</v>
      </c>
      <c r="D871" s="1" t="s">
        <v>104</v>
      </c>
      <c r="E871" s="1" t="s">
        <v>105</v>
      </c>
      <c r="F871" s="1" t="s">
        <v>106</v>
      </c>
      <c r="G871" s="1" t="s">
        <v>93</v>
      </c>
      <c r="H871" s="1" t="s">
        <v>107</v>
      </c>
      <c r="I871" s="1" t="s">
        <v>108</v>
      </c>
      <c r="J871" s="1" t="s">
        <v>109</v>
      </c>
      <c r="K871" s="1" t="s">
        <v>110</v>
      </c>
      <c r="L871" s="1" t="s">
        <v>21</v>
      </c>
      <c r="M871" s="1" t="s">
        <v>45</v>
      </c>
      <c r="N871" s="1" t="s">
        <v>111</v>
      </c>
      <c r="O871" s="2" t="s">
        <v>112</v>
      </c>
      <c r="P871" s="1" t="s">
        <v>113</v>
      </c>
    </row>
    <row r="872" spans="1:16" ht="15.75">
      <c r="A872" s="97">
        <v>1</v>
      </c>
      <c r="B872" s="98">
        <v>46224</v>
      </c>
      <c r="C872" s="97" t="s">
        <v>51</v>
      </c>
      <c r="D872" s="5" t="s">
        <v>70</v>
      </c>
      <c r="E872" s="5" t="s">
        <v>66</v>
      </c>
      <c r="F872" s="5" t="s">
        <v>67</v>
      </c>
      <c r="G872" s="5" t="s">
        <v>68</v>
      </c>
      <c r="H872" s="5">
        <v>8395916139</v>
      </c>
      <c r="I872" s="5">
        <v>800</v>
      </c>
      <c r="J872" s="97"/>
      <c r="K872" s="97"/>
      <c r="L872" s="97"/>
      <c r="M872" s="97"/>
      <c r="N872" s="97"/>
      <c r="O872" s="5">
        <v>18400</v>
      </c>
      <c r="P872" s="97"/>
    </row>
    <row r="873" spans="1:16" ht="15.75">
      <c r="A873" s="97">
        <v>2</v>
      </c>
      <c r="B873" s="98">
        <v>46224</v>
      </c>
      <c r="C873" s="97" t="s">
        <v>51</v>
      </c>
      <c r="D873" s="5" t="s">
        <v>73</v>
      </c>
      <c r="E873" s="5" t="s">
        <v>66</v>
      </c>
      <c r="F873" s="5" t="s">
        <v>71</v>
      </c>
      <c r="G873" s="5" t="s">
        <v>72</v>
      </c>
      <c r="H873" s="5">
        <v>7289049720</v>
      </c>
      <c r="I873" s="5">
        <v>750</v>
      </c>
      <c r="J873" s="97"/>
      <c r="K873" s="97"/>
      <c r="L873" s="97"/>
      <c r="M873" s="97"/>
      <c r="N873" s="97"/>
      <c r="O873" s="5">
        <v>11250</v>
      </c>
      <c r="P873" s="97"/>
    </row>
    <row r="874" spans="1:16" ht="15.75">
      <c r="A874" s="97">
        <v>3</v>
      </c>
      <c r="B874" s="98">
        <v>46224</v>
      </c>
      <c r="C874" s="97" t="s">
        <v>51</v>
      </c>
      <c r="D874" s="5" t="s">
        <v>79</v>
      </c>
      <c r="E874" s="5" t="s">
        <v>66</v>
      </c>
      <c r="F874" s="6" t="s">
        <v>77</v>
      </c>
      <c r="G874" s="6" t="s">
        <v>78</v>
      </c>
      <c r="H874" s="6">
        <v>7355817478</v>
      </c>
      <c r="I874" s="5">
        <v>750</v>
      </c>
      <c r="J874" s="97"/>
      <c r="K874" s="97"/>
      <c r="L874" s="97"/>
      <c r="M874" s="97"/>
      <c r="N874" s="97"/>
      <c r="O874" s="5">
        <v>11250</v>
      </c>
      <c r="P874" s="97"/>
    </row>
    <row r="875" spans="1:16" ht="15.75">
      <c r="A875" s="97">
        <v>4</v>
      </c>
      <c r="B875" s="98">
        <v>46224</v>
      </c>
      <c r="C875" s="97" t="s">
        <v>51</v>
      </c>
      <c r="D875" s="5" t="s">
        <v>82</v>
      </c>
      <c r="E875" s="6" t="s">
        <v>66</v>
      </c>
      <c r="F875" s="6" t="s">
        <v>80</v>
      </c>
      <c r="G875" s="6" t="s">
        <v>81</v>
      </c>
      <c r="H875" s="6">
        <v>7027566795</v>
      </c>
      <c r="I875" s="5">
        <v>800</v>
      </c>
      <c r="J875" s="97"/>
      <c r="K875" s="97"/>
      <c r="L875" s="97"/>
      <c r="M875" s="97"/>
      <c r="N875" s="97"/>
      <c r="O875" s="5">
        <v>18400</v>
      </c>
      <c r="P875" s="97"/>
    </row>
    <row r="876" spans="1:16" ht="15.75">
      <c r="A876" s="97">
        <v>5</v>
      </c>
      <c r="B876" s="98">
        <v>46224</v>
      </c>
      <c r="C876" s="97" t="s">
        <v>51</v>
      </c>
      <c r="D876" s="5" t="s">
        <v>85</v>
      </c>
      <c r="E876" s="6" t="s">
        <v>66</v>
      </c>
      <c r="F876" s="5" t="s">
        <v>83</v>
      </c>
      <c r="G876" s="5" t="s">
        <v>84</v>
      </c>
      <c r="H876" s="5">
        <v>9992825464</v>
      </c>
      <c r="I876" s="5">
        <v>800</v>
      </c>
      <c r="J876" s="97"/>
      <c r="K876" s="97"/>
      <c r="L876" s="97"/>
      <c r="M876" s="97"/>
      <c r="N876" s="97"/>
      <c r="O876" s="5">
        <v>18400</v>
      </c>
      <c r="P876" s="97"/>
    </row>
    <row r="877" spans="1:16" ht="15.75">
      <c r="A877" s="97">
        <v>6</v>
      </c>
      <c r="B877" s="98">
        <v>46224</v>
      </c>
      <c r="C877" s="97" t="s">
        <v>51</v>
      </c>
      <c r="D877" s="5" t="s">
        <v>114</v>
      </c>
      <c r="E877" s="10" t="s">
        <v>66</v>
      </c>
      <c r="F877" s="10" t="s">
        <v>120</v>
      </c>
      <c r="G877" s="10" t="s">
        <v>124</v>
      </c>
      <c r="H877" s="10">
        <v>8295596976</v>
      </c>
      <c r="I877" s="10">
        <v>750</v>
      </c>
      <c r="J877" s="97"/>
      <c r="K877" s="97"/>
      <c r="L877" s="97"/>
      <c r="M877" s="97"/>
      <c r="N877" s="97"/>
      <c r="O877" s="5">
        <v>11250</v>
      </c>
      <c r="P877" s="97"/>
    </row>
    <row r="878" spans="1:16" ht="15.75">
      <c r="A878" s="97">
        <v>7</v>
      </c>
      <c r="B878" s="98">
        <v>46224</v>
      </c>
      <c r="C878" s="97" t="s">
        <v>51</v>
      </c>
      <c r="D878" s="5" t="s">
        <v>115</v>
      </c>
      <c r="E878" s="10" t="s">
        <v>66</v>
      </c>
      <c r="F878" s="10" t="s">
        <v>121</v>
      </c>
      <c r="G878" s="10" t="s">
        <v>125</v>
      </c>
      <c r="H878" s="10">
        <v>8816907186</v>
      </c>
      <c r="I878" s="10">
        <v>750</v>
      </c>
      <c r="J878" s="97"/>
      <c r="K878" s="97"/>
      <c r="L878" s="97"/>
      <c r="M878" s="97"/>
      <c r="N878" s="97"/>
      <c r="O878" s="5">
        <v>11250</v>
      </c>
      <c r="P878" s="97"/>
    </row>
    <row r="879" spans="1:16" ht="15.75">
      <c r="A879" s="97">
        <v>8</v>
      </c>
      <c r="B879" s="98">
        <v>46224</v>
      </c>
      <c r="C879" s="97" t="s">
        <v>51</v>
      </c>
      <c r="D879" s="5" t="s">
        <v>147</v>
      </c>
      <c r="E879" s="5" t="s">
        <v>129</v>
      </c>
      <c r="F879" s="5" t="s">
        <v>132</v>
      </c>
      <c r="G879" s="5" t="s">
        <v>140</v>
      </c>
      <c r="H879" s="5">
        <v>8397037924</v>
      </c>
      <c r="I879" s="5">
        <v>800</v>
      </c>
      <c r="J879" s="97"/>
      <c r="K879" s="97"/>
      <c r="L879" s="97"/>
      <c r="M879" s="97"/>
      <c r="N879" s="97"/>
      <c r="O879" s="5">
        <v>19200</v>
      </c>
      <c r="P879" s="97"/>
    </row>
    <row r="880" spans="1:16" ht="15.75">
      <c r="A880" s="97">
        <v>9</v>
      </c>
      <c r="B880" s="98">
        <v>46224</v>
      </c>
      <c r="C880" s="97" t="s">
        <v>51</v>
      </c>
      <c r="D880" s="5" t="s">
        <v>151</v>
      </c>
      <c r="E880" s="5" t="s">
        <v>66</v>
      </c>
      <c r="F880" s="5" t="s">
        <v>136</v>
      </c>
      <c r="G880" s="5" t="s">
        <v>143</v>
      </c>
      <c r="H880" s="5">
        <v>9992969785</v>
      </c>
      <c r="I880" s="5">
        <v>800</v>
      </c>
      <c r="J880" s="97"/>
      <c r="K880" s="97"/>
      <c r="L880" s="97"/>
      <c r="M880" s="97"/>
      <c r="N880" s="97"/>
      <c r="O880" s="5">
        <v>19200</v>
      </c>
      <c r="P880" s="97"/>
    </row>
    <row r="881" spans="1:16" ht="15.75">
      <c r="A881" s="97">
        <v>10</v>
      </c>
      <c r="B881" s="98">
        <v>46224</v>
      </c>
      <c r="C881" s="97" t="s">
        <v>51</v>
      </c>
      <c r="D881" s="5" t="s">
        <v>190</v>
      </c>
      <c r="E881" s="10" t="s">
        <v>195</v>
      </c>
      <c r="F881" s="10" t="s">
        <v>184</v>
      </c>
      <c r="G881" s="10" t="s">
        <v>185</v>
      </c>
      <c r="H881" s="10">
        <v>9728976039</v>
      </c>
      <c r="I881" s="3">
        <v>750</v>
      </c>
      <c r="J881" s="97"/>
      <c r="K881" s="97"/>
      <c r="L881" s="97"/>
      <c r="M881" s="97"/>
      <c r="N881" s="97"/>
      <c r="O881" s="5">
        <v>13500</v>
      </c>
      <c r="P881" s="97"/>
    </row>
    <row r="882" spans="1:16" ht="15.75">
      <c r="A882" s="97">
        <v>11</v>
      </c>
      <c r="B882" s="98">
        <v>46224</v>
      </c>
      <c r="C882" s="97" t="s">
        <v>51</v>
      </c>
      <c r="D882" s="5" t="s">
        <v>191</v>
      </c>
      <c r="E882" s="10" t="s">
        <v>196</v>
      </c>
      <c r="F882" s="10" t="s">
        <v>186</v>
      </c>
      <c r="G882" s="10" t="s">
        <v>187</v>
      </c>
      <c r="H882" s="10">
        <v>9991073613</v>
      </c>
      <c r="I882" s="3">
        <v>750</v>
      </c>
      <c r="J882" s="97"/>
      <c r="K882" s="97"/>
      <c r="L882" s="97"/>
      <c r="M882" s="97"/>
      <c r="N882" s="97"/>
      <c r="O882" s="5">
        <v>13500</v>
      </c>
      <c r="P882" s="97"/>
    </row>
    <row r="883" spans="1:16" ht="15.75">
      <c r="A883" s="97">
        <v>12</v>
      </c>
      <c r="B883" s="98">
        <v>46224</v>
      </c>
      <c r="C883" s="97" t="s">
        <v>51</v>
      </c>
      <c r="D883" s="5" t="s">
        <v>192</v>
      </c>
      <c r="E883" s="10" t="s">
        <v>195</v>
      </c>
      <c r="F883" s="10" t="s">
        <v>188</v>
      </c>
      <c r="G883" s="10" t="s">
        <v>198</v>
      </c>
      <c r="H883" s="10">
        <v>8047377476</v>
      </c>
      <c r="I883" s="5">
        <v>800</v>
      </c>
      <c r="J883" s="97"/>
      <c r="K883" s="97"/>
      <c r="L883" s="97"/>
      <c r="M883" s="97"/>
      <c r="N883" s="97"/>
      <c r="O883" s="5">
        <v>20800</v>
      </c>
      <c r="P883" s="97"/>
    </row>
    <row r="884" spans="1:16" ht="15.75">
      <c r="A884" s="97">
        <v>13</v>
      </c>
      <c r="B884" s="98">
        <v>46224</v>
      </c>
      <c r="C884" s="97" t="s">
        <v>51</v>
      </c>
      <c r="D884" s="5" t="s">
        <v>193</v>
      </c>
      <c r="E884" s="10" t="s">
        <v>195</v>
      </c>
      <c r="F884" s="10" t="s">
        <v>83</v>
      </c>
      <c r="G884" s="10" t="s">
        <v>189</v>
      </c>
      <c r="H884" s="10">
        <v>8396804752</v>
      </c>
      <c r="I884" s="3">
        <v>750</v>
      </c>
      <c r="J884" s="97"/>
      <c r="K884" s="97"/>
      <c r="L884" s="97"/>
      <c r="M884" s="97"/>
      <c r="N884" s="97"/>
      <c r="O884" s="5">
        <v>13500</v>
      </c>
      <c r="P884" s="97"/>
    </row>
    <row r="885" spans="1:16" ht="15.75">
      <c r="A885" s="97">
        <v>14</v>
      </c>
      <c r="B885" s="98">
        <v>46224</v>
      </c>
      <c r="C885" s="97" t="s">
        <v>51</v>
      </c>
      <c r="D885" s="5" t="s">
        <v>207</v>
      </c>
      <c r="E885" s="10" t="s">
        <v>225</v>
      </c>
      <c r="F885" s="10" t="s">
        <v>213</v>
      </c>
      <c r="G885" s="10" t="s">
        <v>214</v>
      </c>
      <c r="H885" s="10">
        <v>9034419162</v>
      </c>
      <c r="I885" s="3">
        <v>750</v>
      </c>
      <c r="J885" s="97"/>
      <c r="K885" s="97"/>
      <c r="L885" s="97"/>
      <c r="M885" s="97"/>
      <c r="N885" s="97"/>
      <c r="O885" s="5">
        <v>13500</v>
      </c>
      <c r="P885" s="97"/>
    </row>
    <row r="886" spans="1:16" ht="15.75">
      <c r="A886" s="97">
        <v>15</v>
      </c>
      <c r="B886" s="98">
        <v>46224</v>
      </c>
      <c r="C886" s="97" t="s">
        <v>51</v>
      </c>
      <c r="D886" s="5" t="s">
        <v>209</v>
      </c>
      <c r="E886" s="10" t="s">
        <v>226</v>
      </c>
      <c r="F886" s="10" t="s">
        <v>217</v>
      </c>
      <c r="G886" s="10" t="s">
        <v>218</v>
      </c>
      <c r="H886" s="10">
        <v>9671740481</v>
      </c>
      <c r="I886" s="3">
        <v>750</v>
      </c>
      <c r="J886" s="97"/>
      <c r="K886" s="97"/>
      <c r="L886" s="97"/>
      <c r="M886" s="97"/>
      <c r="N886" s="97"/>
      <c r="O886" s="5">
        <v>13500</v>
      </c>
      <c r="P886" s="97"/>
    </row>
    <row r="887" spans="1:16" ht="15.75">
      <c r="A887" s="97">
        <v>16</v>
      </c>
      <c r="B887" s="98">
        <v>46224</v>
      </c>
      <c r="C887" s="97" t="s">
        <v>51</v>
      </c>
      <c r="D887" s="5" t="s">
        <v>210</v>
      </c>
      <c r="E887" s="10" t="s">
        <v>227</v>
      </c>
      <c r="F887" s="10" t="s">
        <v>219</v>
      </c>
      <c r="G887" s="10" t="s">
        <v>220</v>
      </c>
      <c r="H887" s="10">
        <v>9311797101</v>
      </c>
      <c r="I887" s="3">
        <v>750</v>
      </c>
      <c r="J887" s="97"/>
      <c r="K887" s="97"/>
      <c r="L887" s="97"/>
      <c r="M887" s="97"/>
      <c r="N887" s="97"/>
      <c r="O887" s="5">
        <v>13500</v>
      </c>
      <c r="P887" s="97"/>
    </row>
    <row r="888" spans="1:16" ht="15.75">
      <c r="A888" s="97">
        <v>17</v>
      </c>
      <c r="B888" s="98">
        <v>46224</v>
      </c>
      <c r="C888" s="97" t="s">
        <v>51</v>
      </c>
      <c r="D888" s="5" t="s">
        <v>211</v>
      </c>
      <c r="E888" s="10" t="s">
        <v>226</v>
      </c>
      <c r="F888" s="10" t="s">
        <v>221</v>
      </c>
      <c r="G888" s="10" t="s">
        <v>222</v>
      </c>
      <c r="H888" s="10">
        <v>7206610781</v>
      </c>
      <c r="I888" s="3">
        <v>750</v>
      </c>
      <c r="J888" s="97"/>
      <c r="K888" s="97"/>
      <c r="L888" s="97"/>
      <c r="M888" s="97"/>
      <c r="N888" s="97"/>
      <c r="O888" s="5">
        <v>13500</v>
      </c>
      <c r="P888" s="97"/>
    </row>
    <row r="889" spans="1:16" ht="15.75">
      <c r="A889" s="97">
        <v>18</v>
      </c>
      <c r="B889" s="98">
        <v>46224</v>
      </c>
      <c r="C889" s="97" t="s">
        <v>51</v>
      </c>
      <c r="D889" s="5" t="s">
        <v>212</v>
      </c>
      <c r="E889" s="10" t="s">
        <v>226</v>
      </c>
      <c r="F889" s="10" t="s">
        <v>223</v>
      </c>
      <c r="G889" s="10" t="s">
        <v>224</v>
      </c>
      <c r="H889" s="10">
        <v>8814045633</v>
      </c>
      <c r="I889" s="3">
        <v>750</v>
      </c>
      <c r="J889" s="97"/>
      <c r="K889" s="97"/>
      <c r="L889" s="97"/>
      <c r="M889" s="97"/>
      <c r="N889" s="97"/>
      <c r="O889" s="5">
        <v>13500</v>
      </c>
      <c r="P889" s="97"/>
    </row>
    <row r="890" spans="1:16" ht="15.75">
      <c r="A890" s="97">
        <v>19</v>
      </c>
      <c r="B890" s="98">
        <v>46224</v>
      </c>
      <c r="C890" s="97" t="s">
        <v>51</v>
      </c>
      <c r="D890" s="5" t="s">
        <v>228</v>
      </c>
      <c r="E890" s="3" t="s">
        <v>229</v>
      </c>
      <c r="F890" s="10" t="s">
        <v>165</v>
      </c>
      <c r="G890" s="10" t="s">
        <v>198</v>
      </c>
      <c r="H890" s="10" t="s">
        <v>230</v>
      </c>
      <c r="I890" s="3">
        <v>750</v>
      </c>
      <c r="J890" s="97"/>
      <c r="K890" s="97"/>
      <c r="L890" s="97"/>
      <c r="M890" s="97"/>
      <c r="N890" s="97"/>
      <c r="O890" s="5">
        <v>13500</v>
      </c>
      <c r="P890" s="97"/>
    </row>
    <row r="891" spans="1:16" ht="15.75">
      <c r="A891" s="97">
        <v>20</v>
      </c>
      <c r="B891" s="98">
        <v>46224</v>
      </c>
      <c r="C891" s="97" t="s">
        <v>51</v>
      </c>
      <c r="D891" s="5" t="s">
        <v>233</v>
      </c>
      <c r="E891" s="10" t="s">
        <v>49</v>
      </c>
      <c r="F891" s="10" t="s">
        <v>231</v>
      </c>
      <c r="G891" s="10" t="s">
        <v>142</v>
      </c>
      <c r="H891" s="10">
        <v>7497855174</v>
      </c>
      <c r="I891" s="3">
        <v>750</v>
      </c>
      <c r="J891" s="97"/>
      <c r="K891" s="97"/>
      <c r="L891" s="97"/>
      <c r="M891" s="97"/>
      <c r="N891" s="97"/>
      <c r="O891" s="5">
        <v>14250</v>
      </c>
      <c r="P891" s="97"/>
    </row>
    <row r="892" spans="1:16" ht="15.75">
      <c r="A892" s="97">
        <v>21</v>
      </c>
      <c r="B892" s="98">
        <v>46224</v>
      </c>
      <c r="C892" s="97" t="s">
        <v>51</v>
      </c>
      <c r="D892" s="5" t="s">
        <v>234</v>
      </c>
      <c r="E892" s="10" t="s">
        <v>196</v>
      </c>
      <c r="F892" s="10" t="s">
        <v>232</v>
      </c>
      <c r="G892" s="10" t="s">
        <v>235</v>
      </c>
      <c r="H892" s="10">
        <v>9817633128</v>
      </c>
      <c r="I892" s="3">
        <v>800</v>
      </c>
      <c r="J892" s="97"/>
      <c r="K892" s="97"/>
      <c r="L892" s="97"/>
      <c r="M892" s="97"/>
      <c r="N892" s="97"/>
      <c r="O892" s="5">
        <v>21600</v>
      </c>
      <c r="P892" s="97"/>
    </row>
    <row r="893" spans="1:16" ht="15.75">
      <c r="A893" s="97">
        <v>22</v>
      </c>
      <c r="B893" s="98">
        <v>46224</v>
      </c>
      <c r="C893" s="97" t="s">
        <v>51</v>
      </c>
      <c r="D893" s="5" t="s">
        <v>236</v>
      </c>
      <c r="E893" s="10" t="s">
        <v>238</v>
      </c>
      <c r="F893" s="10" t="s">
        <v>180</v>
      </c>
      <c r="G893" s="10" t="s">
        <v>240</v>
      </c>
      <c r="H893" s="10">
        <v>9728727855</v>
      </c>
      <c r="I893" s="3">
        <v>750</v>
      </c>
      <c r="J893" s="97"/>
      <c r="K893" s="97"/>
      <c r="L893" s="97"/>
      <c r="M893" s="97"/>
      <c r="N893" s="97"/>
      <c r="O893" s="5">
        <v>14250</v>
      </c>
      <c r="P893" s="97"/>
    </row>
    <row r="894" spans="1:16" ht="15.75">
      <c r="A894" s="97">
        <v>23</v>
      </c>
      <c r="B894" s="98">
        <v>46224</v>
      </c>
      <c r="C894" s="97" t="s">
        <v>51</v>
      </c>
      <c r="D894" s="5" t="s">
        <v>237</v>
      </c>
      <c r="E894" s="10" t="s">
        <v>238</v>
      </c>
      <c r="F894" s="10" t="s">
        <v>239</v>
      </c>
      <c r="G894" s="10" t="s">
        <v>241</v>
      </c>
      <c r="H894" s="10">
        <v>9813575389</v>
      </c>
      <c r="I894" s="3">
        <v>800</v>
      </c>
      <c r="J894" s="97"/>
      <c r="K894" s="97"/>
      <c r="L894" s="97"/>
      <c r="M894" s="97"/>
      <c r="N894" s="97"/>
      <c r="O894" s="5">
        <v>21600</v>
      </c>
      <c r="P894" s="97"/>
    </row>
    <row r="895" spans="1:16" ht="15.75">
      <c r="A895" s="97">
        <v>24</v>
      </c>
      <c r="B895" s="98">
        <v>46224</v>
      </c>
      <c r="C895" s="97" t="s">
        <v>51</v>
      </c>
      <c r="D895" s="5" t="s">
        <v>242</v>
      </c>
      <c r="E895" s="10" t="s">
        <v>226</v>
      </c>
      <c r="F895" s="10" t="s">
        <v>246</v>
      </c>
      <c r="G895" s="10" t="s">
        <v>249</v>
      </c>
      <c r="H895" s="10">
        <v>9997650988</v>
      </c>
      <c r="I895" s="3">
        <v>750</v>
      </c>
      <c r="J895" s="97"/>
      <c r="K895" s="97"/>
      <c r="L895" s="97"/>
      <c r="M895" s="97"/>
      <c r="N895" s="97"/>
      <c r="O895" s="5">
        <v>14250</v>
      </c>
      <c r="P895" s="97"/>
    </row>
    <row r="896" spans="1:16" ht="15.75">
      <c r="A896" s="97">
        <v>25</v>
      </c>
      <c r="B896" s="98">
        <v>46224</v>
      </c>
      <c r="C896" s="97" t="s">
        <v>51</v>
      </c>
      <c r="D896" s="5" t="s">
        <v>243</v>
      </c>
      <c r="E896" s="10" t="s">
        <v>225</v>
      </c>
      <c r="F896" s="10" t="s">
        <v>247</v>
      </c>
      <c r="G896" s="10" t="s">
        <v>250</v>
      </c>
      <c r="H896" s="10">
        <v>8607470754</v>
      </c>
      <c r="I896" s="3">
        <v>800</v>
      </c>
      <c r="J896" s="97"/>
      <c r="K896" s="97"/>
      <c r="L896" s="97"/>
      <c r="M896" s="97"/>
      <c r="N896" s="97"/>
      <c r="O896" s="5">
        <v>21600</v>
      </c>
      <c r="P896" s="97"/>
    </row>
    <row r="897" spans="1:16" ht="15.75">
      <c r="A897" s="97">
        <v>26</v>
      </c>
      <c r="B897" s="98">
        <v>46224</v>
      </c>
      <c r="C897" s="97" t="s">
        <v>51</v>
      </c>
      <c r="D897" s="5" t="s">
        <v>244</v>
      </c>
      <c r="E897" s="10" t="s">
        <v>226</v>
      </c>
      <c r="F897" s="10" t="s">
        <v>248</v>
      </c>
      <c r="G897" s="10" t="s">
        <v>251</v>
      </c>
      <c r="H897" s="10">
        <v>8929903323</v>
      </c>
      <c r="I897" s="3">
        <v>800</v>
      </c>
      <c r="J897" s="97"/>
      <c r="K897" s="97"/>
      <c r="L897" s="97"/>
      <c r="M897" s="97"/>
      <c r="N897" s="97"/>
      <c r="O897" s="5">
        <v>21600</v>
      </c>
      <c r="P897" s="97"/>
    </row>
    <row r="898" spans="1:16" ht="15.75">
      <c r="A898" s="97">
        <v>27</v>
      </c>
      <c r="B898" s="98">
        <v>46224</v>
      </c>
      <c r="C898" s="97" t="s">
        <v>51</v>
      </c>
      <c r="D898" s="5" t="s">
        <v>252</v>
      </c>
      <c r="E898" s="10" t="s">
        <v>226</v>
      </c>
      <c r="F898" s="10" t="s">
        <v>120</v>
      </c>
      <c r="G898" s="10" t="s">
        <v>253</v>
      </c>
      <c r="H898" s="10">
        <v>8930304731</v>
      </c>
      <c r="I898" s="3">
        <v>800</v>
      </c>
      <c r="J898" s="97"/>
      <c r="K898" s="97"/>
      <c r="L898" s="97"/>
      <c r="M898" s="97"/>
      <c r="N898" s="97"/>
      <c r="O898" s="5">
        <v>21600</v>
      </c>
      <c r="P898" s="97"/>
    </row>
    <row r="899" spans="1:16" ht="15.75">
      <c r="A899" s="97">
        <v>28</v>
      </c>
      <c r="B899" s="98">
        <v>46224</v>
      </c>
      <c r="C899" s="97" t="s">
        <v>51</v>
      </c>
      <c r="D899" s="5" t="s">
        <v>256</v>
      </c>
      <c r="E899" s="10" t="s">
        <v>257</v>
      </c>
      <c r="F899" s="10" t="s">
        <v>258</v>
      </c>
      <c r="G899" s="10" t="s">
        <v>259</v>
      </c>
      <c r="H899" s="10">
        <v>7355860393</v>
      </c>
      <c r="I899" s="3">
        <v>750</v>
      </c>
      <c r="J899" s="97"/>
      <c r="K899" s="97"/>
      <c r="L899" s="97"/>
      <c r="M899" s="97"/>
      <c r="N899" s="97"/>
      <c r="O899" s="5">
        <v>14250</v>
      </c>
      <c r="P899" s="97"/>
    </row>
    <row r="900" spans="1:16" ht="15.75">
      <c r="A900" s="97">
        <v>29</v>
      </c>
      <c r="B900" s="98">
        <v>46224</v>
      </c>
      <c r="C900" s="97" t="s">
        <v>51</v>
      </c>
      <c r="D900" s="5" t="s">
        <v>263</v>
      </c>
      <c r="E900" s="10" t="s">
        <v>196</v>
      </c>
      <c r="F900" s="10" t="s">
        <v>260</v>
      </c>
      <c r="G900" s="10" t="s">
        <v>268</v>
      </c>
      <c r="H900" s="10">
        <v>8936838477</v>
      </c>
      <c r="I900" s="3">
        <v>750</v>
      </c>
      <c r="J900" s="97"/>
      <c r="K900" s="97"/>
      <c r="L900" s="97"/>
      <c r="M900" s="97"/>
      <c r="N900" s="97"/>
      <c r="O900" s="5">
        <v>15000</v>
      </c>
      <c r="P900" s="97"/>
    </row>
    <row r="901" spans="1:16" ht="15.75">
      <c r="A901" s="97">
        <v>30</v>
      </c>
      <c r="B901" s="98">
        <v>46224</v>
      </c>
      <c r="C901" s="97" t="s">
        <v>51</v>
      </c>
      <c r="D901" s="5" t="s">
        <v>266</v>
      </c>
      <c r="E901" s="10" t="s">
        <v>196</v>
      </c>
      <c r="F901" s="10" t="s">
        <v>239</v>
      </c>
      <c r="G901" s="10" t="s">
        <v>235</v>
      </c>
      <c r="H901" s="10">
        <v>9728139162</v>
      </c>
      <c r="I901" s="3">
        <v>750</v>
      </c>
      <c r="J901" s="97"/>
      <c r="K901" s="97"/>
      <c r="L901" s="97"/>
      <c r="M901" s="97"/>
      <c r="N901" s="97"/>
      <c r="O901" s="5">
        <v>15000</v>
      </c>
      <c r="P901" s="97"/>
    </row>
    <row r="902" spans="1:16" ht="15.75">
      <c r="A902" s="97">
        <v>31</v>
      </c>
      <c r="B902" s="98">
        <v>46224</v>
      </c>
      <c r="C902" s="97" t="s">
        <v>51</v>
      </c>
      <c r="D902" s="5" t="s">
        <v>288</v>
      </c>
      <c r="E902" s="3" t="s">
        <v>290</v>
      </c>
      <c r="F902" s="3" t="s">
        <v>180</v>
      </c>
      <c r="G902" s="3" t="s">
        <v>295</v>
      </c>
      <c r="H902" s="3">
        <v>9671443722</v>
      </c>
      <c r="I902" s="3">
        <v>800</v>
      </c>
      <c r="J902" s="97"/>
      <c r="K902" s="97"/>
      <c r="L902" s="97"/>
      <c r="M902" s="97"/>
      <c r="N902" s="97"/>
      <c r="O902" s="5">
        <v>24000</v>
      </c>
      <c r="P902" s="97"/>
    </row>
    <row r="903" spans="1:16" ht="15.75">
      <c r="A903" s="97">
        <v>32</v>
      </c>
      <c r="B903" s="98">
        <v>46224</v>
      </c>
      <c r="C903" s="97" t="s">
        <v>51</v>
      </c>
      <c r="D903" s="5" t="s">
        <v>289</v>
      </c>
      <c r="E903" s="3" t="s">
        <v>291</v>
      </c>
      <c r="F903" s="3" t="s">
        <v>292</v>
      </c>
      <c r="G903" s="3" t="s">
        <v>296</v>
      </c>
      <c r="H903" s="3">
        <v>9343799675</v>
      </c>
      <c r="I903" s="3">
        <v>800</v>
      </c>
      <c r="J903" s="97"/>
      <c r="K903" s="97"/>
      <c r="L903" s="97"/>
      <c r="M903" s="97"/>
      <c r="N903" s="97"/>
      <c r="O903" s="5">
        <v>23200</v>
      </c>
      <c r="P903" s="97"/>
    </row>
    <row r="904" spans="1:16" ht="15.75">
      <c r="A904" s="97">
        <v>33</v>
      </c>
      <c r="B904" s="98">
        <v>46224</v>
      </c>
      <c r="C904" s="97" t="s">
        <v>51</v>
      </c>
      <c r="D904" s="5" t="s">
        <v>298</v>
      </c>
      <c r="E904" s="3" t="s">
        <v>300</v>
      </c>
      <c r="F904" s="3" t="s">
        <v>71</v>
      </c>
      <c r="G904" s="3" t="s">
        <v>302</v>
      </c>
      <c r="H904" s="3">
        <v>7056212672</v>
      </c>
      <c r="I904" s="3">
        <v>750</v>
      </c>
      <c r="J904" s="97"/>
      <c r="K904" s="97"/>
      <c r="L904" s="97"/>
      <c r="M904" s="97"/>
      <c r="N904" s="97"/>
      <c r="O904" s="5">
        <v>15750</v>
      </c>
      <c r="P904" s="97"/>
    </row>
    <row r="905" spans="1:16" ht="15.75">
      <c r="A905" s="97">
        <v>34</v>
      </c>
      <c r="B905" s="98">
        <v>46224</v>
      </c>
      <c r="C905" s="97" t="s">
        <v>51</v>
      </c>
      <c r="D905" s="5" t="s">
        <v>306</v>
      </c>
      <c r="E905" s="3" t="s">
        <v>308</v>
      </c>
      <c r="F905" s="3" t="s">
        <v>165</v>
      </c>
      <c r="G905" s="3" t="s">
        <v>310</v>
      </c>
      <c r="H905" s="3">
        <v>9971836202</v>
      </c>
      <c r="I905" s="3">
        <v>800</v>
      </c>
      <c r="J905" s="97"/>
      <c r="K905" s="97"/>
      <c r="L905" s="97"/>
      <c r="M905" s="97"/>
      <c r="N905" s="97"/>
      <c r="O905" s="6">
        <v>24000</v>
      </c>
      <c r="P905" s="97"/>
    </row>
    <row r="906" spans="1:16" ht="15.75">
      <c r="A906" s="97">
        <v>35</v>
      </c>
      <c r="B906" s="98">
        <v>46224</v>
      </c>
      <c r="C906" s="97" t="s">
        <v>51</v>
      </c>
      <c r="D906" s="5" t="s">
        <v>307</v>
      </c>
      <c r="E906" s="3" t="s">
        <v>309</v>
      </c>
      <c r="F906" s="3" t="s">
        <v>305</v>
      </c>
      <c r="G906" s="3" t="s">
        <v>54</v>
      </c>
      <c r="H906" s="3">
        <v>8307951615</v>
      </c>
      <c r="I906" s="3">
        <v>1000</v>
      </c>
      <c r="J906" s="97"/>
      <c r="K906" s="97"/>
      <c r="L906" s="97"/>
      <c r="M906" s="97"/>
      <c r="N906" s="97"/>
      <c r="O906" s="6">
        <v>23000</v>
      </c>
      <c r="P906" s="97"/>
    </row>
    <row r="907" spans="1:16" ht="15.75">
      <c r="A907" s="97">
        <v>36</v>
      </c>
      <c r="B907" s="98">
        <v>46224</v>
      </c>
      <c r="C907" s="97" t="s">
        <v>51</v>
      </c>
      <c r="D907" s="5" t="s">
        <v>313</v>
      </c>
      <c r="E907" s="3" t="s">
        <v>314</v>
      </c>
      <c r="F907" s="3" t="s">
        <v>311</v>
      </c>
      <c r="G907" s="3" t="s">
        <v>316</v>
      </c>
      <c r="H907" s="3">
        <v>8053115922</v>
      </c>
      <c r="I907" s="3">
        <v>1000</v>
      </c>
      <c r="J907" s="97"/>
      <c r="K907" s="97"/>
      <c r="L907" s="97"/>
      <c r="M907" s="97"/>
      <c r="N907" s="97"/>
      <c r="O907" s="6">
        <v>23000</v>
      </c>
      <c r="P907" s="97"/>
    </row>
    <row r="908" spans="1:16" ht="15.75">
      <c r="A908" s="97">
        <v>37</v>
      </c>
      <c r="B908" s="98">
        <v>46224</v>
      </c>
      <c r="C908" s="97" t="s">
        <v>51</v>
      </c>
      <c r="D908" s="5" t="s">
        <v>324</v>
      </c>
      <c r="E908" s="3" t="s">
        <v>130</v>
      </c>
      <c r="F908" s="3" t="s">
        <v>317</v>
      </c>
      <c r="G908" s="3" t="s">
        <v>318</v>
      </c>
      <c r="H908" s="3">
        <v>9034416529</v>
      </c>
      <c r="I908" s="3">
        <v>1000</v>
      </c>
      <c r="J908" s="97"/>
      <c r="K908" s="97"/>
      <c r="L908" s="97"/>
      <c r="M908" s="97"/>
      <c r="N908" s="97"/>
      <c r="O908" s="6">
        <v>23000</v>
      </c>
      <c r="P908" s="97"/>
    </row>
    <row r="909" spans="1:16" ht="15.75">
      <c r="A909" s="97">
        <v>38</v>
      </c>
      <c r="B909" s="98">
        <v>46224</v>
      </c>
      <c r="C909" s="97" t="s">
        <v>51</v>
      </c>
      <c r="D909" s="5" t="s">
        <v>325</v>
      </c>
      <c r="E909" s="3" t="s">
        <v>130</v>
      </c>
      <c r="F909" s="3" t="s">
        <v>319</v>
      </c>
      <c r="G909" s="3" t="s">
        <v>320</v>
      </c>
      <c r="H909" s="3">
        <v>9728411675</v>
      </c>
      <c r="I909" s="3">
        <v>1000</v>
      </c>
      <c r="J909" s="97"/>
      <c r="K909" s="97"/>
      <c r="L909" s="97"/>
      <c r="M909" s="97"/>
      <c r="N909" s="97"/>
      <c r="O909" s="6">
        <v>23000</v>
      </c>
      <c r="P909" s="97"/>
    </row>
    <row r="910" spans="1:16" ht="15.75">
      <c r="A910" s="97">
        <v>39</v>
      </c>
      <c r="B910" s="98">
        <v>46224</v>
      </c>
      <c r="C910" s="97" t="s">
        <v>51</v>
      </c>
      <c r="D910" s="5" t="s">
        <v>326</v>
      </c>
      <c r="E910" s="3" t="s">
        <v>130</v>
      </c>
      <c r="F910" s="3" t="s">
        <v>321</v>
      </c>
      <c r="G910" s="3" t="s">
        <v>322</v>
      </c>
      <c r="H910" s="3">
        <v>9034416529</v>
      </c>
      <c r="I910" s="3">
        <v>1000</v>
      </c>
      <c r="J910" s="97"/>
      <c r="K910" s="97"/>
      <c r="L910" s="97"/>
      <c r="M910" s="97"/>
      <c r="N910" s="97"/>
      <c r="O910" s="6">
        <v>23000</v>
      </c>
      <c r="P910" s="97"/>
    </row>
    <row r="911" spans="1:16" ht="15.75">
      <c r="A911" s="97">
        <v>40</v>
      </c>
      <c r="B911" s="98">
        <v>46224</v>
      </c>
      <c r="C911" s="97" t="s">
        <v>51</v>
      </c>
      <c r="D911" s="5" t="s">
        <v>327</v>
      </c>
      <c r="E911" s="3" t="s">
        <v>300</v>
      </c>
      <c r="F911" s="3" t="s">
        <v>180</v>
      </c>
      <c r="G911" s="3" t="s">
        <v>78</v>
      </c>
      <c r="H911" s="3">
        <v>7027786391</v>
      </c>
      <c r="I911" s="3">
        <v>1000</v>
      </c>
      <c r="J911" s="97"/>
      <c r="K911" s="97"/>
      <c r="L911" s="97"/>
      <c r="M911" s="97"/>
      <c r="N911" s="97"/>
      <c r="O911" s="6">
        <v>23000</v>
      </c>
      <c r="P911" s="97"/>
    </row>
    <row r="912" spans="1:16" ht="15.75">
      <c r="A912" s="97">
        <v>41</v>
      </c>
      <c r="B912" s="98">
        <v>46224</v>
      </c>
      <c r="C912" s="97" t="s">
        <v>51</v>
      </c>
      <c r="D912" s="5" t="s">
        <v>328</v>
      </c>
      <c r="E912" s="3" t="s">
        <v>130</v>
      </c>
      <c r="F912" s="3" t="s">
        <v>323</v>
      </c>
      <c r="G912" s="3" t="s">
        <v>126</v>
      </c>
      <c r="H912" s="3">
        <v>9996695743</v>
      </c>
      <c r="I912" s="3">
        <v>1000</v>
      </c>
      <c r="J912" s="97"/>
      <c r="K912" s="97"/>
      <c r="L912" s="97"/>
      <c r="M912" s="97"/>
      <c r="N912" s="97"/>
      <c r="O912" s="6">
        <v>23000</v>
      </c>
      <c r="P912" s="97"/>
    </row>
    <row r="913" spans="1:16" ht="15.75">
      <c r="A913" s="97">
        <v>42</v>
      </c>
      <c r="B913" s="98">
        <v>46224</v>
      </c>
      <c r="C913" s="97" t="s">
        <v>51</v>
      </c>
      <c r="D913" s="5" t="s">
        <v>345</v>
      </c>
      <c r="E913" s="3" t="s">
        <v>349</v>
      </c>
      <c r="F913" s="3" t="s">
        <v>337</v>
      </c>
      <c r="G913" s="3" t="s">
        <v>338</v>
      </c>
      <c r="H913" s="3">
        <v>9306916119</v>
      </c>
      <c r="I913" s="3">
        <v>810</v>
      </c>
      <c r="J913" s="97"/>
      <c r="K913" s="97"/>
      <c r="L913" s="97"/>
      <c r="M913" s="97"/>
      <c r="N913" s="97"/>
      <c r="O913" s="6">
        <v>18630</v>
      </c>
      <c r="P913" s="97"/>
    </row>
    <row r="914" spans="1:16" ht="15.75">
      <c r="A914" s="97">
        <v>43</v>
      </c>
      <c r="B914" s="98">
        <v>46224</v>
      </c>
      <c r="C914" s="97" t="s">
        <v>51</v>
      </c>
      <c r="D914" s="5" t="s">
        <v>350</v>
      </c>
      <c r="E914" s="3" t="s">
        <v>197</v>
      </c>
      <c r="F914" s="3" t="s">
        <v>358</v>
      </c>
      <c r="G914" s="3" t="s">
        <v>364</v>
      </c>
      <c r="H914" s="3">
        <v>9319598592</v>
      </c>
      <c r="I914" s="3">
        <v>1000</v>
      </c>
      <c r="J914" s="97"/>
      <c r="K914" s="97"/>
      <c r="L914" s="97"/>
      <c r="M914" s="97"/>
      <c r="N914" s="97"/>
      <c r="O914" s="6">
        <v>25000</v>
      </c>
      <c r="P914" s="97"/>
    </row>
    <row r="915" spans="1:16" ht="15.75">
      <c r="A915" s="97">
        <v>44</v>
      </c>
      <c r="B915" s="98">
        <v>46224</v>
      </c>
      <c r="C915" s="97" t="s">
        <v>51</v>
      </c>
      <c r="D915" s="5" t="s">
        <v>351</v>
      </c>
      <c r="E915" s="3" t="s">
        <v>308</v>
      </c>
      <c r="F915" s="3" t="s">
        <v>360</v>
      </c>
      <c r="G915" s="3" t="s">
        <v>365</v>
      </c>
      <c r="H915" s="3">
        <v>9582305438</v>
      </c>
      <c r="I915" s="3">
        <v>810</v>
      </c>
      <c r="J915" s="97"/>
      <c r="K915" s="97"/>
      <c r="L915" s="97"/>
      <c r="M915" s="97"/>
      <c r="N915" s="97"/>
      <c r="O915" s="6">
        <v>18630</v>
      </c>
      <c r="P915" s="97"/>
    </row>
    <row r="916" spans="1:16" ht="15.75">
      <c r="A916" s="97">
        <v>45</v>
      </c>
      <c r="B916" s="98">
        <v>46224</v>
      </c>
      <c r="C916" s="97" t="s">
        <v>51</v>
      </c>
      <c r="D916" s="5" t="s">
        <v>352</v>
      </c>
      <c r="E916" s="3" t="s">
        <v>300</v>
      </c>
      <c r="F916" s="3" t="s">
        <v>359</v>
      </c>
      <c r="G916" s="3" t="s">
        <v>366</v>
      </c>
      <c r="H916" s="3">
        <v>9813880978</v>
      </c>
      <c r="I916" s="3">
        <v>810</v>
      </c>
      <c r="J916" s="97"/>
      <c r="K916" s="97"/>
      <c r="L916" s="97"/>
      <c r="M916" s="97"/>
      <c r="N916" s="97"/>
      <c r="O916" s="6">
        <v>18630</v>
      </c>
      <c r="P916" s="97"/>
    </row>
    <row r="917" spans="1:16" ht="15.75">
      <c r="A917" s="97">
        <v>46</v>
      </c>
      <c r="B917" s="98">
        <v>46224</v>
      </c>
      <c r="C917" s="97" t="s">
        <v>51</v>
      </c>
      <c r="D917" s="5" t="s">
        <v>353</v>
      </c>
      <c r="E917" s="3" t="s">
        <v>308</v>
      </c>
      <c r="F917" s="3" t="s">
        <v>361</v>
      </c>
      <c r="G917" s="3" t="s">
        <v>367</v>
      </c>
      <c r="H917" s="3">
        <v>9319848440</v>
      </c>
      <c r="I917" s="3">
        <v>1000</v>
      </c>
      <c r="J917" s="97"/>
      <c r="K917" s="97"/>
      <c r="L917" s="97"/>
      <c r="M917" s="97"/>
      <c r="N917" s="97"/>
      <c r="O917" s="6">
        <v>25000</v>
      </c>
      <c r="P917" s="97"/>
    </row>
    <row r="918" spans="1:16" ht="15.75">
      <c r="A918" s="97">
        <v>47</v>
      </c>
      <c r="B918" s="98">
        <v>46224</v>
      </c>
      <c r="C918" s="97" t="s">
        <v>51</v>
      </c>
      <c r="D918" s="5" t="s">
        <v>354</v>
      </c>
      <c r="E918" s="3" t="s">
        <v>308</v>
      </c>
      <c r="F918" s="3" t="s">
        <v>203</v>
      </c>
      <c r="G918" s="3" t="s">
        <v>368</v>
      </c>
      <c r="H918" s="3">
        <v>9389488234</v>
      </c>
      <c r="I918" s="3">
        <v>1000</v>
      </c>
      <c r="J918" s="97"/>
      <c r="K918" s="97"/>
      <c r="L918" s="97"/>
      <c r="M918" s="97"/>
      <c r="N918" s="97"/>
      <c r="O918" s="6">
        <v>25000</v>
      </c>
      <c r="P918" s="97"/>
    </row>
    <row r="919" spans="1:16" ht="15.75">
      <c r="A919" s="97">
        <v>48</v>
      </c>
      <c r="B919" s="98">
        <v>46224</v>
      </c>
      <c r="C919" s="97" t="s">
        <v>51</v>
      </c>
      <c r="D919" s="5" t="s">
        <v>355</v>
      </c>
      <c r="E919" s="3" t="s">
        <v>308</v>
      </c>
      <c r="F919" s="3" t="s">
        <v>362</v>
      </c>
      <c r="G919" s="3" t="s">
        <v>369</v>
      </c>
      <c r="H919" s="3">
        <v>9211692359</v>
      </c>
      <c r="I919" s="3">
        <v>1000</v>
      </c>
      <c r="J919" s="97"/>
      <c r="K919" s="97"/>
      <c r="L919" s="97"/>
      <c r="M919" s="97"/>
      <c r="N919" s="97"/>
      <c r="O919" s="6">
        <v>25000</v>
      </c>
      <c r="P919" s="97"/>
    </row>
    <row r="920" spans="1:16" ht="15.75">
      <c r="A920" s="97">
        <v>49</v>
      </c>
      <c r="B920" s="98">
        <v>46224</v>
      </c>
      <c r="C920" s="97" t="s">
        <v>51</v>
      </c>
      <c r="D920" s="5" t="s">
        <v>356</v>
      </c>
      <c r="E920" s="3" t="s">
        <v>357</v>
      </c>
      <c r="F920" s="3" t="s">
        <v>363</v>
      </c>
      <c r="G920" s="3" t="s">
        <v>68</v>
      </c>
      <c r="H920" s="3">
        <v>7027202092</v>
      </c>
      <c r="I920" s="3">
        <v>810</v>
      </c>
      <c r="J920" s="97"/>
      <c r="K920" s="97"/>
      <c r="L920" s="97"/>
      <c r="M920" s="97"/>
      <c r="N920" s="97"/>
      <c r="O920" s="6">
        <v>18630</v>
      </c>
      <c r="P920" s="97"/>
    </row>
    <row r="921" spans="1:16" ht="15.75">
      <c r="A921" s="97">
        <v>50</v>
      </c>
      <c r="B921" s="98">
        <v>46224</v>
      </c>
      <c r="C921" s="97" t="s">
        <v>51</v>
      </c>
      <c r="D921" s="5" t="s">
        <v>370</v>
      </c>
      <c r="E921" s="3" t="s">
        <v>308</v>
      </c>
      <c r="F921" s="3" t="s">
        <v>373</v>
      </c>
      <c r="G921" s="3" t="s">
        <v>375</v>
      </c>
      <c r="H921" s="3">
        <v>8929770356</v>
      </c>
      <c r="I921" s="3">
        <v>1000</v>
      </c>
      <c r="J921" s="97"/>
      <c r="K921" s="97"/>
      <c r="L921" s="97"/>
      <c r="M921" s="97"/>
      <c r="N921" s="97"/>
      <c r="O921" s="6">
        <v>25000</v>
      </c>
      <c r="P921" s="97"/>
    </row>
    <row r="922" spans="1:16" ht="15.75">
      <c r="A922" s="97">
        <v>51</v>
      </c>
      <c r="B922" s="98">
        <v>46224</v>
      </c>
      <c r="C922" s="97" t="s">
        <v>51</v>
      </c>
      <c r="D922" s="5" t="s">
        <v>371</v>
      </c>
      <c r="E922" s="3" t="s">
        <v>372</v>
      </c>
      <c r="F922" s="3" t="s">
        <v>374</v>
      </c>
      <c r="G922" s="3" t="s">
        <v>376</v>
      </c>
      <c r="H922" s="3">
        <v>9996738835</v>
      </c>
      <c r="I922" s="3">
        <v>810</v>
      </c>
      <c r="J922" s="97"/>
      <c r="K922" s="97"/>
      <c r="L922" s="97"/>
      <c r="M922" s="97"/>
      <c r="N922" s="97"/>
      <c r="O922" s="6">
        <v>18630</v>
      </c>
      <c r="P922" s="97"/>
    </row>
    <row r="923" spans="1:16" ht="15.75">
      <c r="A923" s="97">
        <v>52</v>
      </c>
      <c r="B923" s="98">
        <v>46224</v>
      </c>
      <c r="C923" s="97" t="s">
        <v>51</v>
      </c>
      <c r="D923" s="5" t="s">
        <v>377</v>
      </c>
      <c r="E923" s="3" t="s">
        <v>308</v>
      </c>
      <c r="F923" s="3" t="s">
        <v>384</v>
      </c>
      <c r="G923" s="3" t="s">
        <v>390</v>
      </c>
      <c r="H923" s="3">
        <v>9311578306</v>
      </c>
      <c r="I923" s="3">
        <v>1000</v>
      </c>
      <c r="J923" s="97"/>
      <c r="K923" s="97"/>
      <c r="L923" s="97"/>
      <c r="M923" s="97"/>
      <c r="N923" s="97"/>
      <c r="O923" s="6">
        <v>25000</v>
      </c>
      <c r="P923" s="97"/>
    </row>
    <row r="924" spans="1:16" ht="15.75">
      <c r="A924" s="97">
        <v>53</v>
      </c>
      <c r="B924" s="98">
        <v>46224</v>
      </c>
      <c r="C924" s="97" t="s">
        <v>51</v>
      </c>
      <c r="D924" s="5" t="s">
        <v>378</v>
      </c>
      <c r="E924" s="3" t="s">
        <v>308</v>
      </c>
      <c r="F924" s="3" t="s">
        <v>385</v>
      </c>
      <c r="G924" s="3" t="s">
        <v>54</v>
      </c>
      <c r="H924" s="3">
        <v>9818635674</v>
      </c>
      <c r="I924" s="3">
        <v>1000</v>
      </c>
      <c r="J924" s="97"/>
      <c r="K924" s="97"/>
      <c r="L924" s="97"/>
      <c r="M924" s="97"/>
      <c r="N924" s="97"/>
      <c r="O924" s="6">
        <v>25000</v>
      </c>
      <c r="P924" s="97"/>
    </row>
    <row r="925" spans="1:16" ht="15.75">
      <c r="A925" s="97">
        <v>54</v>
      </c>
      <c r="B925" s="98">
        <v>46224</v>
      </c>
      <c r="C925" s="97" t="s">
        <v>51</v>
      </c>
      <c r="D925" s="5" t="s">
        <v>379</v>
      </c>
      <c r="E925" s="3" t="s">
        <v>130</v>
      </c>
      <c r="F925" s="3" t="s">
        <v>132</v>
      </c>
      <c r="G925" s="3" t="s">
        <v>391</v>
      </c>
      <c r="H925" s="3">
        <v>9728976983</v>
      </c>
      <c r="I925" s="3">
        <v>810</v>
      </c>
      <c r="J925" s="97"/>
      <c r="K925" s="97"/>
      <c r="L925" s="97"/>
      <c r="M925" s="97"/>
      <c r="N925" s="97"/>
      <c r="O925" s="6">
        <v>18630</v>
      </c>
      <c r="P925" s="97"/>
    </row>
    <row r="926" spans="1:16" ht="15.75">
      <c r="A926" s="97">
        <v>55</v>
      </c>
      <c r="B926" s="98">
        <v>46224</v>
      </c>
      <c r="C926" s="97" t="s">
        <v>51</v>
      </c>
      <c r="D926" s="5" t="s">
        <v>380</v>
      </c>
      <c r="E926" s="3" t="s">
        <v>130</v>
      </c>
      <c r="F926" s="3" t="s">
        <v>386</v>
      </c>
      <c r="G926" s="3" t="s">
        <v>389</v>
      </c>
      <c r="H926" s="3">
        <v>9671616193</v>
      </c>
      <c r="I926" s="3">
        <v>810</v>
      </c>
      <c r="J926" s="97"/>
      <c r="K926" s="97"/>
      <c r="L926" s="97"/>
      <c r="M926" s="97"/>
      <c r="N926" s="97"/>
      <c r="O926" s="6">
        <v>18630</v>
      </c>
      <c r="P926" s="97"/>
    </row>
    <row r="927" spans="1:16" ht="15.75">
      <c r="A927" s="97">
        <v>56</v>
      </c>
      <c r="B927" s="98">
        <v>46224</v>
      </c>
      <c r="C927" s="97" t="s">
        <v>51</v>
      </c>
      <c r="D927" s="5" t="s">
        <v>424</v>
      </c>
      <c r="E927" s="3" t="s">
        <v>431</v>
      </c>
      <c r="F927" s="3" t="s">
        <v>435</v>
      </c>
      <c r="G927" s="3" t="s">
        <v>388</v>
      </c>
      <c r="H927" s="3">
        <v>9812971544</v>
      </c>
      <c r="I927" s="3">
        <v>1000</v>
      </c>
      <c r="J927" s="97"/>
      <c r="K927" s="97"/>
      <c r="L927" s="97"/>
      <c r="M927" s="97"/>
      <c r="N927" s="97"/>
      <c r="O927" s="6">
        <v>27000</v>
      </c>
      <c r="P927" s="97"/>
    </row>
    <row r="928" spans="1:16" ht="15.75">
      <c r="A928" s="97">
        <v>57</v>
      </c>
      <c r="B928" s="98">
        <v>46224</v>
      </c>
      <c r="C928" s="97" t="s">
        <v>51</v>
      </c>
      <c r="D928" s="5" t="s">
        <v>425</v>
      </c>
      <c r="E928" s="3" t="s">
        <v>434</v>
      </c>
      <c r="F928" s="3" t="s">
        <v>436</v>
      </c>
      <c r="G928" s="3" t="s">
        <v>439</v>
      </c>
      <c r="H928" s="3">
        <v>7027263992</v>
      </c>
      <c r="I928" s="3">
        <v>810</v>
      </c>
      <c r="J928" s="97"/>
      <c r="K928" s="97"/>
      <c r="L928" s="97"/>
      <c r="M928" s="97"/>
      <c r="N928" s="97"/>
      <c r="O928" s="6">
        <v>20250</v>
      </c>
      <c r="P928" s="97"/>
    </row>
    <row r="929" spans="1:16" ht="15.75">
      <c r="A929" s="97">
        <v>58</v>
      </c>
      <c r="B929" s="98">
        <v>46224</v>
      </c>
      <c r="C929" s="97" t="s">
        <v>51</v>
      </c>
      <c r="D929" s="5" t="s">
        <v>427</v>
      </c>
      <c r="E929" s="3" t="s">
        <v>433</v>
      </c>
      <c r="F929" s="3" t="s">
        <v>437</v>
      </c>
      <c r="G929" s="3" t="s">
        <v>440</v>
      </c>
      <c r="H929" s="3">
        <v>9992517804</v>
      </c>
      <c r="I929" s="3">
        <v>1000</v>
      </c>
      <c r="J929" s="97"/>
      <c r="K929" s="97"/>
      <c r="L929" s="97"/>
      <c r="M929" s="97"/>
      <c r="N929" s="97"/>
      <c r="O929" s="6">
        <v>27000</v>
      </c>
      <c r="P929" s="97"/>
    </row>
    <row r="930" spans="1:16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</row>
    <row r="931" spans="1:16">
      <c r="A931" s="97"/>
      <c r="B931" s="97"/>
      <c r="C931" s="97"/>
      <c r="D931" s="97"/>
      <c r="E931" s="97"/>
      <c r="F931" s="97"/>
      <c r="G931" s="97"/>
      <c r="H931" s="97"/>
      <c r="I931" s="97">
        <f>SUM(I872:I930)</f>
        <v>48680</v>
      </c>
      <c r="J931" s="97"/>
      <c r="K931" s="97"/>
      <c r="L931" s="97"/>
      <c r="M931" s="97"/>
      <c r="N931" s="97"/>
      <c r="O931" s="97">
        <f>SUM(O872:O930)</f>
        <v>1103510</v>
      </c>
      <c r="P931" s="97"/>
    </row>
    <row r="936" spans="1:16" ht="27.75">
      <c r="A936" s="142" t="s">
        <v>102</v>
      </c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</row>
    <row r="937" spans="1:16" ht="75">
      <c r="A937" s="1" t="s">
        <v>87</v>
      </c>
      <c r="B937" s="1" t="s">
        <v>103</v>
      </c>
      <c r="C937" s="1" t="s">
        <v>88</v>
      </c>
      <c r="D937" s="1" t="s">
        <v>104</v>
      </c>
      <c r="E937" s="1" t="s">
        <v>105</v>
      </c>
      <c r="F937" s="1" t="s">
        <v>106</v>
      </c>
      <c r="G937" s="1" t="s">
        <v>93</v>
      </c>
      <c r="H937" s="1" t="s">
        <v>107</v>
      </c>
      <c r="I937" s="1" t="s">
        <v>108</v>
      </c>
      <c r="J937" s="1" t="s">
        <v>109</v>
      </c>
      <c r="K937" s="1" t="s">
        <v>110</v>
      </c>
      <c r="L937" s="1" t="s">
        <v>21</v>
      </c>
      <c r="M937" s="1" t="s">
        <v>45</v>
      </c>
      <c r="N937" s="1" t="s">
        <v>111</v>
      </c>
      <c r="O937" s="2" t="s">
        <v>112</v>
      </c>
      <c r="P937" s="1" t="s">
        <v>113</v>
      </c>
    </row>
    <row r="938" spans="1:16" ht="15.75">
      <c r="A938" s="97">
        <v>1</v>
      </c>
      <c r="B938" s="98">
        <v>46225</v>
      </c>
      <c r="C938" s="97" t="s">
        <v>51</v>
      </c>
      <c r="D938" s="5" t="s">
        <v>56</v>
      </c>
      <c r="E938" s="5" t="s">
        <v>49</v>
      </c>
      <c r="F938" s="5" t="s">
        <v>53</v>
      </c>
      <c r="G938" s="5" t="s">
        <v>54</v>
      </c>
      <c r="H938" s="5">
        <v>9416205447</v>
      </c>
      <c r="I938" s="5">
        <v>750</v>
      </c>
      <c r="J938" s="97"/>
      <c r="K938" s="97"/>
      <c r="L938" s="97"/>
      <c r="M938" s="97"/>
      <c r="N938" s="97"/>
      <c r="O938" s="5">
        <v>10500</v>
      </c>
      <c r="P938" s="97"/>
    </row>
    <row r="939" spans="1:16" ht="15.75">
      <c r="A939" s="97">
        <v>2</v>
      </c>
      <c r="B939" s="98">
        <v>46225</v>
      </c>
      <c r="C939" s="97" t="s">
        <v>51</v>
      </c>
      <c r="D939" s="5" t="s">
        <v>61</v>
      </c>
      <c r="E939" s="5" t="s">
        <v>58</v>
      </c>
      <c r="F939" s="5" t="s">
        <v>59</v>
      </c>
      <c r="G939" s="5" t="s">
        <v>60</v>
      </c>
      <c r="H939" s="5">
        <v>7082390753</v>
      </c>
      <c r="I939" s="5">
        <v>750</v>
      </c>
      <c r="J939" s="97"/>
      <c r="K939" s="97"/>
      <c r="L939" s="97"/>
      <c r="M939" s="97"/>
      <c r="N939" s="97"/>
      <c r="O939" s="5">
        <v>10500</v>
      </c>
      <c r="P939" s="97"/>
    </row>
    <row r="940" spans="1:16" ht="15.75">
      <c r="A940" s="97">
        <v>3</v>
      </c>
      <c r="B940" s="98">
        <v>46225</v>
      </c>
      <c r="C940" s="97" t="s">
        <v>51</v>
      </c>
      <c r="D940" s="5" t="s">
        <v>65</v>
      </c>
      <c r="E940" s="5" t="s">
        <v>62</v>
      </c>
      <c r="F940" s="5" t="s">
        <v>63</v>
      </c>
      <c r="G940" s="5" t="s">
        <v>64</v>
      </c>
      <c r="H940" s="5">
        <v>9050560127</v>
      </c>
      <c r="I940" s="5">
        <v>750</v>
      </c>
      <c r="J940" s="97"/>
      <c r="K940" s="97"/>
      <c r="L940" s="97"/>
      <c r="M940" s="97"/>
      <c r="N940" s="97"/>
      <c r="O940" s="5">
        <v>10500</v>
      </c>
      <c r="P940" s="97"/>
    </row>
    <row r="941" spans="1:16" ht="15.75">
      <c r="A941" s="97">
        <v>4</v>
      </c>
      <c r="B941" s="98">
        <v>46225</v>
      </c>
      <c r="C941" s="97" t="s">
        <v>51</v>
      </c>
      <c r="D941" s="5" t="s">
        <v>76</v>
      </c>
      <c r="E941" s="5" t="s">
        <v>62</v>
      </c>
      <c r="F941" s="6" t="s">
        <v>74</v>
      </c>
      <c r="G941" s="6" t="s">
        <v>75</v>
      </c>
      <c r="H941" s="6">
        <v>8607782625</v>
      </c>
      <c r="I941" s="5">
        <v>750</v>
      </c>
      <c r="J941" s="97"/>
      <c r="K941" s="97"/>
      <c r="L941" s="97"/>
      <c r="M941" s="97"/>
      <c r="N941" s="97"/>
      <c r="O941" s="5">
        <v>10500</v>
      </c>
      <c r="P941" s="97"/>
    </row>
    <row r="942" spans="1:16" ht="15.75">
      <c r="A942" s="97">
        <v>5</v>
      </c>
      <c r="B942" s="98">
        <v>46225</v>
      </c>
      <c r="C942" s="97" t="s">
        <v>51</v>
      </c>
      <c r="D942" s="5" t="s">
        <v>116</v>
      </c>
      <c r="E942" s="10" t="s">
        <v>118</v>
      </c>
      <c r="F942" s="10" t="s">
        <v>122</v>
      </c>
      <c r="G942" s="10" t="s">
        <v>126</v>
      </c>
      <c r="H942" s="10">
        <v>9971164371</v>
      </c>
      <c r="I942" s="10">
        <v>750</v>
      </c>
      <c r="J942" s="97"/>
      <c r="K942" s="97"/>
      <c r="L942" s="97"/>
      <c r="M942" s="97"/>
      <c r="N942" s="97"/>
      <c r="O942" s="5">
        <v>11250</v>
      </c>
      <c r="P942" s="97"/>
    </row>
    <row r="943" spans="1:16" ht="15.75">
      <c r="A943" s="97">
        <v>6</v>
      </c>
      <c r="B943" s="98">
        <v>46225</v>
      </c>
      <c r="C943" s="97" t="s">
        <v>51</v>
      </c>
      <c r="D943" s="5" t="s">
        <v>117</v>
      </c>
      <c r="E943" s="10" t="s">
        <v>119</v>
      </c>
      <c r="F943" s="10" t="s">
        <v>123</v>
      </c>
      <c r="G943" s="10" t="s">
        <v>127</v>
      </c>
      <c r="H943" s="10">
        <v>8816966347</v>
      </c>
      <c r="I943" s="10">
        <v>750</v>
      </c>
      <c r="J943" s="97"/>
      <c r="K943" s="97"/>
      <c r="L943" s="97"/>
      <c r="M943" s="97"/>
      <c r="N943" s="97"/>
      <c r="O943" s="5">
        <v>11250</v>
      </c>
      <c r="P943" s="97"/>
    </row>
    <row r="944" spans="1:16" ht="15.75">
      <c r="A944" s="97">
        <v>7</v>
      </c>
      <c r="B944" s="98">
        <v>46225</v>
      </c>
      <c r="C944" s="97" t="s">
        <v>51</v>
      </c>
      <c r="D944" s="5" t="s">
        <v>146</v>
      </c>
      <c r="E944" s="5" t="s">
        <v>128</v>
      </c>
      <c r="F944" s="5" t="s">
        <v>131</v>
      </c>
      <c r="G944" s="5" t="s">
        <v>139</v>
      </c>
      <c r="H944" s="5">
        <v>8295428639</v>
      </c>
      <c r="I944" s="5">
        <v>800</v>
      </c>
      <c r="J944" s="97"/>
      <c r="K944" s="97"/>
      <c r="L944" s="97"/>
      <c r="M944" s="97"/>
      <c r="N944" s="97"/>
      <c r="O944" s="5">
        <v>19200</v>
      </c>
      <c r="P944" s="97"/>
    </row>
    <row r="945" spans="1:16" ht="15.75">
      <c r="A945" s="97">
        <v>8</v>
      </c>
      <c r="B945" s="98">
        <v>46225</v>
      </c>
      <c r="C945" s="97" t="s">
        <v>51</v>
      </c>
      <c r="D945" s="5" t="s">
        <v>148</v>
      </c>
      <c r="E945" s="5" t="s">
        <v>130</v>
      </c>
      <c r="F945" s="5" t="s">
        <v>133</v>
      </c>
      <c r="G945" s="5" t="s">
        <v>68</v>
      </c>
      <c r="H945" s="5">
        <v>9050180519</v>
      </c>
      <c r="I945" s="6">
        <v>750</v>
      </c>
      <c r="J945" s="97"/>
      <c r="K945" s="97"/>
      <c r="L945" s="97"/>
      <c r="M945" s="97"/>
      <c r="N945" s="97"/>
      <c r="O945" s="5">
        <v>12000</v>
      </c>
      <c r="P945" s="97"/>
    </row>
    <row r="946" spans="1:16" ht="15.75">
      <c r="A946" s="97">
        <v>9</v>
      </c>
      <c r="B946" s="98">
        <v>46225</v>
      </c>
      <c r="C946" s="97" t="s">
        <v>51</v>
      </c>
      <c r="D946" s="5" t="s">
        <v>149</v>
      </c>
      <c r="E946" s="5" t="s">
        <v>119</v>
      </c>
      <c r="F946" s="5" t="s">
        <v>134</v>
      </c>
      <c r="G946" s="5" t="s">
        <v>141</v>
      </c>
      <c r="H946" s="5">
        <v>9671597235</v>
      </c>
      <c r="I946" s="5">
        <v>800</v>
      </c>
      <c r="J946" s="97"/>
      <c r="K946" s="97"/>
      <c r="L946" s="97"/>
      <c r="M946" s="97"/>
      <c r="N946" s="97"/>
      <c r="O946" s="5">
        <v>19200</v>
      </c>
      <c r="P946" s="97"/>
    </row>
    <row r="947" spans="1:16" ht="15.75">
      <c r="A947" s="97">
        <v>10</v>
      </c>
      <c r="B947" s="98">
        <v>46225</v>
      </c>
      <c r="C947" s="97" t="s">
        <v>51</v>
      </c>
      <c r="D947" s="5" t="s">
        <v>150</v>
      </c>
      <c r="E947" s="5" t="s">
        <v>119</v>
      </c>
      <c r="F947" s="5" t="s">
        <v>135</v>
      </c>
      <c r="G947" s="5" t="s">
        <v>142</v>
      </c>
      <c r="H947" s="5">
        <v>9729501850</v>
      </c>
      <c r="I947" s="5">
        <v>800</v>
      </c>
      <c r="J947" s="97"/>
      <c r="K947" s="97"/>
      <c r="L947" s="97"/>
      <c r="M947" s="97"/>
      <c r="N947" s="97"/>
      <c r="O947" s="5">
        <v>19200</v>
      </c>
      <c r="P947" s="97"/>
    </row>
    <row r="948" spans="1:16" ht="15.75">
      <c r="A948" s="97">
        <v>11</v>
      </c>
      <c r="B948" s="98">
        <v>46225</v>
      </c>
      <c r="C948" s="97" t="s">
        <v>51</v>
      </c>
      <c r="D948" s="5" t="s">
        <v>152</v>
      </c>
      <c r="E948" s="5" t="s">
        <v>119</v>
      </c>
      <c r="F948" s="5" t="s">
        <v>137</v>
      </c>
      <c r="G948" s="5" t="s">
        <v>144</v>
      </c>
      <c r="H948" s="5">
        <v>9991638771</v>
      </c>
      <c r="I948" s="5">
        <v>800</v>
      </c>
      <c r="J948" s="97"/>
      <c r="K948" s="97"/>
      <c r="L948" s="97"/>
      <c r="M948" s="97"/>
      <c r="N948" s="97"/>
      <c r="O948" s="5">
        <v>19200</v>
      </c>
      <c r="P948" s="97"/>
    </row>
    <row r="949" spans="1:16" ht="15.75">
      <c r="A949" s="97">
        <v>12</v>
      </c>
      <c r="B949" s="98">
        <v>46225</v>
      </c>
      <c r="C949" s="97" t="s">
        <v>51</v>
      </c>
      <c r="D949" s="5" t="s">
        <v>158</v>
      </c>
      <c r="E949" s="10" t="s">
        <v>119</v>
      </c>
      <c r="F949" s="10" t="s">
        <v>71</v>
      </c>
      <c r="G949" s="10" t="s">
        <v>167</v>
      </c>
      <c r="H949" s="10">
        <v>9992401965</v>
      </c>
      <c r="I949" s="5">
        <v>800</v>
      </c>
      <c r="J949" s="97"/>
      <c r="K949" s="97"/>
      <c r="L949" s="97"/>
      <c r="M949" s="97"/>
      <c r="N949" s="97"/>
      <c r="O949" s="5">
        <v>19200</v>
      </c>
      <c r="P949" s="97"/>
    </row>
    <row r="950" spans="1:16" ht="15.75">
      <c r="A950" s="97">
        <v>13</v>
      </c>
      <c r="B950" s="98">
        <v>46225</v>
      </c>
      <c r="C950" s="97" t="s">
        <v>51</v>
      </c>
      <c r="D950" s="5" t="s">
        <v>159</v>
      </c>
      <c r="E950" s="10" t="s">
        <v>171</v>
      </c>
      <c r="F950" s="10" t="s">
        <v>163</v>
      </c>
      <c r="G950" s="10" t="s">
        <v>168</v>
      </c>
      <c r="H950" s="10">
        <v>7404474940</v>
      </c>
      <c r="I950" s="6">
        <v>750</v>
      </c>
      <c r="J950" s="97"/>
      <c r="K950" s="97"/>
      <c r="L950" s="97"/>
      <c r="M950" s="97"/>
      <c r="N950" s="97"/>
      <c r="O950" s="5">
        <v>12000</v>
      </c>
      <c r="P950" s="97"/>
    </row>
    <row r="951" spans="1:16" ht="15.75">
      <c r="A951" s="97">
        <v>14</v>
      </c>
      <c r="B951" s="98">
        <v>46225</v>
      </c>
      <c r="C951" s="97" t="s">
        <v>51</v>
      </c>
      <c r="D951" s="5" t="s">
        <v>160</v>
      </c>
      <c r="E951" s="10" t="s">
        <v>172</v>
      </c>
      <c r="F951" s="10" t="s">
        <v>164</v>
      </c>
      <c r="G951" s="10" t="s">
        <v>169</v>
      </c>
      <c r="H951" s="10">
        <v>9540614028</v>
      </c>
      <c r="I951" s="5">
        <v>800</v>
      </c>
      <c r="J951" s="97"/>
      <c r="K951" s="97"/>
      <c r="L951" s="97"/>
      <c r="M951" s="97"/>
      <c r="N951" s="97"/>
      <c r="O951" s="5">
        <v>19200</v>
      </c>
      <c r="P951" s="97"/>
    </row>
    <row r="952" spans="1:16" ht="15.75">
      <c r="A952" s="97">
        <v>15</v>
      </c>
      <c r="B952" s="98">
        <v>46225</v>
      </c>
      <c r="C952" s="97" t="s">
        <v>51</v>
      </c>
      <c r="D952" s="5" t="s">
        <v>161</v>
      </c>
      <c r="E952" s="10" t="s">
        <v>119</v>
      </c>
      <c r="F952" s="10" t="s">
        <v>165</v>
      </c>
      <c r="G952" s="10" t="s">
        <v>140</v>
      </c>
      <c r="H952" s="10">
        <v>8395910861</v>
      </c>
      <c r="I952" s="6">
        <v>750</v>
      </c>
      <c r="J952" s="97"/>
      <c r="K952" s="97"/>
      <c r="L952" s="97"/>
      <c r="M952" s="97"/>
      <c r="N952" s="97"/>
      <c r="O952" s="5">
        <v>12000</v>
      </c>
      <c r="P952" s="97"/>
    </row>
    <row r="953" spans="1:16" ht="15.75">
      <c r="A953" s="97">
        <v>16</v>
      </c>
      <c r="B953" s="98">
        <v>46225</v>
      </c>
      <c r="C953" s="97" t="s">
        <v>51</v>
      </c>
      <c r="D953" s="5" t="s">
        <v>162</v>
      </c>
      <c r="E953" s="10" t="s">
        <v>119</v>
      </c>
      <c r="F953" s="10" t="s">
        <v>166</v>
      </c>
      <c r="G953" s="10" t="s">
        <v>170</v>
      </c>
      <c r="H953" s="10">
        <v>9671227093</v>
      </c>
      <c r="I953" s="5">
        <v>800</v>
      </c>
      <c r="J953" s="97"/>
      <c r="K953" s="97"/>
      <c r="L953" s="97"/>
      <c r="M953" s="97"/>
      <c r="N953" s="97"/>
      <c r="O953" s="5">
        <v>19200</v>
      </c>
      <c r="P953" s="97"/>
    </row>
    <row r="954" spans="1:16" ht="15.75">
      <c r="A954" s="97">
        <v>17</v>
      </c>
      <c r="B954" s="98">
        <v>46225</v>
      </c>
      <c r="C954" s="97" t="s">
        <v>51</v>
      </c>
      <c r="D954" s="5" t="s">
        <v>174</v>
      </c>
      <c r="E954" s="5" t="s">
        <v>177</v>
      </c>
      <c r="F954" s="10" t="s">
        <v>179</v>
      </c>
      <c r="G954" s="10" t="s">
        <v>181</v>
      </c>
      <c r="H954" s="10">
        <v>9991575314</v>
      </c>
      <c r="I954" s="3">
        <v>800</v>
      </c>
      <c r="J954" s="97"/>
      <c r="K954" s="97"/>
      <c r="L954" s="97"/>
      <c r="M954" s="97"/>
      <c r="N954" s="97"/>
      <c r="O954" s="5">
        <v>20000</v>
      </c>
      <c r="P954" s="97"/>
    </row>
    <row r="955" spans="1:16" ht="15.75">
      <c r="A955" s="97">
        <v>18</v>
      </c>
      <c r="B955" s="98">
        <v>46225</v>
      </c>
      <c r="C955" s="97" t="s">
        <v>51</v>
      </c>
      <c r="D955" s="5" t="s">
        <v>175</v>
      </c>
      <c r="E955" s="10" t="s">
        <v>171</v>
      </c>
      <c r="F955" s="10" t="s">
        <v>180</v>
      </c>
      <c r="G955" s="10" t="s">
        <v>182</v>
      </c>
      <c r="H955" s="10">
        <v>8814086202</v>
      </c>
      <c r="I955" s="3">
        <v>750</v>
      </c>
      <c r="J955" s="97"/>
      <c r="K955" s="97"/>
      <c r="L955" s="97"/>
      <c r="M955" s="97"/>
      <c r="N955" s="97"/>
      <c r="O955" s="5">
        <v>12000</v>
      </c>
      <c r="P955" s="97"/>
    </row>
    <row r="956" spans="1:16" ht="15.75">
      <c r="A956" s="97">
        <v>19</v>
      </c>
      <c r="B956" s="98">
        <v>46225</v>
      </c>
      <c r="C956" s="97" t="s">
        <v>51</v>
      </c>
      <c r="D956" s="5" t="s">
        <v>176</v>
      </c>
      <c r="E956" s="10" t="s">
        <v>178</v>
      </c>
      <c r="F956" s="10" t="s">
        <v>165</v>
      </c>
      <c r="G956" s="10" t="s">
        <v>183</v>
      </c>
      <c r="H956" s="10">
        <v>9991361344</v>
      </c>
      <c r="I956" s="3">
        <v>750</v>
      </c>
      <c r="J956" s="97"/>
      <c r="K956" s="97"/>
      <c r="L956" s="97"/>
      <c r="M956" s="97"/>
      <c r="N956" s="97"/>
      <c r="O956" s="5">
        <v>12750</v>
      </c>
      <c r="P956" s="97"/>
    </row>
    <row r="957" spans="1:16" ht="15.75">
      <c r="A957" s="97">
        <v>20</v>
      </c>
      <c r="B957" s="98">
        <v>46225</v>
      </c>
      <c r="C957" s="97" t="s">
        <v>51</v>
      </c>
      <c r="D957" s="5" t="s">
        <v>194</v>
      </c>
      <c r="E957" s="10" t="s">
        <v>197</v>
      </c>
      <c r="F957" s="10" t="s">
        <v>71</v>
      </c>
      <c r="G957" s="10" t="s">
        <v>125</v>
      </c>
      <c r="H957" s="10">
        <v>9053156064</v>
      </c>
      <c r="I957" s="3">
        <v>750</v>
      </c>
      <c r="J957" s="97"/>
      <c r="K957" s="97"/>
      <c r="L957" s="97"/>
      <c r="M957" s="97"/>
      <c r="N957" s="97"/>
      <c r="O957" s="5">
        <v>13500</v>
      </c>
      <c r="P957" s="97"/>
    </row>
    <row r="958" spans="1:16" ht="15.75">
      <c r="A958" s="97">
        <v>21</v>
      </c>
      <c r="B958" s="98">
        <v>46225</v>
      </c>
      <c r="C958" s="97" t="s">
        <v>51</v>
      </c>
      <c r="D958" s="5" t="s">
        <v>199</v>
      </c>
      <c r="E958" s="10" t="s">
        <v>197</v>
      </c>
      <c r="F958" s="10" t="s">
        <v>53</v>
      </c>
      <c r="G958" s="10" t="s">
        <v>204</v>
      </c>
      <c r="H958" s="10">
        <v>9813304531</v>
      </c>
      <c r="I958" s="3">
        <v>750</v>
      </c>
      <c r="J958" s="97"/>
      <c r="K958" s="97"/>
      <c r="L958" s="97"/>
      <c r="M958" s="97"/>
      <c r="N958" s="97"/>
      <c r="O958" s="5">
        <v>13500</v>
      </c>
      <c r="P958" s="97"/>
    </row>
    <row r="959" spans="1:16" ht="15.75">
      <c r="A959" s="97">
        <v>22</v>
      </c>
      <c r="B959" s="98">
        <v>46225</v>
      </c>
      <c r="C959" s="97" t="s">
        <v>51</v>
      </c>
      <c r="D959" s="5" t="s">
        <v>200</v>
      </c>
      <c r="E959" s="10" t="s">
        <v>197</v>
      </c>
      <c r="F959" s="10" t="s">
        <v>121</v>
      </c>
      <c r="G959" s="10" t="s">
        <v>140</v>
      </c>
      <c r="H959" s="10">
        <v>8930321437</v>
      </c>
      <c r="I959" s="3">
        <v>800</v>
      </c>
      <c r="J959" s="97"/>
      <c r="K959" s="97"/>
      <c r="L959" s="97"/>
      <c r="M959" s="97"/>
      <c r="N959" s="97"/>
      <c r="O959" s="5">
        <v>20800</v>
      </c>
      <c r="P959" s="97"/>
    </row>
    <row r="960" spans="1:16" ht="15.75">
      <c r="A960" s="97">
        <v>23</v>
      </c>
      <c r="B960" s="98">
        <v>46225</v>
      </c>
      <c r="C960" s="97" t="s">
        <v>51</v>
      </c>
      <c r="D960" s="5" t="s">
        <v>201</v>
      </c>
      <c r="E960" s="10" t="s">
        <v>206</v>
      </c>
      <c r="F960" s="10" t="s">
        <v>165</v>
      </c>
      <c r="G960" s="10" t="s">
        <v>205</v>
      </c>
      <c r="H960" s="10">
        <v>8295267191</v>
      </c>
      <c r="I960" s="3">
        <v>800</v>
      </c>
      <c r="J960" s="97"/>
      <c r="K960" s="97"/>
      <c r="L960" s="97"/>
      <c r="M960" s="97"/>
      <c r="N960" s="97"/>
      <c r="O960" s="5">
        <v>20800</v>
      </c>
      <c r="P960" s="97"/>
    </row>
    <row r="961" spans="1:16" ht="15.75">
      <c r="A961" s="97">
        <v>24</v>
      </c>
      <c r="B961" s="98">
        <v>46225</v>
      </c>
      <c r="C961" s="97" t="s">
        <v>51</v>
      </c>
      <c r="D961" s="5" t="s">
        <v>202</v>
      </c>
      <c r="E961" s="10" t="s">
        <v>118</v>
      </c>
      <c r="F961" s="10" t="s">
        <v>203</v>
      </c>
      <c r="G961" s="10" t="s">
        <v>185</v>
      </c>
      <c r="H961" s="10">
        <v>7988050867</v>
      </c>
      <c r="I961" s="3">
        <v>750</v>
      </c>
      <c r="J961" s="97"/>
      <c r="K961" s="97"/>
      <c r="L961" s="97"/>
      <c r="M961" s="97"/>
      <c r="N961" s="97"/>
      <c r="O961" s="5">
        <v>13500</v>
      </c>
      <c r="P961" s="97"/>
    </row>
    <row r="962" spans="1:16" ht="15.75">
      <c r="A962" s="97">
        <v>25</v>
      </c>
      <c r="B962" s="98">
        <v>46225</v>
      </c>
      <c r="C962" s="97" t="s">
        <v>51</v>
      </c>
      <c r="D962" s="5" t="s">
        <v>208</v>
      </c>
      <c r="E962" s="10" t="s">
        <v>49</v>
      </c>
      <c r="F962" s="10" t="s">
        <v>215</v>
      </c>
      <c r="G962" s="10" t="s">
        <v>216</v>
      </c>
      <c r="H962" s="10">
        <v>9812012403</v>
      </c>
      <c r="I962" s="3">
        <v>800</v>
      </c>
      <c r="J962" s="97"/>
      <c r="K962" s="97"/>
      <c r="L962" s="97"/>
      <c r="M962" s="97"/>
      <c r="N962" s="97"/>
      <c r="O962" s="5">
        <v>20800</v>
      </c>
      <c r="P962" s="97"/>
    </row>
    <row r="963" spans="1:16" ht="15.75">
      <c r="A963" s="97">
        <v>26</v>
      </c>
      <c r="B963" s="98">
        <v>46225</v>
      </c>
      <c r="C963" s="97" t="s">
        <v>51</v>
      </c>
      <c r="D963" s="5" t="s">
        <v>262</v>
      </c>
      <c r="E963" s="10" t="s">
        <v>197</v>
      </c>
      <c r="F963" s="10" t="s">
        <v>247</v>
      </c>
      <c r="G963" s="10" t="s">
        <v>267</v>
      </c>
      <c r="H963" s="10">
        <v>7027082504</v>
      </c>
      <c r="I963" s="3">
        <v>800</v>
      </c>
      <c r="J963" s="97"/>
      <c r="K963" s="97"/>
      <c r="L963" s="97"/>
      <c r="M963" s="97"/>
      <c r="N963" s="97"/>
      <c r="O963" s="5">
        <v>22400</v>
      </c>
      <c r="P963" s="97"/>
    </row>
    <row r="964" spans="1:16" ht="15.75">
      <c r="A964" s="97">
        <v>27</v>
      </c>
      <c r="B964" s="98">
        <v>46225</v>
      </c>
      <c r="C964" s="97" t="s">
        <v>51</v>
      </c>
      <c r="D964" s="5" t="s">
        <v>264</v>
      </c>
      <c r="E964" s="10" t="s">
        <v>49</v>
      </c>
      <c r="F964" s="10" t="s">
        <v>254</v>
      </c>
      <c r="G964" s="10" t="s">
        <v>269</v>
      </c>
      <c r="H964" s="10">
        <v>9729160317</v>
      </c>
      <c r="I964" s="3">
        <v>750</v>
      </c>
      <c r="J964" s="97"/>
      <c r="K964" s="97"/>
      <c r="L964" s="97"/>
      <c r="M964" s="97"/>
      <c r="N964" s="97"/>
      <c r="O964" s="5">
        <v>14250</v>
      </c>
      <c r="P964" s="97"/>
    </row>
    <row r="965" spans="1:16" ht="15.75">
      <c r="A965" s="97">
        <v>28</v>
      </c>
      <c r="B965" s="98">
        <v>46225</v>
      </c>
      <c r="C965" s="97" t="s">
        <v>51</v>
      </c>
      <c r="D965" s="5" t="s">
        <v>265</v>
      </c>
      <c r="E965" s="10" t="s">
        <v>49</v>
      </c>
      <c r="F965" s="10" t="s">
        <v>261</v>
      </c>
      <c r="G965" s="10" t="s">
        <v>270</v>
      </c>
      <c r="H965" s="10">
        <v>9991081679</v>
      </c>
      <c r="I965" s="3">
        <v>800</v>
      </c>
      <c r="J965" s="97"/>
      <c r="K965" s="97"/>
      <c r="L965" s="97"/>
      <c r="M965" s="97"/>
      <c r="N965" s="97"/>
      <c r="O965" s="5">
        <v>22400</v>
      </c>
      <c r="P965" s="97"/>
    </row>
    <row r="966" spans="1:16" ht="15.75">
      <c r="A966" s="97">
        <v>29</v>
      </c>
      <c r="B966" s="98">
        <v>46225</v>
      </c>
      <c r="C966" s="97" t="s">
        <v>51</v>
      </c>
      <c r="D966" s="5" t="s">
        <v>275</v>
      </c>
      <c r="E966" s="10" t="s">
        <v>278</v>
      </c>
      <c r="F966" s="10" t="s">
        <v>271</v>
      </c>
      <c r="G966" s="10" t="s">
        <v>280</v>
      </c>
      <c r="H966" s="10">
        <v>9466502084</v>
      </c>
      <c r="I966" s="3">
        <v>750</v>
      </c>
      <c r="J966" s="97"/>
      <c r="K966" s="97"/>
      <c r="L966" s="97"/>
      <c r="M966" s="97"/>
      <c r="N966" s="97"/>
      <c r="O966" s="5">
        <v>15000</v>
      </c>
      <c r="P966" s="97"/>
    </row>
    <row r="967" spans="1:16" ht="15.75">
      <c r="A967" s="97">
        <v>30</v>
      </c>
      <c r="B967" s="98">
        <v>46225</v>
      </c>
      <c r="C967" s="97" t="s">
        <v>51</v>
      </c>
      <c r="D967" s="5" t="s">
        <v>276</v>
      </c>
      <c r="E967" s="10" t="s">
        <v>279</v>
      </c>
      <c r="F967" s="10" t="s">
        <v>272</v>
      </c>
      <c r="G967" s="10" t="s">
        <v>281</v>
      </c>
      <c r="H967" s="10">
        <v>8168586120</v>
      </c>
      <c r="I967" s="3">
        <v>800</v>
      </c>
      <c r="J967" s="97"/>
      <c r="K967" s="97"/>
      <c r="L967" s="97"/>
      <c r="M967" s="97"/>
      <c r="N967" s="97"/>
      <c r="O967" s="5">
        <v>22400</v>
      </c>
      <c r="P967" s="97"/>
    </row>
    <row r="968" spans="1:16" ht="15.75">
      <c r="A968" s="97">
        <v>31</v>
      </c>
      <c r="B968" s="98">
        <v>46225</v>
      </c>
      <c r="C968" s="97" t="s">
        <v>51</v>
      </c>
      <c r="D968" s="5" t="s">
        <v>277</v>
      </c>
      <c r="E968" s="10" t="s">
        <v>49</v>
      </c>
      <c r="F968" s="10" t="s">
        <v>273</v>
      </c>
      <c r="G968" s="10" t="s">
        <v>282</v>
      </c>
      <c r="H968" s="10">
        <v>8295507421</v>
      </c>
      <c r="I968" s="3">
        <v>800</v>
      </c>
      <c r="J968" s="97"/>
      <c r="K968" s="97"/>
      <c r="L968" s="97"/>
      <c r="M968" s="97"/>
      <c r="N968" s="97"/>
      <c r="O968" s="5">
        <v>22400</v>
      </c>
      <c r="P968" s="97"/>
    </row>
    <row r="969" spans="1:16" ht="15.75">
      <c r="A969" s="97">
        <v>32</v>
      </c>
      <c r="B969" s="98">
        <v>46225</v>
      </c>
      <c r="C969" s="97" t="s">
        <v>51</v>
      </c>
      <c r="D969" s="5" t="s">
        <v>255</v>
      </c>
      <c r="E969" s="10" t="s">
        <v>278</v>
      </c>
      <c r="F969" s="10" t="s">
        <v>274</v>
      </c>
      <c r="G969" s="10" t="s">
        <v>189</v>
      </c>
      <c r="H969" s="10">
        <v>7828359630</v>
      </c>
      <c r="I969" s="3">
        <v>750</v>
      </c>
      <c r="J969" s="97"/>
      <c r="K969" s="97"/>
      <c r="L969" s="97"/>
      <c r="M969" s="97"/>
      <c r="N969" s="97"/>
      <c r="O969" s="5">
        <v>15000</v>
      </c>
      <c r="P969" s="97"/>
    </row>
    <row r="970" spans="1:16" ht="15.75">
      <c r="A970" s="97">
        <v>33</v>
      </c>
      <c r="B970" s="98">
        <v>46225</v>
      </c>
      <c r="C970" s="97" t="s">
        <v>51</v>
      </c>
      <c r="D970" s="5" t="s">
        <v>286</v>
      </c>
      <c r="E970" s="3" t="s">
        <v>49</v>
      </c>
      <c r="F970" s="3" t="s">
        <v>285</v>
      </c>
      <c r="G970" s="3" t="s">
        <v>293</v>
      </c>
      <c r="H970" s="3">
        <v>9671634311</v>
      </c>
      <c r="I970" s="3">
        <v>800</v>
      </c>
      <c r="J970" s="97"/>
      <c r="K970" s="97"/>
      <c r="L970" s="97"/>
      <c r="M970" s="97"/>
      <c r="N970" s="97"/>
      <c r="O970" s="5">
        <v>23200</v>
      </c>
      <c r="P970" s="97"/>
    </row>
    <row r="971" spans="1:16" ht="15.75">
      <c r="A971" s="97">
        <v>34</v>
      </c>
      <c r="B971" s="98">
        <v>46225</v>
      </c>
      <c r="C971" s="97" t="s">
        <v>51</v>
      </c>
      <c r="D971" s="5" t="s">
        <v>287</v>
      </c>
      <c r="E971" s="3" t="s">
        <v>130</v>
      </c>
      <c r="F971" s="3" t="s">
        <v>284</v>
      </c>
      <c r="G971" s="3" t="s">
        <v>294</v>
      </c>
      <c r="H971" s="3">
        <v>9671393271</v>
      </c>
      <c r="I971" s="3">
        <v>800</v>
      </c>
      <c r="J971" s="97"/>
      <c r="K971" s="97"/>
      <c r="L971" s="97"/>
      <c r="M971" s="97"/>
      <c r="N971" s="97"/>
      <c r="O971" s="5">
        <v>23200</v>
      </c>
      <c r="P971" s="97"/>
    </row>
    <row r="972" spans="1:16" ht="15.75">
      <c r="A972" s="97">
        <v>35</v>
      </c>
      <c r="B972" s="98">
        <v>46225</v>
      </c>
      <c r="C972" s="97" t="s">
        <v>51</v>
      </c>
      <c r="D972" s="6" t="s">
        <v>299</v>
      </c>
      <c r="E972" s="3" t="s">
        <v>130</v>
      </c>
      <c r="F972" s="3" t="s">
        <v>301</v>
      </c>
      <c r="G972" s="3" t="s">
        <v>303</v>
      </c>
      <c r="H972" s="3">
        <v>8397097184</v>
      </c>
      <c r="I972" s="3">
        <v>800</v>
      </c>
      <c r="J972" s="97"/>
      <c r="K972" s="97"/>
      <c r="L972" s="97"/>
      <c r="M972" s="97"/>
      <c r="N972" s="97"/>
      <c r="O972" s="6">
        <v>23200</v>
      </c>
      <c r="P972" s="97"/>
    </row>
    <row r="973" spans="1:16" ht="15.75">
      <c r="A973" s="97">
        <v>36</v>
      </c>
      <c r="B973" s="98">
        <v>46225</v>
      </c>
      <c r="C973" s="97" t="s">
        <v>51</v>
      </c>
      <c r="D973" s="5" t="s">
        <v>312</v>
      </c>
      <c r="E973" s="3" t="s">
        <v>197</v>
      </c>
      <c r="F973" s="3" t="s">
        <v>121</v>
      </c>
      <c r="G973" s="3" t="s">
        <v>315</v>
      </c>
      <c r="H973" s="3">
        <v>8059882196</v>
      </c>
      <c r="I973" s="3">
        <v>800</v>
      </c>
      <c r="J973" s="97"/>
      <c r="K973" s="97"/>
      <c r="L973" s="97"/>
      <c r="M973" s="97"/>
      <c r="N973" s="97"/>
      <c r="O973" s="6">
        <v>23200</v>
      </c>
      <c r="P973" s="97"/>
    </row>
    <row r="974" spans="1:16" ht="15.75">
      <c r="A974" s="97">
        <v>37</v>
      </c>
      <c r="B974" s="98">
        <v>46225</v>
      </c>
      <c r="C974" s="97" t="s">
        <v>51</v>
      </c>
      <c r="D974" s="5" t="s">
        <v>332</v>
      </c>
      <c r="E974" s="3" t="s">
        <v>206</v>
      </c>
      <c r="F974" s="3" t="s">
        <v>330</v>
      </c>
      <c r="G974" s="3" t="s">
        <v>331</v>
      </c>
      <c r="H974" s="3">
        <v>7015840262</v>
      </c>
      <c r="I974" s="3">
        <v>800</v>
      </c>
      <c r="J974" s="97"/>
      <c r="K974" s="97"/>
      <c r="L974" s="97"/>
      <c r="M974" s="97"/>
      <c r="N974" s="97"/>
      <c r="O974" s="6">
        <v>24000</v>
      </c>
      <c r="P974" s="97"/>
    </row>
    <row r="975" spans="1:16" ht="15.75">
      <c r="A975" s="97">
        <v>38</v>
      </c>
      <c r="B975" s="98">
        <v>46225</v>
      </c>
      <c r="C975" s="97" t="s">
        <v>51</v>
      </c>
      <c r="D975" s="5" t="s">
        <v>343</v>
      </c>
      <c r="E975" s="3" t="s">
        <v>348</v>
      </c>
      <c r="F975" s="3" t="s">
        <v>333</v>
      </c>
      <c r="G975" s="3" t="s">
        <v>334</v>
      </c>
      <c r="H975" s="3">
        <v>8708050493</v>
      </c>
      <c r="I975" s="3">
        <v>1000</v>
      </c>
      <c r="J975" s="97"/>
      <c r="K975" s="97"/>
      <c r="L975" s="97"/>
      <c r="M975" s="97"/>
      <c r="N975" s="97"/>
      <c r="O975" s="6">
        <v>24000</v>
      </c>
      <c r="P975" s="97"/>
    </row>
    <row r="976" spans="1:16" ht="15.75">
      <c r="A976" s="97">
        <v>39</v>
      </c>
      <c r="B976" s="98">
        <v>46225</v>
      </c>
      <c r="C976" s="97" t="s">
        <v>51</v>
      </c>
      <c r="D976" s="5" t="s">
        <v>344</v>
      </c>
      <c r="E976" s="3" t="s">
        <v>348</v>
      </c>
      <c r="F976" s="3" t="s">
        <v>335</v>
      </c>
      <c r="G976" s="3" t="s">
        <v>336</v>
      </c>
      <c r="H976" s="3">
        <v>8708050493</v>
      </c>
      <c r="I976" s="3">
        <v>1000</v>
      </c>
      <c r="J976" s="97"/>
      <c r="K976" s="97"/>
      <c r="L976" s="97"/>
      <c r="M976" s="97"/>
      <c r="N976" s="97"/>
      <c r="O976" s="6">
        <v>24000</v>
      </c>
      <c r="P976" s="97"/>
    </row>
    <row r="977" spans="1:16" ht="15.75">
      <c r="A977" s="97">
        <v>40</v>
      </c>
      <c r="B977" s="98">
        <v>46225</v>
      </c>
      <c r="C977" s="97" t="s">
        <v>51</v>
      </c>
      <c r="D977" s="5" t="s">
        <v>346</v>
      </c>
      <c r="E977" s="3" t="s">
        <v>49</v>
      </c>
      <c r="F977" s="3" t="s">
        <v>339</v>
      </c>
      <c r="G977" s="3" t="s">
        <v>340</v>
      </c>
      <c r="H977" s="3">
        <v>7496866457</v>
      </c>
      <c r="I977" s="3">
        <v>810</v>
      </c>
      <c r="J977" s="97"/>
      <c r="K977" s="97"/>
      <c r="L977" s="97"/>
      <c r="M977" s="97"/>
      <c r="N977" s="97"/>
      <c r="O977" s="6">
        <v>17820</v>
      </c>
      <c r="P977" s="97"/>
    </row>
    <row r="978" spans="1:16" ht="15.75">
      <c r="A978" s="97">
        <v>41</v>
      </c>
      <c r="B978" s="98">
        <v>46225</v>
      </c>
      <c r="C978" s="97" t="s">
        <v>51</v>
      </c>
      <c r="D978" s="5" t="s">
        <v>347</v>
      </c>
      <c r="E978" s="3" t="s">
        <v>49</v>
      </c>
      <c r="F978" s="3" t="s">
        <v>341</v>
      </c>
      <c r="G978" s="3" t="s">
        <v>342</v>
      </c>
      <c r="H978" s="3">
        <v>7496866457</v>
      </c>
      <c r="I978" s="3">
        <v>1000</v>
      </c>
      <c r="J978" s="97"/>
      <c r="K978" s="97"/>
      <c r="L978" s="97"/>
      <c r="M978" s="97"/>
      <c r="N978" s="97"/>
      <c r="O978" s="6">
        <v>24000</v>
      </c>
      <c r="P978" s="97"/>
    </row>
    <row r="979" spans="1:16" ht="15.75">
      <c r="A979" s="97">
        <v>42</v>
      </c>
      <c r="B979" s="98">
        <v>46225</v>
      </c>
      <c r="C979" s="97" t="s">
        <v>51</v>
      </c>
      <c r="D979" s="5" t="s">
        <v>381</v>
      </c>
      <c r="E979" s="3" t="s">
        <v>118</v>
      </c>
      <c r="F979" s="3" t="s">
        <v>387</v>
      </c>
      <c r="G979" s="3" t="s">
        <v>388</v>
      </c>
      <c r="H979" s="3">
        <v>8307074126</v>
      </c>
      <c r="I979" s="3">
        <v>810</v>
      </c>
      <c r="J979" s="97"/>
      <c r="K979" s="97"/>
      <c r="L979" s="97"/>
      <c r="M979" s="97"/>
      <c r="N979" s="97"/>
      <c r="O979" s="6">
        <v>18630</v>
      </c>
      <c r="P979" s="97"/>
    </row>
    <row r="980" spans="1:16" ht="15.75">
      <c r="A980" s="97">
        <v>43</v>
      </c>
      <c r="B980" s="98">
        <v>46225</v>
      </c>
      <c r="C980" s="97" t="s">
        <v>51</v>
      </c>
      <c r="D980" s="5" t="s">
        <v>382</v>
      </c>
      <c r="E980" s="3" t="s">
        <v>383</v>
      </c>
      <c r="F980" s="3" t="s">
        <v>215</v>
      </c>
      <c r="G980" s="3" t="s">
        <v>375</v>
      </c>
      <c r="H980" s="3">
        <v>9813268064</v>
      </c>
      <c r="I980" s="3">
        <v>1000</v>
      </c>
      <c r="J980" s="97"/>
      <c r="K980" s="97"/>
      <c r="L980" s="97"/>
      <c r="M980" s="97"/>
      <c r="N980" s="97"/>
      <c r="O980" s="6">
        <v>25000</v>
      </c>
      <c r="P980" s="97"/>
    </row>
    <row r="981" spans="1:16" ht="15.75">
      <c r="A981" s="97">
        <v>44</v>
      </c>
      <c r="B981" s="98">
        <v>46225</v>
      </c>
      <c r="C981" s="97" t="s">
        <v>51</v>
      </c>
      <c r="D981" s="5" t="s">
        <v>392</v>
      </c>
      <c r="E981" s="3" t="s">
        <v>394</v>
      </c>
      <c r="F981" s="3" t="s">
        <v>71</v>
      </c>
      <c r="G981" s="3" t="s">
        <v>393</v>
      </c>
      <c r="H981" s="3">
        <v>8505872401</v>
      </c>
      <c r="I981" s="3">
        <v>1000</v>
      </c>
      <c r="J981" s="97"/>
      <c r="K981" s="97"/>
      <c r="L981" s="97"/>
      <c r="M981" s="97"/>
      <c r="N981" s="97"/>
      <c r="O981" s="6">
        <v>26000</v>
      </c>
      <c r="P981" s="97"/>
    </row>
    <row r="982" spans="1:16" ht="15.75">
      <c r="A982" s="97">
        <v>45</v>
      </c>
      <c r="B982" s="98">
        <v>46225</v>
      </c>
      <c r="C982" s="97" t="s">
        <v>51</v>
      </c>
      <c r="D982" s="5" t="s">
        <v>397</v>
      </c>
      <c r="E982" s="3" t="s">
        <v>49</v>
      </c>
      <c r="F982" s="3" t="s">
        <v>398</v>
      </c>
      <c r="G982" s="3" t="s">
        <v>140</v>
      </c>
      <c r="H982" s="3">
        <v>9671465494</v>
      </c>
      <c r="I982" s="3">
        <v>1000</v>
      </c>
      <c r="J982" s="97"/>
      <c r="K982" s="97"/>
      <c r="L982" s="97"/>
      <c r="M982" s="97"/>
      <c r="N982" s="97"/>
      <c r="O982" s="6">
        <v>27000</v>
      </c>
      <c r="P982" s="97"/>
    </row>
    <row r="983" spans="1:16" ht="15.75">
      <c r="A983" s="97">
        <v>46</v>
      </c>
      <c r="B983" s="98">
        <v>46225</v>
      </c>
      <c r="C983" s="97" t="s">
        <v>51</v>
      </c>
      <c r="D983" s="5" t="s">
        <v>423</v>
      </c>
      <c r="E983" s="3" t="s">
        <v>430</v>
      </c>
      <c r="F983" s="3" t="s">
        <v>301</v>
      </c>
      <c r="G983" s="3" t="s">
        <v>127</v>
      </c>
      <c r="H983" s="3">
        <v>8685920499</v>
      </c>
      <c r="I983" s="3">
        <v>810</v>
      </c>
      <c r="J983" s="97"/>
      <c r="K983" s="97"/>
      <c r="L983" s="97"/>
      <c r="M983" s="97"/>
      <c r="N983" s="97"/>
      <c r="O983" s="6">
        <v>20250</v>
      </c>
      <c r="P983" s="97"/>
    </row>
    <row r="984" spans="1:16" ht="15.75">
      <c r="A984" s="97">
        <v>47</v>
      </c>
      <c r="B984" s="98">
        <v>46225</v>
      </c>
      <c r="C984" s="97" t="s">
        <v>51</v>
      </c>
      <c r="D984" s="5" t="s">
        <v>428</v>
      </c>
      <c r="E984" s="3" t="s">
        <v>118</v>
      </c>
      <c r="F984" s="3" t="s">
        <v>438</v>
      </c>
      <c r="G984" s="3" t="s">
        <v>375</v>
      </c>
      <c r="H984" s="3">
        <v>9996197698</v>
      </c>
      <c r="I984" s="3">
        <v>1000</v>
      </c>
      <c r="J984" s="97"/>
      <c r="K984" s="97"/>
      <c r="L984" s="97"/>
      <c r="M984" s="97"/>
      <c r="N984" s="97"/>
      <c r="O984" s="6">
        <v>27000</v>
      </c>
      <c r="P984" s="97"/>
    </row>
    <row r="985" spans="1:16" ht="15.75">
      <c r="A985" s="97">
        <v>48</v>
      </c>
      <c r="B985" s="98">
        <v>46225</v>
      </c>
      <c r="C985" s="97" t="s">
        <v>51</v>
      </c>
      <c r="D985" s="5" t="s">
        <v>429</v>
      </c>
      <c r="E985" s="3" t="s">
        <v>197</v>
      </c>
      <c r="F985" s="3" t="s">
        <v>323</v>
      </c>
      <c r="G985" s="3" t="s">
        <v>295</v>
      </c>
      <c r="H985" s="3">
        <v>8708979195</v>
      </c>
      <c r="I985" s="3">
        <v>1000</v>
      </c>
      <c r="J985" s="97"/>
      <c r="K985" s="97"/>
      <c r="L985" s="97"/>
      <c r="M985" s="97"/>
      <c r="N985" s="97"/>
      <c r="O985" s="6">
        <v>27000</v>
      </c>
      <c r="P985" s="97"/>
    </row>
    <row r="986" spans="1:1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</row>
    <row r="987" spans="1:16">
      <c r="A987" s="97"/>
      <c r="B987" s="97"/>
      <c r="C987" s="97"/>
      <c r="D987" s="97"/>
      <c r="E987" s="97"/>
      <c r="F987" s="97"/>
      <c r="G987" s="97"/>
      <c r="H987" s="97"/>
      <c r="I987" s="97">
        <f>SUM(I938:I986)</f>
        <v>39180</v>
      </c>
      <c r="J987" s="97"/>
      <c r="K987" s="97"/>
      <c r="L987" s="97"/>
      <c r="M987" s="97"/>
      <c r="N987" s="97"/>
      <c r="O987" s="97">
        <f>SUM(O938:O986)</f>
        <v>893900</v>
      </c>
      <c r="P987" s="97"/>
    </row>
    <row r="992" spans="1:16" ht="27.75">
      <c r="A992" s="142" t="s">
        <v>155</v>
      </c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</row>
    <row r="993" spans="1:16" ht="75">
      <c r="A993" s="1" t="s">
        <v>87</v>
      </c>
      <c r="B993" s="1" t="s">
        <v>103</v>
      </c>
      <c r="C993" s="1" t="s">
        <v>88</v>
      </c>
      <c r="D993" s="1" t="s">
        <v>104</v>
      </c>
      <c r="E993" s="1" t="s">
        <v>105</v>
      </c>
      <c r="F993" s="1" t="s">
        <v>106</v>
      </c>
      <c r="G993" s="1" t="s">
        <v>93</v>
      </c>
      <c r="H993" s="1" t="s">
        <v>107</v>
      </c>
      <c r="I993" s="1" t="s">
        <v>108</v>
      </c>
      <c r="J993" s="1" t="s">
        <v>109</v>
      </c>
      <c r="K993" s="1" t="s">
        <v>110</v>
      </c>
      <c r="L993" s="1" t="s">
        <v>21</v>
      </c>
      <c r="M993" s="1" t="s">
        <v>45</v>
      </c>
      <c r="N993" s="1" t="s">
        <v>111</v>
      </c>
      <c r="O993" s="2" t="s">
        <v>112</v>
      </c>
      <c r="P993" s="1" t="s">
        <v>113</v>
      </c>
    </row>
    <row r="994" spans="1:16" ht="15.75">
      <c r="A994" s="3">
        <v>1</v>
      </c>
      <c r="B994" s="4">
        <v>46231</v>
      </c>
      <c r="C994" s="3" t="s">
        <v>51</v>
      </c>
      <c r="D994" s="5" t="s">
        <v>70</v>
      </c>
      <c r="E994" s="5" t="s">
        <v>66</v>
      </c>
      <c r="F994" s="5" t="s">
        <v>67</v>
      </c>
      <c r="G994" s="5" t="s">
        <v>68</v>
      </c>
      <c r="H994" s="5">
        <v>8395916139</v>
      </c>
      <c r="I994" s="5">
        <v>800</v>
      </c>
      <c r="J994" s="3"/>
      <c r="K994" s="3"/>
      <c r="L994" s="3"/>
      <c r="M994" s="3"/>
      <c r="N994" s="3"/>
      <c r="O994" s="5">
        <v>17600</v>
      </c>
      <c r="P994" s="3"/>
    </row>
    <row r="995" spans="1:16" ht="15.75">
      <c r="A995" s="3">
        <v>2</v>
      </c>
      <c r="B995" s="4">
        <v>46231</v>
      </c>
      <c r="C995" s="3" t="s">
        <v>51</v>
      </c>
      <c r="D995" s="5" t="s">
        <v>73</v>
      </c>
      <c r="E995" s="5" t="s">
        <v>66</v>
      </c>
      <c r="F995" s="5" t="s">
        <v>71</v>
      </c>
      <c r="G995" s="5" t="s">
        <v>72</v>
      </c>
      <c r="H995" s="5">
        <v>7289049720</v>
      </c>
      <c r="I995" s="5">
        <v>750</v>
      </c>
      <c r="J995" s="3"/>
      <c r="K995" s="3"/>
      <c r="L995" s="3"/>
      <c r="M995" s="3"/>
      <c r="N995" s="3"/>
      <c r="O995" s="5">
        <v>10500</v>
      </c>
      <c r="P995" s="3"/>
    </row>
    <row r="996" spans="1:16" ht="15.75">
      <c r="A996" s="3">
        <v>3</v>
      </c>
      <c r="B996" s="4">
        <v>46231</v>
      </c>
      <c r="C996" s="3" t="s">
        <v>51</v>
      </c>
      <c r="D996" s="5" t="s">
        <v>79</v>
      </c>
      <c r="E996" s="5" t="s">
        <v>66</v>
      </c>
      <c r="F996" s="6" t="s">
        <v>77</v>
      </c>
      <c r="G996" s="6" t="s">
        <v>78</v>
      </c>
      <c r="H996" s="6">
        <v>7355817478</v>
      </c>
      <c r="I996" s="5">
        <v>750</v>
      </c>
      <c r="J996" s="3"/>
      <c r="K996" s="3"/>
      <c r="L996" s="3"/>
      <c r="M996" s="3"/>
      <c r="N996" s="3"/>
      <c r="O996" s="5">
        <v>10500</v>
      </c>
      <c r="P996" s="3"/>
    </row>
    <row r="997" spans="1:16" ht="15.75">
      <c r="A997" s="3">
        <v>4</v>
      </c>
      <c r="B997" s="4">
        <v>46231</v>
      </c>
      <c r="C997" s="3" t="s">
        <v>51</v>
      </c>
      <c r="D997" s="5" t="s">
        <v>82</v>
      </c>
      <c r="E997" s="6" t="s">
        <v>66</v>
      </c>
      <c r="F997" s="6" t="s">
        <v>80</v>
      </c>
      <c r="G997" s="6" t="s">
        <v>81</v>
      </c>
      <c r="H997" s="6">
        <v>7027566795</v>
      </c>
      <c r="I997" s="5">
        <v>800</v>
      </c>
      <c r="J997" s="3"/>
      <c r="K997" s="3"/>
      <c r="L997" s="3"/>
      <c r="M997" s="3"/>
      <c r="N997" s="3"/>
      <c r="O997" s="5">
        <v>17600</v>
      </c>
      <c r="P997" s="3"/>
    </row>
    <row r="998" spans="1:16" ht="15.75">
      <c r="A998" s="3">
        <v>5</v>
      </c>
      <c r="B998" s="4">
        <v>46231</v>
      </c>
      <c r="C998" s="3" t="s">
        <v>51</v>
      </c>
      <c r="D998" s="5" t="s">
        <v>85</v>
      </c>
      <c r="E998" s="6" t="s">
        <v>66</v>
      </c>
      <c r="F998" s="5" t="s">
        <v>83</v>
      </c>
      <c r="G998" s="5" t="s">
        <v>84</v>
      </c>
      <c r="H998" s="5">
        <v>9992825464</v>
      </c>
      <c r="I998" s="5">
        <v>800</v>
      </c>
      <c r="J998" s="3"/>
      <c r="K998" s="3"/>
      <c r="L998" s="3"/>
      <c r="M998" s="3"/>
      <c r="N998" s="3"/>
      <c r="O998" s="5">
        <v>17600</v>
      </c>
      <c r="P998" s="3"/>
    </row>
    <row r="999" spans="1:16" ht="15.75">
      <c r="A999" s="3">
        <v>6</v>
      </c>
      <c r="B999" s="4">
        <v>46231</v>
      </c>
      <c r="C999" s="3" t="s">
        <v>51</v>
      </c>
      <c r="D999" s="5" t="s">
        <v>114</v>
      </c>
      <c r="E999" s="10" t="s">
        <v>66</v>
      </c>
      <c r="F999" s="10" t="s">
        <v>120</v>
      </c>
      <c r="G999" s="10" t="s">
        <v>124</v>
      </c>
      <c r="H999" s="10">
        <v>8295596976</v>
      </c>
      <c r="I999" s="10">
        <v>750</v>
      </c>
      <c r="J999" s="3"/>
      <c r="K999" s="3"/>
      <c r="L999" s="3"/>
      <c r="M999" s="3"/>
      <c r="N999" s="3"/>
      <c r="O999" s="5">
        <v>10500</v>
      </c>
      <c r="P999" s="3"/>
    </row>
    <row r="1000" spans="1:16" ht="15.75">
      <c r="A1000" s="3">
        <v>7</v>
      </c>
      <c r="B1000" s="4">
        <v>46231</v>
      </c>
      <c r="C1000" s="3" t="s">
        <v>51</v>
      </c>
      <c r="D1000" s="5" t="s">
        <v>115</v>
      </c>
      <c r="E1000" s="10" t="s">
        <v>66</v>
      </c>
      <c r="F1000" s="10" t="s">
        <v>121</v>
      </c>
      <c r="G1000" s="10" t="s">
        <v>125</v>
      </c>
      <c r="H1000" s="10">
        <v>8816907186</v>
      </c>
      <c r="I1000" s="10">
        <v>750</v>
      </c>
      <c r="J1000" s="3"/>
      <c r="K1000" s="3"/>
      <c r="L1000" s="3"/>
      <c r="M1000" s="3"/>
      <c r="N1000" s="3"/>
      <c r="O1000" s="5">
        <v>10500</v>
      </c>
      <c r="P1000" s="3"/>
    </row>
    <row r="1001" spans="1:16" ht="15.75">
      <c r="A1001" s="3">
        <v>8</v>
      </c>
      <c r="B1001" s="4">
        <v>46231</v>
      </c>
      <c r="C1001" s="3" t="s">
        <v>51</v>
      </c>
      <c r="D1001" s="5" t="s">
        <v>147</v>
      </c>
      <c r="E1001" s="5" t="s">
        <v>129</v>
      </c>
      <c r="F1001" s="5" t="s">
        <v>132</v>
      </c>
      <c r="G1001" s="5" t="s">
        <v>140</v>
      </c>
      <c r="H1001" s="5">
        <v>8397037924</v>
      </c>
      <c r="I1001" s="5">
        <v>800</v>
      </c>
      <c r="J1001" s="3"/>
      <c r="K1001" s="3"/>
      <c r="L1001" s="3"/>
      <c r="M1001" s="3"/>
      <c r="N1001" s="3"/>
      <c r="O1001" s="5">
        <v>18400</v>
      </c>
      <c r="P1001" s="3"/>
    </row>
    <row r="1002" spans="1:16" ht="15.75">
      <c r="A1002" s="3">
        <v>9</v>
      </c>
      <c r="B1002" s="4">
        <v>46231</v>
      </c>
      <c r="C1002" s="3" t="s">
        <v>51</v>
      </c>
      <c r="D1002" s="5" t="s">
        <v>151</v>
      </c>
      <c r="E1002" s="5" t="s">
        <v>66</v>
      </c>
      <c r="F1002" s="5" t="s">
        <v>136</v>
      </c>
      <c r="G1002" s="5" t="s">
        <v>143</v>
      </c>
      <c r="H1002" s="5">
        <v>9992969785</v>
      </c>
      <c r="I1002" s="5">
        <v>800</v>
      </c>
      <c r="J1002" s="3"/>
      <c r="K1002" s="3"/>
      <c r="L1002" s="3"/>
      <c r="M1002" s="3"/>
      <c r="N1002" s="3"/>
      <c r="O1002" s="5">
        <v>18400</v>
      </c>
      <c r="P1002" s="3"/>
    </row>
    <row r="1003" spans="1:16" ht="15.75">
      <c r="A1003" s="3">
        <v>10</v>
      </c>
      <c r="B1003" s="4">
        <v>46231</v>
      </c>
      <c r="C1003" s="3" t="s">
        <v>51</v>
      </c>
      <c r="D1003" s="5" t="s">
        <v>190</v>
      </c>
      <c r="E1003" s="10" t="s">
        <v>195</v>
      </c>
      <c r="F1003" s="10" t="s">
        <v>184</v>
      </c>
      <c r="G1003" s="10" t="s">
        <v>185</v>
      </c>
      <c r="H1003" s="10">
        <v>9728976039</v>
      </c>
      <c r="I1003" s="3">
        <v>750</v>
      </c>
      <c r="J1003" s="3"/>
      <c r="K1003" s="3"/>
      <c r="L1003" s="3"/>
      <c r="M1003" s="3"/>
      <c r="N1003" s="3"/>
      <c r="O1003" s="5">
        <v>12750</v>
      </c>
      <c r="P1003" s="3"/>
    </row>
    <row r="1004" spans="1:16" ht="15.75">
      <c r="A1004" s="3">
        <v>11</v>
      </c>
      <c r="B1004" s="4">
        <v>46231</v>
      </c>
      <c r="C1004" s="3" t="s">
        <v>51</v>
      </c>
      <c r="D1004" s="5" t="s">
        <v>191</v>
      </c>
      <c r="E1004" s="10" t="s">
        <v>196</v>
      </c>
      <c r="F1004" s="10" t="s">
        <v>186</v>
      </c>
      <c r="G1004" s="10" t="s">
        <v>187</v>
      </c>
      <c r="H1004" s="10">
        <v>9991073613</v>
      </c>
      <c r="I1004" s="3">
        <v>750</v>
      </c>
      <c r="J1004" s="3"/>
      <c r="K1004" s="3"/>
      <c r="L1004" s="3"/>
      <c r="M1004" s="3"/>
      <c r="N1004" s="3"/>
      <c r="O1004" s="5">
        <v>12750</v>
      </c>
      <c r="P1004" s="3"/>
    </row>
    <row r="1005" spans="1:16" ht="15.75">
      <c r="A1005" s="3">
        <v>12</v>
      </c>
      <c r="B1005" s="4">
        <v>46231</v>
      </c>
      <c r="C1005" s="3" t="s">
        <v>51</v>
      </c>
      <c r="D1005" s="5" t="s">
        <v>192</v>
      </c>
      <c r="E1005" s="10" t="s">
        <v>195</v>
      </c>
      <c r="F1005" s="10" t="s">
        <v>188</v>
      </c>
      <c r="G1005" s="10" t="s">
        <v>198</v>
      </c>
      <c r="H1005" s="10">
        <v>8047377476</v>
      </c>
      <c r="I1005" s="5">
        <v>800</v>
      </c>
      <c r="J1005" s="3"/>
      <c r="K1005" s="3"/>
      <c r="L1005" s="3"/>
      <c r="M1005" s="3"/>
      <c r="N1005" s="3"/>
      <c r="O1005" s="5">
        <v>20000</v>
      </c>
      <c r="P1005" s="3"/>
    </row>
    <row r="1006" spans="1:16" ht="15.75">
      <c r="A1006" s="3">
        <v>13</v>
      </c>
      <c r="B1006" s="4">
        <v>46231</v>
      </c>
      <c r="C1006" s="3" t="s">
        <v>51</v>
      </c>
      <c r="D1006" s="5" t="s">
        <v>193</v>
      </c>
      <c r="E1006" s="10" t="s">
        <v>195</v>
      </c>
      <c r="F1006" s="10" t="s">
        <v>83</v>
      </c>
      <c r="G1006" s="10" t="s">
        <v>189</v>
      </c>
      <c r="H1006" s="10">
        <v>8396804752</v>
      </c>
      <c r="I1006" s="3">
        <v>750</v>
      </c>
      <c r="J1006" s="3"/>
      <c r="K1006" s="3"/>
      <c r="L1006" s="3"/>
      <c r="M1006" s="3"/>
      <c r="N1006" s="3"/>
      <c r="O1006" s="5">
        <v>12750</v>
      </c>
      <c r="P1006" s="3"/>
    </row>
    <row r="1007" spans="1:16" ht="15.75">
      <c r="A1007" s="3">
        <v>14</v>
      </c>
      <c r="B1007" s="4">
        <v>46231</v>
      </c>
      <c r="C1007" s="3" t="s">
        <v>51</v>
      </c>
      <c r="D1007" s="5" t="s">
        <v>207</v>
      </c>
      <c r="E1007" s="10" t="s">
        <v>225</v>
      </c>
      <c r="F1007" s="10" t="s">
        <v>213</v>
      </c>
      <c r="G1007" s="10" t="s">
        <v>214</v>
      </c>
      <c r="H1007" s="10">
        <v>9034419162</v>
      </c>
      <c r="I1007" s="3">
        <v>750</v>
      </c>
      <c r="J1007" s="3"/>
      <c r="K1007" s="3"/>
      <c r="L1007" s="3"/>
      <c r="M1007" s="3"/>
      <c r="N1007" s="3"/>
      <c r="O1007" s="5">
        <v>12750</v>
      </c>
      <c r="P1007" s="3"/>
    </row>
    <row r="1008" spans="1:16" ht="15.75">
      <c r="A1008" s="3">
        <v>15</v>
      </c>
      <c r="B1008" s="4">
        <v>46231</v>
      </c>
      <c r="C1008" s="3" t="s">
        <v>51</v>
      </c>
      <c r="D1008" s="5" t="s">
        <v>209</v>
      </c>
      <c r="E1008" s="10" t="s">
        <v>226</v>
      </c>
      <c r="F1008" s="10" t="s">
        <v>217</v>
      </c>
      <c r="G1008" s="10" t="s">
        <v>218</v>
      </c>
      <c r="H1008" s="10">
        <v>9671740481</v>
      </c>
      <c r="I1008" s="3">
        <v>750</v>
      </c>
      <c r="J1008" s="3"/>
      <c r="K1008" s="3"/>
      <c r="L1008" s="3"/>
      <c r="M1008" s="3"/>
      <c r="N1008" s="3"/>
      <c r="O1008" s="5">
        <v>12750</v>
      </c>
      <c r="P1008" s="3"/>
    </row>
    <row r="1009" spans="1:16" ht="15.75">
      <c r="A1009" s="3">
        <v>16</v>
      </c>
      <c r="B1009" s="4">
        <v>46231</v>
      </c>
      <c r="C1009" s="3" t="s">
        <v>51</v>
      </c>
      <c r="D1009" s="5" t="s">
        <v>210</v>
      </c>
      <c r="E1009" s="10" t="s">
        <v>227</v>
      </c>
      <c r="F1009" s="10" t="s">
        <v>219</v>
      </c>
      <c r="G1009" s="10" t="s">
        <v>220</v>
      </c>
      <c r="H1009" s="10">
        <v>9311797101</v>
      </c>
      <c r="I1009" s="3">
        <v>750</v>
      </c>
      <c r="J1009" s="3"/>
      <c r="K1009" s="3"/>
      <c r="L1009" s="3"/>
      <c r="M1009" s="3"/>
      <c r="N1009" s="3"/>
      <c r="O1009" s="5">
        <v>12750</v>
      </c>
      <c r="P1009" s="3"/>
    </row>
    <row r="1010" spans="1:16" ht="15.75">
      <c r="A1010" s="3">
        <v>17</v>
      </c>
      <c r="B1010" s="4">
        <v>46231</v>
      </c>
      <c r="C1010" s="3" t="s">
        <v>51</v>
      </c>
      <c r="D1010" s="5" t="s">
        <v>211</v>
      </c>
      <c r="E1010" s="10" t="s">
        <v>226</v>
      </c>
      <c r="F1010" s="10" t="s">
        <v>221</v>
      </c>
      <c r="G1010" s="10" t="s">
        <v>222</v>
      </c>
      <c r="H1010" s="10">
        <v>7206610781</v>
      </c>
      <c r="I1010" s="3">
        <v>750</v>
      </c>
      <c r="J1010" s="3"/>
      <c r="K1010" s="3"/>
      <c r="L1010" s="3"/>
      <c r="M1010" s="3"/>
      <c r="N1010" s="3"/>
      <c r="O1010" s="5">
        <v>12750</v>
      </c>
      <c r="P1010" s="3"/>
    </row>
    <row r="1011" spans="1:16" ht="15.75">
      <c r="A1011" s="3">
        <v>18</v>
      </c>
      <c r="B1011" s="4">
        <v>46231</v>
      </c>
      <c r="C1011" s="3" t="s">
        <v>51</v>
      </c>
      <c r="D1011" s="5" t="s">
        <v>212</v>
      </c>
      <c r="E1011" s="10" t="s">
        <v>226</v>
      </c>
      <c r="F1011" s="10" t="s">
        <v>223</v>
      </c>
      <c r="G1011" s="10" t="s">
        <v>224</v>
      </c>
      <c r="H1011" s="10">
        <v>8814045633</v>
      </c>
      <c r="I1011" s="3">
        <v>750</v>
      </c>
      <c r="J1011" s="3"/>
      <c r="K1011" s="3"/>
      <c r="L1011" s="3"/>
      <c r="M1011" s="3"/>
      <c r="N1011" s="3"/>
      <c r="O1011" s="5">
        <v>12750</v>
      </c>
      <c r="P1011" s="3"/>
    </row>
    <row r="1012" spans="1:16" ht="15.75">
      <c r="A1012" s="3">
        <v>19</v>
      </c>
      <c r="B1012" s="4">
        <v>46231</v>
      </c>
      <c r="C1012" s="3" t="s">
        <v>51</v>
      </c>
      <c r="D1012" s="5" t="s">
        <v>228</v>
      </c>
      <c r="E1012" s="3" t="s">
        <v>229</v>
      </c>
      <c r="F1012" s="10" t="s">
        <v>165</v>
      </c>
      <c r="G1012" s="10" t="s">
        <v>198</v>
      </c>
      <c r="H1012" s="10" t="s">
        <v>230</v>
      </c>
      <c r="I1012" s="3">
        <v>750</v>
      </c>
      <c r="J1012" s="3"/>
      <c r="K1012" s="3"/>
      <c r="L1012" s="3"/>
      <c r="M1012" s="3"/>
      <c r="N1012" s="3"/>
      <c r="O1012" s="5">
        <v>12750</v>
      </c>
      <c r="P1012" s="3"/>
    </row>
    <row r="1013" spans="1:16" ht="15.75">
      <c r="A1013" s="3">
        <v>20</v>
      </c>
      <c r="B1013" s="4">
        <v>46231</v>
      </c>
      <c r="C1013" s="3" t="s">
        <v>51</v>
      </c>
      <c r="D1013" s="5" t="s">
        <v>233</v>
      </c>
      <c r="E1013" s="10" t="s">
        <v>49</v>
      </c>
      <c r="F1013" s="10" t="s">
        <v>231</v>
      </c>
      <c r="G1013" s="10" t="s">
        <v>142</v>
      </c>
      <c r="H1013" s="10">
        <v>7497855174</v>
      </c>
      <c r="I1013" s="3">
        <v>750</v>
      </c>
      <c r="J1013" s="3"/>
      <c r="K1013" s="3"/>
      <c r="L1013" s="3"/>
      <c r="M1013" s="3"/>
      <c r="N1013" s="3"/>
      <c r="O1013" s="5">
        <v>13500</v>
      </c>
      <c r="P1013" s="3"/>
    </row>
    <row r="1014" spans="1:16" ht="15.75">
      <c r="A1014" s="3">
        <v>21</v>
      </c>
      <c r="B1014" s="4">
        <v>46231</v>
      </c>
      <c r="C1014" s="3" t="s">
        <v>51</v>
      </c>
      <c r="D1014" s="5" t="s">
        <v>234</v>
      </c>
      <c r="E1014" s="10" t="s">
        <v>196</v>
      </c>
      <c r="F1014" s="10" t="s">
        <v>232</v>
      </c>
      <c r="G1014" s="10" t="s">
        <v>235</v>
      </c>
      <c r="H1014" s="10">
        <v>9817633128</v>
      </c>
      <c r="I1014" s="3">
        <v>800</v>
      </c>
      <c r="J1014" s="3"/>
      <c r="K1014" s="3"/>
      <c r="L1014" s="3"/>
      <c r="M1014" s="3"/>
      <c r="N1014" s="3"/>
      <c r="O1014" s="5">
        <v>20800</v>
      </c>
      <c r="P1014" s="3"/>
    </row>
    <row r="1015" spans="1:16" ht="15.75">
      <c r="A1015" s="3">
        <v>22</v>
      </c>
      <c r="B1015" s="4">
        <v>46231</v>
      </c>
      <c r="C1015" s="3" t="s">
        <v>51</v>
      </c>
      <c r="D1015" s="5" t="s">
        <v>236</v>
      </c>
      <c r="E1015" s="10" t="s">
        <v>238</v>
      </c>
      <c r="F1015" s="10" t="s">
        <v>180</v>
      </c>
      <c r="G1015" s="10" t="s">
        <v>240</v>
      </c>
      <c r="H1015" s="10">
        <v>9728727855</v>
      </c>
      <c r="I1015" s="3">
        <v>750</v>
      </c>
      <c r="J1015" s="3"/>
      <c r="K1015" s="3"/>
      <c r="L1015" s="3"/>
      <c r="M1015" s="3"/>
      <c r="N1015" s="3"/>
      <c r="O1015" s="5">
        <v>13500</v>
      </c>
      <c r="P1015" s="3"/>
    </row>
    <row r="1016" spans="1:16" ht="15.75">
      <c r="A1016" s="3">
        <v>23</v>
      </c>
      <c r="B1016" s="4">
        <v>46231</v>
      </c>
      <c r="C1016" s="3" t="s">
        <v>51</v>
      </c>
      <c r="D1016" s="5" t="s">
        <v>237</v>
      </c>
      <c r="E1016" s="10" t="s">
        <v>238</v>
      </c>
      <c r="F1016" s="10" t="s">
        <v>239</v>
      </c>
      <c r="G1016" s="10" t="s">
        <v>241</v>
      </c>
      <c r="H1016" s="10">
        <v>9813575389</v>
      </c>
      <c r="I1016" s="3">
        <v>800</v>
      </c>
      <c r="J1016" s="3"/>
      <c r="K1016" s="3"/>
      <c r="L1016" s="3"/>
      <c r="M1016" s="3"/>
      <c r="N1016" s="3"/>
      <c r="O1016" s="5">
        <v>20800</v>
      </c>
      <c r="P1016" s="3"/>
    </row>
    <row r="1017" spans="1:16" ht="15.75">
      <c r="A1017" s="3">
        <v>24</v>
      </c>
      <c r="B1017" s="4">
        <v>46231</v>
      </c>
      <c r="C1017" s="3" t="s">
        <v>51</v>
      </c>
      <c r="D1017" s="5" t="s">
        <v>242</v>
      </c>
      <c r="E1017" s="10" t="s">
        <v>226</v>
      </c>
      <c r="F1017" s="10" t="s">
        <v>246</v>
      </c>
      <c r="G1017" s="10" t="s">
        <v>249</v>
      </c>
      <c r="H1017" s="10">
        <v>9997650988</v>
      </c>
      <c r="I1017" s="3">
        <v>750</v>
      </c>
      <c r="J1017" s="3"/>
      <c r="K1017" s="3"/>
      <c r="L1017" s="3"/>
      <c r="M1017" s="3"/>
      <c r="N1017" s="3"/>
      <c r="O1017" s="5">
        <v>13500</v>
      </c>
      <c r="P1017" s="3"/>
    </row>
    <row r="1018" spans="1:16" ht="15.75">
      <c r="A1018" s="3">
        <v>25</v>
      </c>
      <c r="B1018" s="4">
        <v>46231</v>
      </c>
      <c r="C1018" s="3" t="s">
        <v>51</v>
      </c>
      <c r="D1018" s="5" t="s">
        <v>243</v>
      </c>
      <c r="E1018" s="10" t="s">
        <v>225</v>
      </c>
      <c r="F1018" s="10" t="s">
        <v>247</v>
      </c>
      <c r="G1018" s="10" t="s">
        <v>250</v>
      </c>
      <c r="H1018" s="10">
        <v>8607470754</v>
      </c>
      <c r="I1018" s="3">
        <v>800</v>
      </c>
      <c r="J1018" s="3"/>
      <c r="K1018" s="3"/>
      <c r="L1018" s="3"/>
      <c r="M1018" s="3"/>
      <c r="N1018" s="3"/>
      <c r="O1018" s="5">
        <v>20800</v>
      </c>
      <c r="P1018" s="3"/>
    </row>
    <row r="1019" spans="1:16" ht="15.75">
      <c r="A1019" s="3">
        <v>26</v>
      </c>
      <c r="B1019" s="4">
        <v>46231</v>
      </c>
      <c r="C1019" s="3" t="s">
        <v>51</v>
      </c>
      <c r="D1019" s="5" t="s">
        <v>244</v>
      </c>
      <c r="E1019" s="10" t="s">
        <v>226</v>
      </c>
      <c r="F1019" s="10" t="s">
        <v>248</v>
      </c>
      <c r="G1019" s="10" t="s">
        <v>251</v>
      </c>
      <c r="H1019" s="10">
        <v>8929903323</v>
      </c>
      <c r="I1019" s="3">
        <v>800</v>
      </c>
      <c r="J1019" s="3"/>
      <c r="K1019" s="3"/>
      <c r="L1019" s="3"/>
      <c r="M1019" s="3"/>
      <c r="N1019" s="3"/>
      <c r="O1019" s="5">
        <v>20800</v>
      </c>
      <c r="P1019" s="3"/>
    </row>
    <row r="1020" spans="1:16" ht="15.75">
      <c r="A1020" s="3">
        <v>27</v>
      </c>
      <c r="B1020" s="4">
        <v>46231</v>
      </c>
      <c r="C1020" s="3" t="s">
        <v>51</v>
      </c>
      <c r="D1020" s="5" t="s">
        <v>252</v>
      </c>
      <c r="E1020" s="10" t="s">
        <v>226</v>
      </c>
      <c r="F1020" s="10" t="s">
        <v>120</v>
      </c>
      <c r="G1020" s="10" t="s">
        <v>253</v>
      </c>
      <c r="H1020" s="10">
        <v>8930304731</v>
      </c>
      <c r="I1020" s="3">
        <v>800</v>
      </c>
      <c r="J1020" s="3"/>
      <c r="K1020" s="3"/>
      <c r="L1020" s="3"/>
      <c r="M1020" s="3"/>
      <c r="N1020" s="3"/>
      <c r="O1020" s="5">
        <v>20800</v>
      </c>
      <c r="P1020" s="3"/>
    </row>
    <row r="1021" spans="1:16" ht="15.75">
      <c r="A1021" s="3">
        <v>28</v>
      </c>
      <c r="B1021" s="4">
        <v>46231</v>
      </c>
      <c r="C1021" s="3" t="s">
        <v>51</v>
      </c>
      <c r="D1021" s="5" t="s">
        <v>256</v>
      </c>
      <c r="E1021" s="10" t="s">
        <v>257</v>
      </c>
      <c r="F1021" s="10" t="s">
        <v>258</v>
      </c>
      <c r="G1021" s="10" t="s">
        <v>259</v>
      </c>
      <c r="H1021" s="10">
        <v>7355860393</v>
      </c>
      <c r="I1021" s="3">
        <v>750</v>
      </c>
      <c r="J1021" s="3"/>
      <c r="K1021" s="3"/>
      <c r="L1021" s="3"/>
      <c r="M1021" s="3"/>
      <c r="N1021" s="3"/>
      <c r="O1021" s="5">
        <v>13500</v>
      </c>
      <c r="P1021" s="3"/>
    </row>
    <row r="1022" spans="1:16" ht="15.75">
      <c r="A1022" s="3">
        <v>29</v>
      </c>
      <c r="B1022" s="4">
        <v>46231</v>
      </c>
      <c r="C1022" s="3" t="s">
        <v>51</v>
      </c>
      <c r="D1022" s="5" t="s">
        <v>263</v>
      </c>
      <c r="E1022" s="10" t="s">
        <v>196</v>
      </c>
      <c r="F1022" s="10" t="s">
        <v>260</v>
      </c>
      <c r="G1022" s="10" t="s">
        <v>268</v>
      </c>
      <c r="H1022" s="10">
        <v>8936838477</v>
      </c>
      <c r="I1022" s="3">
        <v>750</v>
      </c>
      <c r="J1022" s="3"/>
      <c r="K1022" s="3"/>
      <c r="L1022" s="3"/>
      <c r="M1022" s="3"/>
      <c r="N1022" s="3"/>
      <c r="O1022" s="5">
        <v>14250</v>
      </c>
      <c r="P1022" s="3"/>
    </row>
    <row r="1023" spans="1:16" ht="15.75">
      <c r="A1023" s="3">
        <v>30</v>
      </c>
      <c r="B1023" s="4">
        <v>46231</v>
      </c>
      <c r="C1023" s="3" t="s">
        <v>51</v>
      </c>
      <c r="D1023" s="5" t="s">
        <v>266</v>
      </c>
      <c r="E1023" s="10" t="s">
        <v>196</v>
      </c>
      <c r="F1023" s="10" t="s">
        <v>239</v>
      </c>
      <c r="G1023" s="10" t="s">
        <v>235</v>
      </c>
      <c r="H1023" s="10">
        <v>9728139162</v>
      </c>
      <c r="I1023" s="3">
        <v>750</v>
      </c>
      <c r="J1023" s="3"/>
      <c r="K1023" s="3"/>
      <c r="L1023" s="3"/>
      <c r="M1023" s="3"/>
      <c r="N1023" s="3"/>
      <c r="O1023" s="5">
        <v>14250</v>
      </c>
      <c r="P1023" s="3"/>
    </row>
    <row r="1024" spans="1:16" ht="15.75">
      <c r="A1024" s="3">
        <v>31</v>
      </c>
      <c r="B1024" s="4">
        <v>46231</v>
      </c>
      <c r="C1024" s="3" t="s">
        <v>51</v>
      </c>
      <c r="D1024" s="5" t="s">
        <v>288</v>
      </c>
      <c r="E1024" s="3" t="s">
        <v>290</v>
      </c>
      <c r="F1024" s="3" t="s">
        <v>180</v>
      </c>
      <c r="G1024" s="3" t="s">
        <v>295</v>
      </c>
      <c r="H1024" s="3">
        <v>9671443722</v>
      </c>
      <c r="I1024" s="3">
        <v>800</v>
      </c>
      <c r="J1024" s="3"/>
      <c r="K1024" s="3"/>
      <c r="L1024" s="3"/>
      <c r="M1024" s="3"/>
      <c r="N1024" s="3"/>
      <c r="O1024" s="5">
        <v>23200</v>
      </c>
      <c r="P1024" s="3"/>
    </row>
    <row r="1025" spans="1:16" ht="15.75">
      <c r="A1025" s="3">
        <v>32</v>
      </c>
      <c r="B1025" s="4">
        <v>46231</v>
      </c>
      <c r="C1025" s="3" t="s">
        <v>51</v>
      </c>
      <c r="D1025" s="5" t="s">
        <v>289</v>
      </c>
      <c r="E1025" s="3" t="s">
        <v>291</v>
      </c>
      <c r="F1025" s="3" t="s">
        <v>292</v>
      </c>
      <c r="G1025" s="3" t="s">
        <v>296</v>
      </c>
      <c r="H1025" s="3">
        <v>9343799675</v>
      </c>
      <c r="I1025" s="3">
        <v>800</v>
      </c>
      <c r="J1025" s="3"/>
      <c r="K1025" s="3"/>
      <c r="L1025" s="3"/>
      <c r="M1025" s="3"/>
      <c r="N1025" s="3"/>
      <c r="O1025" s="5">
        <v>22400</v>
      </c>
      <c r="P1025" s="3"/>
    </row>
    <row r="1026" spans="1:16" ht="15.75">
      <c r="A1026" s="3">
        <v>33</v>
      </c>
      <c r="B1026" s="4">
        <v>46231</v>
      </c>
      <c r="C1026" s="3" t="s">
        <v>51</v>
      </c>
      <c r="D1026" s="5" t="s">
        <v>298</v>
      </c>
      <c r="E1026" s="3" t="s">
        <v>300</v>
      </c>
      <c r="F1026" s="3" t="s">
        <v>71</v>
      </c>
      <c r="G1026" s="3" t="s">
        <v>302</v>
      </c>
      <c r="H1026" s="3">
        <v>7056212672</v>
      </c>
      <c r="I1026" s="3">
        <v>750</v>
      </c>
      <c r="J1026" s="3"/>
      <c r="K1026" s="3"/>
      <c r="L1026" s="3"/>
      <c r="M1026" s="3"/>
      <c r="N1026" s="3"/>
      <c r="O1026" s="5">
        <v>15000</v>
      </c>
      <c r="P1026" s="3"/>
    </row>
    <row r="1027" spans="1:16" ht="15.75">
      <c r="A1027" s="3">
        <v>34</v>
      </c>
      <c r="B1027" s="4">
        <v>46231</v>
      </c>
      <c r="C1027" s="3" t="s">
        <v>51</v>
      </c>
      <c r="D1027" s="5" t="s">
        <v>306</v>
      </c>
      <c r="E1027" s="3" t="s">
        <v>308</v>
      </c>
      <c r="F1027" s="3" t="s">
        <v>165</v>
      </c>
      <c r="G1027" s="3" t="s">
        <v>310</v>
      </c>
      <c r="H1027" s="3">
        <v>9971836202</v>
      </c>
      <c r="I1027" s="3">
        <v>800</v>
      </c>
      <c r="J1027" s="3"/>
      <c r="K1027" s="3"/>
      <c r="L1027" s="3"/>
      <c r="M1027" s="3"/>
      <c r="N1027" s="3"/>
      <c r="O1027" s="6">
        <v>23200</v>
      </c>
      <c r="P1027" s="3"/>
    </row>
    <row r="1028" spans="1:16" ht="15.75">
      <c r="A1028" s="3">
        <v>35</v>
      </c>
      <c r="B1028" s="4">
        <v>46231</v>
      </c>
      <c r="C1028" s="3" t="s">
        <v>51</v>
      </c>
      <c r="D1028" s="5" t="s">
        <v>307</v>
      </c>
      <c r="E1028" s="3" t="s">
        <v>309</v>
      </c>
      <c r="F1028" s="3" t="s">
        <v>305</v>
      </c>
      <c r="G1028" s="3" t="s">
        <v>54</v>
      </c>
      <c r="H1028" s="3">
        <v>8307951615</v>
      </c>
      <c r="I1028" s="3">
        <v>1000</v>
      </c>
      <c r="J1028" s="3"/>
      <c r="K1028" s="3"/>
      <c r="L1028" s="3"/>
      <c r="M1028" s="3"/>
      <c r="N1028" s="3"/>
      <c r="O1028" s="6">
        <v>22000</v>
      </c>
      <c r="P1028" s="3"/>
    </row>
    <row r="1029" spans="1:16" ht="15.75">
      <c r="A1029" s="3">
        <v>36</v>
      </c>
      <c r="B1029" s="4">
        <v>46231</v>
      </c>
      <c r="C1029" s="3" t="s">
        <v>51</v>
      </c>
      <c r="D1029" s="5" t="s">
        <v>313</v>
      </c>
      <c r="E1029" s="3" t="s">
        <v>314</v>
      </c>
      <c r="F1029" s="3" t="s">
        <v>311</v>
      </c>
      <c r="G1029" s="3" t="s">
        <v>316</v>
      </c>
      <c r="H1029" s="3">
        <v>8053115922</v>
      </c>
      <c r="I1029" s="3">
        <v>1000</v>
      </c>
      <c r="J1029" s="3"/>
      <c r="K1029" s="3"/>
      <c r="L1029" s="3"/>
      <c r="M1029" s="3"/>
      <c r="N1029" s="3"/>
      <c r="O1029" s="6">
        <v>22000</v>
      </c>
      <c r="P1029" s="3"/>
    </row>
    <row r="1030" spans="1:16" ht="15.75">
      <c r="A1030" s="3">
        <v>37</v>
      </c>
      <c r="B1030" s="4">
        <v>46231</v>
      </c>
      <c r="C1030" s="3" t="s">
        <v>51</v>
      </c>
      <c r="D1030" s="5" t="s">
        <v>324</v>
      </c>
      <c r="E1030" s="3" t="s">
        <v>130</v>
      </c>
      <c r="F1030" s="3" t="s">
        <v>317</v>
      </c>
      <c r="G1030" s="3" t="s">
        <v>318</v>
      </c>
      <c r="H1030" s="3">
        <v>9034416529</v>
      </c>
      <c r="I1030" s="3">
        <v>1000</v>
      </c>
      <c r="J1030" s="3"/>
      <c r="K1030" s="3"/>
      <c r="L1030" s="3"/>
      <c r="M1030" s="3"/>
      <c r="N1030" s="3"/>
      <c r="O1030" s="6">
        <v>22000</v>
      </c>
      <c r="P1030" s="3"/>
    </row>
    <row r="1031" spans="1:16" ht="15.75">
      <c r="A1031" s="3">
        <v>38</v>
      </c>
      <c r="B1031" s="4">
        <v>46231</v>
      </c>
      <c r="C1031" s="3" t="s">
        <v>51</v>
      </c>
      <c r="D1031" s="5" t="s">
        <v>325</v>
      </c>
      <c r="E1031" s="3" t="s">
        <v>130</v>
      </c>
      <c r="F1031" s="3" t="s">
        <v>319</v>
      </c>
      <c r="G1031" s="3" t="s">
        <v>320</v>
      </c>
      <c r="H1031" s="3">
        <v>9728411675</v>
      </c>
      <c r="I1031" s="3">
        <v>1000</v>
      </c>
      <c r="J1031" s="3"/>
      <c r="K1031" s="3"/>
      <c r="L1031" s="3"/>
      <c r="M1031" s="3"/>
      <c r="N1031" s="3"/>
      <c r="O1031" s="6">
        <v>22000</v>
      </c>
      <c r="P1031" s="3"/>
    </row>
    <row r="1032" spans="1:16" ht="15.75">
      <c r="A1032" s="3">
        <v>39</v>
      </c>
      <c r="B1032" s="4">
        <v>46231</v>
      </c>
      <c r="C1032" s="3" t="s">
        <v>51</v>
      </c>
      <c r="D1032" s="5" t="s">
        <v>326</v>
      </c>
      <c r="E1032" s="3" t="s">
        <v>130</v>
      </c>
      <c r="F1032" s="3" t="s">
        <v>321</v>
      </c>
      <c r="G1032" s="3" t="s">
        <v>322</v>
      </c>
      <c r="H1032" s="3">
        <v>9034416529</v>
      </c>
      <c r="I1032" s="3">
        <v>1000</v>
      </c>
      <c r="J1032" s="3"/>
      <c r="K1032" s="3"/>
      <c r="L1032" s="3"/>
      <c r="M1032" s="3"/>
      <c r="N1032" s="3"/>
      <c r="O1032" s="6">
        <v>22000</v>
      </c>
      <c r="P1032" s="3"/>
    </row>
    <row r="1033" spans="1:16" ht="15.75">
      <c r="A1033" s="3">
        <v>40</v>
      </c>
      <c r="B1033" s="4">
        <v>46231</v>
      </c>
      <c r="C1033" s="3" t="s">
        <v>51</v>
      </c>
      <c r="D1033" s="5" t="s">
        <v>327</v>
      </c>
      <c r="E1033" s="3" t="s">
        <v>300</v>
      </c>
      <c r="F1033" s="3" t="s">
        <v>180</v>
      </c>
      <c r="G1033" s="3" t="s">
        <v>78</v>
      </c>
      <c r="H1033" s="3">
        <v>7027786391</v>
      </c>
      <c r="I1033" s="3">
        <v>1000</v>
      </c>
      <c r="J1033" s="3"/>
      <c r="K1033" s="3"/>
      <c r="L1033" s="3"/>
      <c r="M1033" s="3"/>
      <c r="N1033" s="3"/>
      <c r="O1033" s="6">
        <v>22000</v>
      </c>
      <c r="P1033" s="3"/>
    </row>
    <row r="1034" spans="1:16" ht="15.75">
      <c r="A1034" s="3">
        <v>41</v>
      </c>
      <c r="B1034" s="4">
        <v>46231</v>
      </c>
      <c r="C1034" s="3" t="s">
        <v>51</v>
      </c>
      <c r="D1034" s="5" t="s">
        <v>328</v>
      </c>
      <c r="E1034" s="3" t="s">
        <v>130</v>
      </c>
      <c r="F1034" s="3" t="s">
        <v>323</v>
      </c>
      <c r="G1034" s="3" t="s">
        <v>126</v>
      </c>
      <c r="H1034" s="3">
        <v>9996695743</v>
      </c>
      <c r="I1034" s="3">
        <v>1000</v>
      </c>
      <c r="J1034" s="3"/>
      <c r="K1034" s="3"/>
      <c r="L1034" s="3"/>
      <c r="M1034" s="3"/>
      <c r="N1034" s="3"/>
      <c r="O1034" s="6">
        <v>22000</v>
      </c>
      <c r="P1034" s="3"/>
    </row>
    <row r="1035" spans="1:16" ht="15.75">
      <c r="A1035" s="3">
        <v>42</v>
      </c>
      <c r="B1035" s="4">
        <v>46231</v>
      </c>
      <c r="C1035" s="3" t="s">
        <v>51</v>
      </c>
      <c r="D1035" s="5" t="s">
        <v>345</v>
      </c>
      <c r="E1035" s="3" t="s">
        <v>349</v>
      </c>
      <c r="F1035" s="3" t="s">
        <v>337</v>
      </c>
      <c r="G1035" s="3" t="s">
        <v>338</v>
      </c>
      <c r="H1035" s="3">
        <v>9306916119</v>
      </c>
      <c r="I1035" s="3">
        <v>810</v>
      </c>
      <c r="J1035" s="3"/>
      <c r="K1035" s="3"/>
      <c r="L1035" s="3"/>
      <c r="M1035" s="3"/>
      <c r="N1035" s="3"/>
      <c r="O1035" s="6">
        <v>17820</v>
      </c>
      <c r="P1035" s="3"/>
    </row>
    <row r="1036" spans="1:16" ht="15.75">
      <c r="A1036" s="3">
        <v>43</v>
      </c>
      <c r="B1036" s="4">
        <v>46231</v>
      </c>
      <c r="C1036" s="3" t="s">
        <v>51</v>
      </c>
      <c r="D1036" s="5" t="s">
        <v>350</v>
      </c>
      <c r="E1036" s="3" t="s">
        <v>197</v>
      </c>
      <c r="F1036" s="3" t="s">
        <v>358</v>
      </c>
      <c r="G1036" s="3" t="s">
        <v>364</v>
      </c>
      <c r="H1036" s="3">
        <v>9319598592</v>
      </c>
      <c r="I1036" s="3">
        <v>1000</v>
      </c>
      <c r="J1036" s="3"/>
      <c r="K1036" s="3"/>
      <c r="L1036" s="3"/>
      <c r="M1036" s="3"/>
      <c r="N1036" s="3"/>
      <c r="O1036" s="6">
        <v>24000</v>
      </c>
      <c r="P1036" s="3"/>
    </row>
    <row r="1037" spans="1:16" ht="15.75">
      <c r="A1037" s="3">
        <v>44</v>
      </c>
      <c r="B1037" s="4">
        <v>46231</v>
      </c>
      <c r="C1037" s="3" t="s">
        <v>51</v>
      </c>
      <c r="D1037" s="5" t="s">
        <v>351</v>
      </c>
      <c r="E1037" s="3" t="s">
        <v>308</v>
      </c>
      <c r="F1037" s="3" t="s">
        <v>360</v>
      </c>
      <c r="G1037" s="3" t="s">
        <v>365</v>
      </c>
      <c r="H1037" s="3">
        <v>9582305438</v>
      </c>
      <c r="I1037" s="3">
        <v>810</v>
      </c>
      <c r="J1037" s="3"/>
      <c r="K1037" s="3"/>
      <c r="L1037" s="3"/>
      <c r="M1037" s="3"/>
      <c r="N1037" s="3"/>
      <c r="O1037" s="6">
        <v>17820</v>
      </c>
      <c r="P1037" s="3"/>
    </row>
    <row r="1038" spans="1:16" ht="15.75">
      <c r="A1038" s="3">
        <v>45</v>
      </c>
      <c r="B1038" s="4">
        <v>46231</v>
      </c>
      <c r="C1038" s="3" t="s">
        <v>51</v>
      </c>
      <c r="D1038" s="5" t="s">
        <v>352</v>
      </c>
      <c r="E1038" s="3" t="s">
        <v>300</v>
      </c>
      <c r="F1038" s="3" t="s">
        <v>359</v>
      </c>
      <c r="G1038" s="3" t="s">
        <v>366</v>
      </c>
      <c r="H1038" s="3">
        <v>9813880978</v>
      </c>
      <c r="I1038" s="3">
        <v>810</v>
      </c>
      <c r="J1038" s="3"/>
      <c r="K1038" s="3"/>
      <c r="L1038" s="3"/>
      <c r="M1038" s="3"/>
      <c r="N1038" s="3"/>
      <c r="O1038" s="6">
        <v>17820</v>
      </c>
      <c r="P1038" s="3"/>
    </row>
    <row r="1039" spans="1:16" ht="15.75">
      <c r="A1039" s="3">
        <v>46</v>
      </c>
      <c r="B1039" s="4">
        <v>46231</v>
      </c>
      <c r="C1039" s="3" t="s">
        <v>51</v>
      </c>
      <c r="D1039" s="5" t="s">
        <v>353</v>
      </c>
      <c r="E1039" s="3" t="s">
        <v>308</v>
      </c>
      <c r="F1039" s="3" t="s">
        <v>361</v>
      </c>
      <c r="G1039" s="3" t="s">
        <v>367</v>
      </c>
      <c r="H1039" s="3">
        <v>9319848440</v>
      </c>
      <c r="I1039" s="3">
        <v>1000</v>
      </c>
      <c r="J1039" s="3"/>
      <c r="K1039" s="3"/>
      <c r="L1039" s="3"/>
      <c r="M1039" s="3"/>
      <c r="N1039" s="3"/>
      <c r="O1039" s="6">
        <v>24000</v>
      </c>
      <c r="P1039" s="3"/>
    </row>
    <row r="1040" spans="1:16" ht="15.75">
      <c r="A1040" s="3">
        <v>47</v>
      </c>
      <c r="B1040" s="4">
        <v>46231</v>
      </c>
      <c r="C1040" s="3" t="s">
        <v>51</v>
      </c>
      <c r="D1040" s="5" t="s">
        <v>354</v>
      </c>
      <c r="E1040" s="3" t="s">
        <v>308</v>
      </c>
      <c r="F1040" s="3" t="s">
        <v>203</v>
      </c>
      <c r="G1040" s="3" t="s">
        <v>368</v>
      </c>
      <c r="H1040" s="3">
        <v>9389488234</v>
      </c>
      <c r="I1040" s="3">
        <v>1000</v>
      </c>
      <c r="J1040" s="3"/>
      <c r="K1040" s="3"/>
      <c r="L1040" s="3"/>
      <c r="M1040" s="3"/>
      <c r="N1040" s="3"/>
      <c r="O1040" s="6">
        <v>24000</v>
      </c>
      <c r="P1040" s="3"/>
    </row>
    <row r="1041" spans="1:16" ht="15.75">
      <c r="A1041" s="3">
        <v>48</v>
      </c>
      <c r="B1041" s="4">
        <v>46231</v>
      </c>
      <c r="C1041" s="3" t="s">
        <v>51</v>
      </c>
      <c r="D1041" s="5" t="s">
        <v>355</v>
      </c>
      <c r="E1041" s="3" t="s">
        <v>308</v>
      </c>
      <c r="F1041" s="3" t="s">
        <v>362</v>
      </c>
      <c r="G1041" s="3" t="s">
        <v>369</v>
      </c>
      <c r="H1041" s="3">
        <v>9211692359</v>
      </c>
      <c r="I1041" s="3">
        <v>1000</v>
      </c>
      <c r="J1041" s="3"/>
      <c r="K1041" s="3"/>
      <c r="L1041" s="3"/>
      <c r="M1041" s="3"/>
      <c r="N1041" s="3"/>
      <c r="O1041" s="6">
        <v>24000</v>
      </c>
      <c r="P1041" s="3"/>
    </row>
    <row r="1042" spans="1:16" ht="15.75">
      <c r="A1042" s="3">
        <v>49</v>
      </c>
      <c r="B1042" s="4">
        <v>46231</v>
      </c>
      <c r="C1042" s="3" t="s">
        <v>51</v>
      </c>
      <c r="D1042" s="5" t="s">
        <v>356</v>
      </c>
      <c r="E1042" s="3" t="s">
        <v>357</v>
      </c>
      <c r="F1042" s="3" t="s">
        <v>363</v>
      </c>
      <c r="G1042" s="3" t="s">
        <v>68</v>
      </c>
      <c r="H1042" s="3">
        <v>7027202092</v>
      </c>
      <c r="I1042" s="3">
        <v>810</v>
      </c>
      <c r="J1042" s="3"/>
      <c r="K1042" s="3"/>
      <c r="L1042" s="3"/>
      <c r="M1042" s="3"/>
      <c r="N1042" s="3"/>
      <c r="O1042" s="6">
        <v>17820</v>
      </c>
      <c r="P1042" s="3"/>
    </row>
    <row r="1043" spans="1:16" ht="15.75">
      <c r="A1043" s="3">
        <v>50</v>
      </c>
      <c r="B1043" s="4">
        <v>46231</v>
      </c>
      <c r="C1043" s="3" t="s">
        <v>51</v>
      </c>
      <c r="D1043" s="5" t="s">
        <v>370</v>
      </c>
      <c r="E1043" s="3" t="s">
        <v>308</v>
      </c>
      <c r="F1043" s="3" t="s">
        <v>373</v>
      </c>
      <c r="G1043" s="3" t="s">
        <v>375</v>
      </c>
      <c r="H1043" s="3">
        <v>8929770356</v>
      </c>
      <c r="I1043" s="3">
        <v>1000</v>
      </c>
      <c r="J1043" s="3"/>
      <c r="K1043" s="3"/>
      <c r="L1043" s="3"/>
      <c r="M1043" s="3"/>
      <c r="N1043" s="3"/>
      <c r="O1043" s="6">
        <v>24000</v>
      </c>
      <c r="P1043" s="3"/>
    </row>
    <row r="1044" spans="1:16" ht="15.75">
      <c r="A1044" s="3">
        <v>51</v>
      </c>
      <c r="B1044" s="4">
        <v>46231</v>
      </c>
      <c r="C1044" s="3" t="s">
        <v>51</v>
      </c>
      <c r="D1044" s="5" t="s">
        <v>371</v>
      </c>
      <c r="E1044" s="3" t="s">
        <v>372</v>
      </c>
      <c r="F1044" s="3" t="s">
        <v>374</v>
      </c>
      <c r="G1044" s="3" t="s">
        <v>376</v>
      </c>
      <c r="H1044" s="3">
        <v>9996738835</v>
      </c>
      <c r="I1044" s="3">
        <v>810</v>
      </c>
      <c r="J1044" s="3"/>
      <c r="K1044" s="3"/>
      <c r="L1044" s="3"/>
      <c r="M1044" s="3"/>
      <c r="N1044" s="3"/>
      <c r="O1044" s="6">
        <v>17820</v>
      </c>
      <c r="P1044" s="3"/>
    </row>
    <row r="1045" spans="1:16" ht="15.75">
      <c r="A1045" s="3">
        <v>52</v>
      </c>
      <c r="B1045" s="4">
        <v>46231</v>
      </c>
      <c r="C1045" s="3" t="s">
        <v>51</v>
      </c>
      <c r="D1045" s="5" t="s">
        <v>377</v>
      </c>
      <c r="E1045" s="3" t="s">
        <v>308</v>
      </c>
      <c r="F1045" s="3" t="s">
        <v>384</v>
      </c>
      <c r="G1045" s="3" t="s">
        <v>390</v>
      </c>
      <c r="H1045" s="3">
        <v>9311578306</v>
      </c>
      <c r="I1045" s="3">
        <v>1000</v>
      </c>
      <c r="J1045" s="3"/>
      <c r="K1045" s="3"/>
      <c r="L1045" s="3"/>
      <c r="M1045" s="3"/>
      <c r="N1045" s="3"/>
      <c r="O1045" s="6">
        <v>24000</v>
      </c>
      <c r="P1045" s="3"/>
    </row>
    <row r="1046" spans="1:16" ht="15.75">
      <c r="A1046" s="3">
        <v>53</v>
      </c>
      <c r="B1046" s="4">
        <v>46231</v>
      </c>
      <c r="C1046" s="3" t="s">
        <v>51</v>
      </c>
      <c r="D1046" s="5" t="s">
        <v>378</v>
      </c>
      <c r="E1046" s="3" t="s">
        <v>308</v>
      </c>
      <c r="F1046" s="3" t="s">
        <v>385</v>
      </c>
      <c r="G1046" s="3" t="s">
        <v>54</v>
      </c>
      <c r="H1046" s="3">
        <v>9818635674</v>
      </c>
      <c r="I1046" s="3">
        <v>1000</v>
      </c>
      <c r="J1046" s="3"/>
      <c r="K1046" s="3"/>
      <c r="L1046" s="3"/>
      <c r="M1046" s="3"/>
      <c r="N1046" s="3"/>
      <c r="O1046" s="6">
        <v>24000</v>
      </c>
      <c r="P1046" s="3"/>
    </row>
    <row r="1047" spans="1:16" ht="15.75">
      <c r="A1047" s="3">
        <v>54</v>
      </c>
      <c r="B1047" s="4">
        <v>46231</v>
      </c>
      <c r="C1047" s="3" t="s">
        <v>51</v>
      </c>
      <c r="D1047" s="5" t="s">
        <v>379</v>
      </c>
      <c r="E1047" s="3" t="s">
        <v>130</v>
      </c>
      <c r="F1047" s="3" t="s">
        <v>132</v>
      </c>
      <c r="G1047" s="3" t="s">
        <v>391</v>
      </c>
      <c r="H1047" s="3">
        <v>9728976983</v>
      </c>
      <c r="I1047" s="3">
        <v>810</v>
      </c>
      <c r="J1047" s="3"/>
      <c r="K1047" s="3"/>
      <c r="L1047" s="3"/>
      <c r="M1047" s="3"/>
      <c r="N1047" s="3"/>
      <c r="O1047" s="6">
        <v>17820</v>
      </c>
      <c r="P1047" s="3"/>
    </row>
    <row r="1048" spans="1:16" ht="15.75">
      <c r="A1048" s="3">
        <v>55</v>
      </c>
      <c r="B1048" s="4">
        <v>46231</v>
      </c>
      <c r="C1048" s="3" t="s">
        <v>51</v>
      </c>
      <c r="D1048" s="5" t="s">
        <v>380</v>
      </c>
      <c r="E1048" s="3" t="s">
        <v>130</v>
      </c>
      <c r="F1048" s="3" t="s">
        <v>386</v>
      </c>
      <c r="G1048" s="3" t="s">
        <v>389</v>
      </c>
      <c r="H1048" s="3">
        <v>9671616193</v>
      </c>
      <c r="I1048" s="3">
        <v>810</v>
      </c>
      <c r="J1048" s="3"/>
      <c r="K1048" s="3"/>
      <c r="L1048" s="3"/>
      <c r="M1048" s="3"/>
      <c r="N1048" s="3"/>
      <c r="O1048" s="6">
        <v>17820</v>
      </c>
      <c r="P1048" s="3"/>
    </row>
    <row r="1049" spans="1:16" ht="15.75">
      <c r="A1049" s="3">
        <v>56</v>
      </c>
      <c r="B1049" s="4">
        <v>46231</v>
      </c>
      <c r="C1049" s="3" t="s">
        <v>51</v>
      </c>
      <c r="D1049" s="5" t="s">
        <v>424</v>
      </c>
      <c r="E1049" s="3" t="s">
        <v>431</v>
      </c>
      <c r="F1049" s="3" t="s">
        <v>435</v>
      </c>
      <c r="G1049" s="3" t="s">
        <v>388</v>
      </c>
      <c r="H1049" s="3">
        <v>9812971544</v>
      </c>
      <c r="I1049" s="3">
        <v>1000</v>
      </c>
      <c r="J1049" s="3"/>
      <c r="K1049" s="3"/>
      <c r="L1049" s="3"/>
      <c r="M1049" s="3"/>
      <c r="N1049" s="3"/>
      <c r="O1049" s="6">
        <v>26000</v>
      </c>
      <c r="P1049" s="3"/>
    </row>
    <row r="1050" spans="1:16" ht="15.75">
      <c r="A1050" s="3">
        <v>57</v>
      </c>
      <c r="B1050" s="4">
        <v>46231</v>
      </c>
      <c r="C1050" s="3" t="s">
        <v>51</v>
      </c>
      <c r="D1050" s="5" t="s">
        <v>425</v>
      </c>
      <c r="E1050" s="3" t="s">
        <v>434</v>
      </c>
      <c r="F1050" s="3" t="s">
        <v>436</v>
      </c>
      <c r="G1050" s="3" t="s">
        <v>439</v>
      </c>
      <c r="H1050" s="3">
        <v>7027263992</v>
      </c>
      <c r="I1050" s="3">
        <v>810</v>
      </c>
      <c r="J1050" s="3"/>
      <c r="K1050" s="3"/>
      <c r="L1050" s="3"/>
      <c r="M1050" s="3"/>
      <c r="N1050" s="3"/>
      <c r="O1050" s="6">
        <v>19440</v>
      </c>
      <c r="P1050" s="3"/>
    </row>
    <row r="1051" spans="1:16" ht="15.75">
      <c r="A1051" s="3">
        <v>58</v>
      </c>
      <c r="B1051" s="4">
        <v>46231</v>
      </c>
      <c r="C1051" s="3" t="s">
        <v>51</v>
      </c>
      <c r="D1051" s="5" t="s">
        <v>427</v>
      </c>
      <c r="E1051" s="3" t="s">
        <v>433</v>
      </c>
      <c r="F1051" s="3" t="s">
        <v>437</v>
      </c>
      <c r="G1051" s="3" t="s">
        <v>440</v>
      </c>
      <c r="H1051" s="3">
        <v>9992517804</v>
      </c>
      <c r="I1051" s="3">
        <v>1000</v>
      </c>
      <c r="J1051" s="3"/>
      <c r="K1051" s="3"/>
      <c r="L1051" s="3"/>
      <c r="M1051" s="3"/>
      <c r="N1051" s="3"/>
      <c r="O1051" s="6">
        <v>26000</v>
      </c>
      <c r="P1051" s="3"/>
    </row>
    <row r="1052" spans="1:16" ht="15.75">
      <c r="A1052" s="3">
        <v>59</v>
      </c>
      <c r="B1052" s="4">
        <v>46231</v>
      </c>
      <c r="C1052" s="3" t="s">
        <v>51</v>
      </c>
      <c r="D1052" s="5" t="s">
        <v>449</v>
      </c>
      <c r="E1052" s="3" t="s">
        <v>451</v>
      </c>
      <c r="F1052" s="3" t="s">
        <v>132</v>
      </c>
      <c r="G1052" s="3" t="s">
        <v>450</v>
      </c>
      <c r="H1052" s="3">
        <v>8178071116</v>
      </c>
      <c r="I1052" s="3">
        <v>1000</v>
      </c>
      <c r="J1052" s="3"/>
      <c r="K1052" s="3"/>
      <c r="L1052" s="3"/>
      <c r="M1052" s="3"/>
      <c r="N1052" s="3"/>
      <c r="O1052" s="6">
        <v>27000</v>
      </c>
      <c r="P1052" s="3"/>
    </row>
    <row r="1053" spans="1:16" ht="15.75">
      <c r="A1053" s="3">
        <v>60</v>
      </c>
      <c r="B1053" s="4">
        <v>46231</v>
      </c>
      <c r="C1053" s="3" t="s">
        <v>51</v>
      </c>
      <c r="D1053" s="6" t="s">
        <v>452</v>
      </c>
      <c r="E1053" s="3" t="s">
        <v>453</v>
      </c>
      <c r="F1053" s="3" t="s">
        <v>454</v>
      </c>
      <c r="G1053" s="3" t="s">
        <v>182</v>
      </c>
      <c r="H1053" s="3">
        <v>9354235940</v>
      </c>
      <c r="I1053" s="3">
        <v>1000</v>
      </c>
      <c r="J1053" s="3"/>
      <c r="K1053" s="3"/>
      <c r="L1053" s="3"/>
      <c r="M1053" s="3"/>
      <c r="N1053" s="3"/>
      <c r="O1053" s="6">
        <v>27000</v>
      </c>
      <c r="P1053" s="3"/>
    </row>
    <row r="1054" spans="1:16" ht="15.75">
      <c r="A1054" s="3">
        <v>61</v>
      </c>
      <c r="B1054" s="4">
        <v>46231</v>
      </c>
      <c r="C1054" s="3" t="s">
        <v>51</v>
      </c>
      <c r="D1054" s="6" t="s">
        <v>455</v>
      </c>
      <c r="E1054" s="3" t="s">
        <v>456</v>
      </c>
      <c r="F1054" s="3" t="s">
        <v>457</v>
      </c>
      <c r="G1054" s="3" t="s">
        <v>458</v>
      </c>
      <c r="H1054" s="3">
        <v>9821138185</v>
      </c>
      <c r="I1054" s="3">
        <v>1000</v>
      </c>
      <c r="J1054" s="3"/>
      <c r="K1054" s="3"/>
      <c r="L1054" s="3"/>
      <c r="M1054" s="3"/>
      <c r="N1054" s="3"/>
      <c r="O1054" s="6">
        <v>27000</v>
      </c>
      <c r="P1054" s="3"/>
    </row>
    <row r="1055" spans="1:16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1:1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1:16">
      <c r="A1057" s="3"/>
      <c r="B1057" s="3"/>
      <c r="C1057" s="3"/>
      <c r="D1057" s="3"/>
      <c r="E1057" s="3"/>
      <c r="F1057" s="3"/>
      <c r="G1057" s="3"/>
      <c r="H1057" s="3"/>
      <c r="I1057" s="3">
        <f>SUM(I994:I1056)</f>
        <v>51680</v>
      </c>
      <c r="J1057" s="3"/>
      <c r="K1057" s="3"/>
      <c r="L1057" s="3"/>
      <c r="M1057" s="3"/>
      <c r="N1057" s="3"/>
      <c r="O1057" s="3">
        <f>SUM(O994:O1056)</f>
        <v>1135830</v>
      </c>
      <c r="P1057" s="3"/>
    </row>
    <row r="1061" spans="1:16" ht="27.75">
      <c r="A1061" s="142" t="s">
        <v>102</v>
      </c>
      <c r="B1061" s="142"/>
      <c r="C1061" s="142"/>
      <c r="D1061" s="142"/>
      <c r="E1061" s="142"/>
      <c r="F1061" s="142"/>
      <c r="G1061" s="142"/>
      <c r="H1061" s="142"/>
      <c r="I1061" s="142"/>
      <c r="J1061" s="142"/>
      <c r="K1061" s="142"/>
      <c r="L1061" s="142"/>
      <c r="M1061" s="142"/>
      <c r="N1061" s="142"/>
      <c r="O1061" s="142"/>
      <c r="P1061" s="142"/>
    </row>
    <row r="1062" spans="1:16" ht="75">
      <c r="A1062" s="1" t="s">
        <v>87</v>
      </c>
      <c r="B1062" s="1" t="s">
        <v>103</v>
      </c>
      <c r="C1062" s="1" t="s">
        <v>88</v>
      </c>
      <c r="D1062" s="1" t="s">
        <v>104</v>
      </c>
      <c r="E1062" s="1" t="s">
        <v>105</v>
      </c>
      <c r="F1062" s="1" t="s">
        <v>106</v>
      </c>
      <c r="G1062" s="1" t="s">
        <v>93</v>
      </c>
      <c r="H1062" s="1" t="s">
        <v>107</v>
      </c>
      <c r="I1062" s="1" t="s">
        <v>108</v>
      </c>
      <c r="J1062" s="1" t="s">
        <v>109</v>
      </c>
      <c r="K1062" s="1" t="s">
        <v>110</v>
      </c>
      <c r="L1062" s="1" t="s">
        <v>21</v>
      </c>
      <c r="M1062" s="1" t="s">
        <v>45</v>
      </c>
      <c r="N1062" s="1" t="s">
        <v>111</v>
      </c>
      <c r="O1062" s="2" t="s">
        <v>112</v>
      </c>
      <c r="P1062" s="1" t="s">
        <v>113</v>
      </c>
    </row>
    <row r="1063" spans="1:16" ht="15.75">
      <c r="A1063" s="97">
        <v>1</v>
      </c>
      <c r="B1063" s="98">
        <v>46232</v>
      </c>
      <c r="C1063" s="97" t="s">
        <v>51</v>
      </c>
      <c r="D1063" s="5" t="s">
        <v>56</v>
      </c>
      <c r="E1063" s="5" t="s">
        <v>49</v>
      </c>
      <c r="F1063" s="5" t="s">
        <v>53</v>
      </c>
      <c r="G1063" s="5" t="s">
        <v>54</v>
      </c>
      <c r="H1063" s="5">
        <v>9416205447</v>
      </c>
      <c r="I1063" s="5">
        <v>750</v>
      </c>
      <c r="J1063" s="7"/>
      <c r="K1063" s="7"/>
      <c r="L1063" s="7"/>
      <c r="M1063" s="7"/>
      <c r="N1063" s="7"/>
      <c r="O1063" s="5">
        <v>9750</v>
      </c>
      <c r="P1063" s="7"/>
    </row>
    <row r="1064" spans="1:16" ht="15.75">
      <c r="A1064" s="97">
        <v>2</v>
      </c>
      <c r="B1064" s="98">
        <v>46232</v>
      </c>
      <c r="C1064" s="97" t="s">
        <v>51</v>
      </c>
      <c r="D1064" s="5" t="s">
        <v>61</v>
      </c>
      <c r="E1064" s="5" t="s">
        <v>58</v>
      </c>
      <c r="F1064" s="5" t="s">
        <v>59</v>
      </c>
      <c r="G1064" s="5" t="s">
        <v>60</v>
      </c>
      <c r="H1064" s="5">
        <v>7082390753</v>
      </c>
      <c r="I1064" s="5">
        <v>750</v>
      </c>
      <c r="J1064" s="7"/>
      <c r="K1064" s="7"/>
      <c r="L1064" s="7"/>
      <c r="M1064" s="7"/>
      <c r="N1064" s="7"/>
      <c r="O1064" s="5">
        <v>9750</v>
      </c>
      <c r="P1064" s="7"/>
    </row>
    <row r="1065" spans="1:16" ht="15.75">
      <c r="A1065" s="97">
        <v>3</v>
      </c>
      <c r="B1065" s="98">
        <v>46232</v>
      </c>
      <c r="C1065" s="97" t="s">
        <v>51</v>
      </c>
      <c r="D1065" s="5" t="s">
        <v>65</v>
      </c>
      <c r="E1065" s="5" t="s">
        <v>62</v>
      </c>
      <c r="F1065" s="5" t="s">
        <v>63</v>
      </c>
      <c r="G1065" s="5" t="s">
        <v>64</v>
      </c>
      <c r="H1065" s="5">
        <v>9050560127</v>
      </c>
      <c r="I1065" s="5">
        <v>750</v>
      </c>
      <c r="J1065" s="7"/>
      <c r="K1065" s="7"/>
      <c r="L1065" s="7"/>
      <c r="M1065" s="7"/>
      <c r="N1065" s="7"/>
      <c r="O1065" s="5">
        <v>9750</v>
      </c>
      <c r="P1065" s="7"/>
    </row>
    <row r="1066" spans="1:16" ht="15.75">
      <c r="A1066" s="97">
        <v>4</v>
      </c>
      <c r="B1066" s="98">
        <v>46232</v>
      </c>
      <c r="C1066" s="97" t="s">
        <v>51</v>
      </c>
      <c r="D1066" s="5" t="s">
        <v>76</v>
      </c>
      <c r="E1066" s="5" t="s">
        <v>62</v>
      </c>
      <c r="F1066" s="6" t="s">
        <v>74</v>
      </c>
      <c r="G1066" s="6" t="s">
        <v>75</v>
      </c>
      <c r="H1066" s="6">
        <v>8607782625</v>
      </c>
      <c r="I1066" s="5">
        <v>750</v>
      </c>
      <c r="J1066" s="7"/>
      <c r="K1066" s="7"/>
      <c r="L1066" s="7"/>
      <c r="M1066" s="7"/>
      <c r="N1066" s="7"/>
      <c r="O1066" s="5">
        <v>9750</v>
      </c>
      <c r="P1066" s="7"/>
    </row>
    <row r="1067" spans="1:16" ht="15.75">
      <c r="A1067" s="97">
        <v>5</v>
      </c>
      <c r="B1067" s="98">
        <v>46232</v>
      </c>
      <c r="C1067" s="97" t="s">
        <v>51</v>
      </c>
      <c r="D1067" s="5" t="s">
        <v>116</v>
      </c>
      <c r="E1067" s="10" t="s">
        <v>118</v>
      </c>
      <c r="F1067" s="10" t="s">
        <v>122</v>
      </c>
      <c r="G1067" s="10" t="s">
        <v>126</v>
      </c>
      <c r="H1067" s="10">
        <v>9971164371</v>
      </c>
      <c r="I1067" s="10">
        <v>750</v>
      </c>
      <c r="J1067" s="7"/>
      <c r="K1067" s="7"/>
      <c r="L1067" s="7"/>
      <c r="M1067" s="7"/>
      <c r="N1067" s="7"/>
      <c r="O1067" s="5">
        <v>10500</v>
      </c>
      <c r="P1067" s="7"/>
    </row>
    <row r="1068" spans="1:16" ht="15.75">
      <c r="A1068" s="97">
        <v>6</v>
      </c>
      <c r="B1068" s="98">
        <v>46232</v>
      </c>
      <c r="C1068" s="97" t="s">
        <v>51</v>
      </c>
      <c r="D1068" s="5" t="s">
        <v>117</v>
      </c>
      <c r="E1068" s="10" t="s">
        <v>119</v>
      </c>
      <c r="F1068" s="10" t="s">
        <v>123</v>
      </c>
      <c r="G1068" s="10" t="s">
        <v>127</v>
      </c>
      <c r="H1068" s="10">
        <v>8816966347</v>
      </c>
      <c r="I1068" s="10">
        <v>750</v>
      </c>
      <c r="J1068" s="7"/>
      <c r="K1068" s="7"/>
      <c r="L1068" s="7"/>
      <c r="M1068" s="7"/>
      <c r="N1068" s="7"/>
      <c r="O1068" s="5">
        <v>10500</v>
      </c>
      <c r="P1068" s="7"/>
    </row>
    <row r="1069" spans="1:16" ht="15.75">
      <c r="A1069" s="97">
        <v>7</v>
      </c>
      <c r="B1069" s="98">
        <v>46232</v>
      </c>
      <c r="C1069" s="97" t="s">
        <v>51</v>
      </c>
      <c r="D1069" s="5" t="s">
        <v>146</v>
      </c>
      <c r="E1069" s="5" t="s">
        <v>128</v>
      </c>
      <c r="F1069" s="5" t="s">
        <v>131</v>
      </c>
      <c r="G1069" s="5" t="s">
        <v>139</v>
      </c>
      <c r="H1069" s="5">
        <v>8295428639</v>
      </c>
      <c r="I1069" s="5">
        <v>800</v>
      </c>
      <c r="J1069" s="7"/>
      <c r="K1069" s="7"/>
      <c r="L1069" s="7"/>
      <c r="M1069" s="7"/>
      <c r="N1069" s="7"/>
      <c r="O1069" s="5">
        <v>18400</v>
      </c>
      <c r="P1069" s="7"/>
    </row>
    <row r="1070" spans="1:16" ht="15.75">
      <c r="A1070" s="97">
        <v>8</v>
      </c>
      <c r="B1070" s="98">
        <v>46232</v>
      </c>
      <c r="C1070" s="97" t="s">
        <v>51</v>
      </c>
      <c r="D1070" s="5" t="s">
        <v>148</v>
      </c>
      <c r="E1070" s="5" t="s">
        <v>130</v>
      </c>
      <c r="F1070" s="5" t="s">
        <v>133</v>
      </c>
      <c r="G1070" s="5" t="s">
        <v>68</v>
      </c>
      <c r="H1070" s="5">
        <v>9050180519</v>
      </c>
      <c r="I1070" s="6">
        <v>750</v>
      </c>
      <c r="J1070" s="7"/>
      <c r="K1070" s="7"/>
      <c r="L1070" s="7"/>
      <c r="M1070" s="7"/>
      <c r="N1070" s="7"/>
      <c r="O1070" s="5">
        <v>12000</v>
      </c>
      <c r="P1070" s="7"/>
    </row>
    <row r="1071" spans="1:16" ht="15.75">
      <c r="A1071" s="97">
        <v>9</v>
      </c>
      <c r="B1071" s="98">
        <v>46232</v>
      </c>
      <c r="C1071" s="97" t="s">
        <v>51</v>
      </c>
      <c r="D1071" s="5" t="s">
        <v>149</v>
      </c>
      <c r="E1071" s="5" t="s">
        <v>119</v>
      </c>
      <c r="F1071" s="5" t="s">
        <v>134</v>
      </c>
      <c r="G1071" s="5" t="s">
        <v>141</v>
      </c>
      <c r="H1071" s="5">
        <v>9671597235</v>
      </c>
      <c r="I1071" s="5">
        <v>800</v>
      </c>
      <c r="J1071" s="7"/>
      <c r="K1071" s="7"/>
      <c r="L1071" s="7"/>
      <c r="M1071" s="7"/>
      <c r="N1071" s="7"/>
      <c r="O1071" s="5">
        <v>18400</v>
      </c>
      <c r="P1071" s="7"/>
    </row>
    <row r="1072" spans="1:16" ht="15.75">
      <c r="A1072" s="97">
        <v>10</v>
      </c>
      <c r="B1072" s="98">
        <v>46232</v>
      </c>
      <c r="C1072" s="97" t="s">
        <v>51</v>
      </c>
      <c r="D1072" s="5" t="s">
        <v>150</v>
      </c>
      <c r="E1072" s="5" t="s">
        <v>119</v>
      </c>
      <c r="F1072" s="5" t="s">
        <v>135</v>
      </c>
      <c r="G1072" s="5" t="s">
        <v>142</v>
      </c>
      <c r="H1072" s="5">
        <v>9729501850</v>
      </c>
      <c r="I1072" s="5">
        <v>800</v>
      </c>
      <c r="J1072" s="7"/>
      <c r="K1072" s="7"/>
      <c r="L1072" s="7"/>
      <c r="M1072" s="7"/>
      <c r="N1072" s="7"/>
      <c r="O1072" s="5">
        <v>18400</v>
      </c>
      <c r="P1072" s="7"/>
    </row>
    <row r="1073" spans="1:16" ht="15.75">
      <c r="A1073" s="97">
        <v>11</v>
      </c>
      <c r="B1073" s="98">
        <v>46232</v>
      </c>
      <c r="C1073" s="97" t="s">
        <v>51</v>
      </c>
      <c r="D1073" s="5" t="s">
        <v>152</v>
      </c>
      <c r="E1073" s="5" t="s">
        <v>119</v>
      </c>
      <c r="F1073" s="5" t="s">
        <v>137</v>
      </c>
      <c r="G1073" s="5" t="s">
        <v>144</v>
      </c>
      <c r="H1073" s="5">
        <v>9991638771</v>
      </c>
      <c r="I1073" s="5">
        <v>800</v>
      </c>
      <c r="J1073" s="7"/>
      <c r="K1073" s="7"/>
      <c r="L1073" s="7"/>
      <c r="M1073" s="7"/>
      <c r="N1073" s="7"/>
      <c r="O1073" s="5">
        <v>18400</v>
      </c>
      <c r="P1073" s="7"/>
    </row>
    <row r="1074" spans="1:16" ht="15.75">
      <c r="A1074" s="97">
        <v>12</v>
      </c>
      <c r="B1074" s="98">
        <v>46232</v>
      </c>
      <c r="C1074" s="97" t="s">
        <v>51</v>
      </c>
      <c r="D1074" s="5" t="s">
        <v>158</v>
      </c>
      <c r="E1074" s="10" t="s">
        <v>119</v>
      </c>
      <c r="F1074" s="10" t="s">
        <v>71</v>
      </c>
      <c r="G1074" s="10" t="s">
        <v>167</v>
      </c>
      <c r="H1074" s="10">
        <v>9992401965</v>
      </c>
      <c r="I1074" s="5">
        <v>800</v>
      </c>
      <c r="J1074" s="7"/>
      <c r="K1074" s="7"/>
      <c r="L1074" s="7"/>
      <c r="M1074" s="7"/>
      <c r="N1074" s="7"/>
      <c r="O1074" s="5">
        <v>18400</v>
      </c>
      <c r="P1074" s="7"/>
    </row>
    <row r="1075" spans="1:16" ht="15.75">
      <c r="A1075" s="97">
        <v>13</v>
      </c>
      <c r="B1075" s="98">
        <v>46232</v>
      </c>
      <c r="C1075" s="97" t="s">
        <v>51</v>
      </c>
      <c r="D1075" s="5" t="s">
        <v>159</v>
      </c>
      <c r="E1075" s="10" t="s">
        <v>171</v>
      </c>
      <c r="F1075" s="10" t="s">
        <v>163</v>
      </c>
      <c r="G1075" s="10" t="s">
        <v>168</v>
      </c>
      <c r="H1075" s="10">
        <v>7404474940</v>
      </c>
      <c r="I1075" s="6">
        <v>750</v>
      </c>
      <c r="J1075" s="7"/>
      <c r="K1075" s="7"/>
      <c r="L1075" s="7"/>
      <c r="M1075" s="7"/>
      <c r="N1075" s="7"/>
      <c r="O1075" s="5">
        <v>11250</v>
      </c>
      <c r="P1075" s="7"/>
    </row>
    <row r="1076" spans="1:16" ht="15.75">
      <c r="A1076" s="97">
        <v>14</v>
      </c>
      <c r="B1076" s="98">
        <v>46232</v>
      </c>
      <c r="C1076" s="97" t="s">
        <v>51</v>
      </c>
      <c r="D1076" s="5" t="s">
        <v>160</v>
      </c>
      <c r="E1076" s="10" t="s">
        <v>172</v>
      </c>
      <c r="F1076" s="10" t="s">
        <v>164</v>
      </c>
      <c r="G1076" s="10" t="s">
        <v>169</v>
      </c>
      <c r="H1076" s="10">
        <v>9540614028</v>
      </c>
      <c r="I1076" s="5">
        <v>800</v>
      </c>
      <c r="J1076" s="7"/>
      <c r="K1076" s="7"/>
      <c r="L1076" s="7"/>
      <c r="M1076" s="7"/>
      <c r="N1076" s="7"/>
      <c r="O1076" s="5">
        <v>18400</v>
      </c>
      <c r="P1076" s="7"/>
    </row>
    <row r="1077" spans="1:16" ht="15.75">
      <c r="A1077" s="97">
        <v>15</v>
      </c>
      <c r="B1077" s="98">
        <v>46232</v>
      </c>
      <c r="C1077" s="97" t="s">
        <v>51</v>
      </c>
      <c r="D1077" s="5" t="s">
        <v>161</v>
      </c>
      <c r="E1077" s="10" t="s">
        <v>119</v>
      </c>
      <c r="F1077" s="10" t="s">
        <v>165</v>
      </c>
      <c r="G1077" s="10" t="s">
        <v>140</v>
      </c>
      <c r="H1077" s="10">
        <v>8395910861</v>
      </c>
      <c r="I1077" s="6">
        <v>750</v>
      </c>
      <c r="J1077" s="7"/>
      <c r="K1077" s="7"/>
      <c r="L1077" s="7"/>
      <c r="M1077" s="7"/>
      <c r="N1077" s="7"/>
      <c r="O1077" s="5">
        <v>11250</v>
      </c>
      <c r="P1077" s="7"/>
    </row>
    <row r="1078" spans="1:16" ht="15.75">
      <c r="A1078" s="97">
        <v>16</v>
      </c>
      <c r="B1078" s="98">
        <v>46232</v>
      </c>
      <c r="C1078" s="97" t="s">
        <v>51</v>
      </c>
      <c r="D1078" s="5" t="s">
        <v>162</v>
      </c>
      <c r="E1078" s="10" t="s">
        <v>119</v>
      </c>
      <c r="F1078" s="10" t="s">
        <v>166</v>
      </c>
      <c r="G1078" s="10" t="s">
        <v>170</v>
      </c>
      <c r="H1078" s="10">
        <v>9671227093</v>
      </c>
      <c r="I1078" s="5">
        <v>800</v>
      </c>
      <c r="J1078" s="7"/>
      <c r="K1078" s="7"/>
      <c r="L1078" s="7"/>
      <c r="M1078" s="7"/>
      <c r="N1078" s="7"/>
      <c r="O1078" s="5">
        <v>18400</v>
      </c>
      <c r="P1078" s="7"/>
    </row>
    <row r="1079" spans="1:16" ht="15.75">
      <c r="A1079" s="97">
        <v>17</v>
      </c>
      <c r="B1079" s="98">
        <v>46232</v>
      </c>
      <c r="C1079" s="97" t="s">
        <v>51</v>
      </c>
      <c r="D1079" s="5" t="s">
        <v>174</v>
      </c>
      <c r="E1079" s="5" t="s">
        <v>177</v>
      </c>
      <c r="F1079" s="10" t="s">
        <v>179</v>
      </c>
      <c r="G1079" s="10" t="s">
        <v>181</v>
      </c>
      <c r="H1079" s="10">
        <v>9991575314</v>
      </c>
      <c r="I1079" s="3">
        <v>800</v>
      </c>
      <c r="J1079" s="7"/>
      <c r="K1079" s="7"/>
      <c r="L1079" s="7"/>
      <c r="M1079" s="7"/>
      <c r="N1079" s="7"/>
      <c r="O1079" s="5">
        <v>19200</v>
      </c>
      <c r="P1079" s="7"/>
    </row>
    <row r="1080" spans="1:16" ht="15.75">
      <c r="A1080" s="97">
        <v>18</v>
      </c>
      <c r="B1080" s="98">
        <v>46232</v>
      </c>
      <c r="C1080" s="97" t="s">
        <v>51</v>
      </c>
      <c r="D1080" s="5" t="s">
        <v>175</v>
      </c>
      <c r="E1080" s="10" t="s">
        <v>171</v>
      </c>
      <c r="F1080" s="10" t="s">
        <v>180</v>
      </c>
      <c r="G1080" s="10" t="s">
        <v>182</v>
      </c>
      <c r="H1080" s="10">
        <v>8814086202</v>
      </c>
      <c r="I1080" s="3">
        <v>750</v>
      </c>
      <c r="J1080" s="7"/>
      <c r="K1080" s="7"/>
      <c r="L1080" s="7"/>
      <c r="M1080" s="7"/>
      <c r="N1080" s="7"/>
      <c r="O1080" s="5">
        <v>11250</v>
      </c>
      <c r="P1080" s="7"/>
    </row>
    <row r="1081" spans="1:16" ht="15.75">
      <c r="A1081" s="97">
        <v>19</v>
      </c>
      <c r="B1081" s="98">
        <v>46232</v>
      </c>
      <c r="C1081" s="97" t="s">
        <v>51</v>
      </c>
      <c r="D1081" s="5" t="s">
        <v>176</v>
      </c>
      <c r="E1081" s="10" t="s">
        <v>178</v>
      </c>
      <c r="F1081" s="10" t="s">
        <v>165</v>
      </c>
      <c r="G1081" s="10" t="s">
        <v>183</v>
      </c>
      <c r="H1081" s="10">
        <v>9991361344</v>
      </c>
      <c r="I1081" s="3">
        <v>750</v>
      </c>
      <c r="J1081" s="7"/>
      <c r="K1081" s="7"/>
      <c r="L1081" s="7"/>
      <c r="M1081" s="7"/>
      <c r="N1081" s="7"/>
      <c r="O1081" s="5">
        <v>12000</v>
      </c>
      <c r="P1081" s="7"/>
    </row>
    <row r="1082" spans="1:16" ht="15.75">
      <c r="A1082" s="97">
        <v>20</v>
      </c>
      <c r="B1082" s="98">
        <v>46232</v>
      </c>
      <c r="C1082" s="97" t="s">
        <v>51</v>
      </c>
      <c r="D1082" s="5" t="s">
        <v>194</v>
      </c>
      <c r="E1082" s="10" t="s">
        <v>197</v>
      </c>
      <c r="F1082" s="10" t="s">
        <v>71</v>
      </c>
      <c r="G1082" s="10" t="s">
        <v>125</v>
      </c>
      <c r="H1082" s="10">
        <v>9053156064</v>
      </c>
      <c r="I1082" s="3">
        <v>750</v>
      </c>
      <c r="J1082" s="7"/>
      <c r="K1082" s="7"/>
      <c r="L1082" s="7"/>
      <c r="M1082" s="7"/>
      <c r="N1082" s="7"/>
      <c r="O1082" s="5">
        <v>12750</v>
      </c>
      <c r="P1082" s="7"/>
    </row>
    <row r="1083" spans="1:16" ht="15.75">
      <c r="A1083" s="97">
        <v>21</v>
      </c>
      <c r="B1083" s="98">
        <v>46232</v>
      </c>
      <c r="C1083" s="97" t="s">
        <v>51</v>
      </c>
      <c r="D1083" s="5" t="s">
        <v>199</v>
      </c>
      <c r="E1083" s="10" t="s">
        <v>197</v>
      </c>
      <c r="F1083" s="10" t="s">
        <v>53</v>
      </c>
      <c r="G1083" s="10" t="s">
        <v>204</v>
      </c>
      <c r="H1083" s="10">
        <v>9813304531</v>
      </c>
      <c r="I1083" s="3">
        <v>750</v>
      </c>
      <c r="J1083" s="7"/>
      <c r="K1083" s="7"/>
      <c r="L1083" s="7"/>
      <c r="M1083" s="7"/>
      <c r="N1083" s="7"/>
      <c r="O1083" s="5">
        <v>12750</v>
      </c>
      <c r="P1083" s="7"/>
    </row>
    <row r="1084" spans="1:16" ht="15.75">
      <c r="A1084" s="97">
        <v>22</v>
      </c>
      <c r="B1084" s="98">
        <v>46232</v>
      </c>
      <c r="C1084" s="97" t="s">
        <v>51</v>
      </c>
      <c r="D1084" s="5" t="s">
        <v>200</v>
      </c>
      <c r="E1084" s="10" t="s">
        <v>197</v>
      </c>
      <c r="F1084" s="10" t="s">
        <v>121</v>
      </c>
      <c r="G1084" s="10" t="s">
        <v>140</v>
      </c>
      <c r="H1084" s="10">
        <v>8930321437</v>
      </c>
      <c r="I1084" s="3">
        <v>800</v>
      </c>
      <c r="J1084" s="7"/>
      <c r="K1084" s="7"/>
      <c r="L1084" s="7"/>
      <c r="M1084" s="7"/>
      <c r="N1084" s="7"/>
      <c r="O1084" s="5">
        <v>20000</v>
      </c>
      <c r="P1084" s="7"/>
    </row>
    <row r="1085" spans="1:16" ht="15.75">
      <c r="A1085" s="97">
        <v>23</v>
      </c>
      <c r="B1085" s="98">
        <v>46232</v>
      </c>
      <c r="C1085" s="97" t="s">
        <v>51</v>
      </c>
      <c r="D1085" s="5" t="s">
        <v>201</v>
      </c>
      <c r="E1085" s="10" t="s">
        <v>206</v>
      </c>
      <c r="F1085" s="10" t="s">
        <v>165</v>
      </c>
      <c r="G1085" s="10" t="s">
        <v>205</v>
      </c>
      <c r="H1085" s="10">
        <v>8295267191</v>
      </c>
      <c r="I1085" s="3">
        <v>800</v>
      </c>
      <c r="J1085" s="7"/>
      <c r="K1085" s="7"/>
      <c r="L1085" s="7"/>
      <c r="M1085" s="7"/>
      <c r="N1085" s="7"/>
      <c r="O1085" s="5">
        <v>20000</v>
      </c>
      <c r="P1085" s="7"/>
    </row>
    <row r="1086" spans="1:16" ht="15.75">
      <c r="A1086" s="97">
        <v>24</v>
      </c>
      <c r="B1086" s="98">
        <v>46232</v>
      </c>
      <c r="C1086" s="97" t="s">
        <v>51</v>
      </c>
      <c r="D1086" s="5" t="s">
        <v>202</v>
      </c>
      <c r="E1086" s="10" t="s">
        <v>118</v>
      </c>
      <c r="F1086" s="10" t="s">
        <v>203</v>
      </c>
      <c r="G1086" s="10" t="s">
        <v>185</v>
      </c>
      <c r="H1086" s="10">
        <v>7988050867</v>
      </c>
      <c r="I1086" s="3">
        <v>750</v>
      </c>
      <c r="J1086" s="7"/>
      <c r="K1086" s="7"/>
      <c r="L1086" s="7"/>
      <c r="M1086" s="7"/>
      <c r="N1086" s="7"/>
      <c r="O1086" s="5">
        <v>12750</v>
      </c>
      <c r="P1086" s="7"/>
    </row>
    <row r="1087" spans="1:16" ht="15.75">
      <c r="A1087" s="97">
        <v>25</v>
      </c>
      <c r="B1087" s="98">
        <v>46232</v>
      </c>
      <c r="C1087" s="97" t="s">
        <v>51</v>
      </c>
      <c r="D1087" s="5" t="s">
        <v>208</v>
      </c>
      <c r="E1087" s="10" t="s">
        <v>49</v>
      </c>
      <c r="F1087" s="10" t="s">
        <v>215</v>
      </c>
      <c r="G1087" s="10" t="s">
        <v>216</v>
      </c>
      <c r="H1087" s="10">
        <v>9812012403</v>
      </c>
      <c r="I1087" s="3">
        <v>800</v>
      </c>
      <c r="J1087" s="7"/>
      <c r="K1087" s="7"/>
      <c r="L1087" s="7"/>
      <c r="M1087" s="7"/>
      <c r="N1087" s="7"/>
      <c r="O1087" s="5">
        <v>20000</v>
      </c>
      <c r="P1087" s="7"/>
    </row>
    <row r="1088" spans="1:16" ht="15.75">
      <c r="A1088" s="97">
        <v>26</v>
      </c>
      <c r="B1088" s="98">
        <v>46232</v>
      </c>
      <c r="C1088" s="97" t="s">
        <v>51</v>
      </c>
      <c r="D1088" s="5" t="s">
        <v>262</v>
      </c>
      <c r="E1088" s="10" t="s">
        <v>197</v>
      </c>
      <c r="F1088" s="10" t="s">
        <v>247</v>
      </c>
      <c r="G1088" s="10" t="s">
        <v>267</v>
      </c>
      <c r="H1088" s="10">
        <v>7027082504</v>
      </c>
      <c r="I1088" s="3">
        <v>800</v>
      </c>
      <c r="J1088" s="7"/>
      <c r="K1088" s="7"/>
      <c r="L1088" s="7"/>
      <c r="M1088" s="7"/>
      <c r="N1088" s="7"/>
      <c r="O1088" s="5">
        <v>21600</v>
      </c>
      <c r="P1088" s="7"/>
    </row>
    <row r="1089" spans="1:16" ht="15.75">
      <c r="A1089" s="97">
        <v>27</v>
      </c>
      <c r="B1089" s="98">
        <v>46232</v>
      </c>
      <c r="C1089" s="97" t="s">
        <v>51</v>
      </c>
      <c r="D1089" s="5" t="s">
        <v>264</v>
      </c>
      <c r="E1089" s="10" t="s">
        <v>49</v>
      </c>
      <c r="F1089" s="10" t="s">
        <v>254</v>
      </c>
      <c r="G1089" s="10" t="s">
        <v>269</v>
      </c>
      <c r="H1089" s="10">
        <v>9729160317</v>
      </c>
      <c r="I1089" s="3">
        <v>750</v>
      </c>
      <c r="J1089" s="7"/>
      <c r="K1089" s="7"/>
      <c r="L1089" s="7"/>
      <c r="M1089" s="7"/>
      <c r="N1089" s="7"/>
      <c r="O1089" s="5">
        <v>13500</v>
      </c>
      <c r="P1089" s="7"/>
    </row>
    <row r="1090" spans="1:16" ht="15.75">
      <c r="A1090" s="97">
        <v>28</v>
      </c>
      <c r="B1090" s="98">
        <v>46232</v>
      </c>
      <c r="C1090" s="97" t="s">
        <v>51</v>
      </c>
      <c r="D1090" s="5" t="s">
        <v>265</v>
      </c>
      <c r="E1090" s="10" t="s">
        <v>49</v>
      </c>
      <c r="F1090" s="10" t="s">
        <v>261</v>
      </c>
      <c r="G1090" s="10" t="s">
        <v>270</v>
      </c>
      <c r="H1090" s="10">
        <v>9991081679</v>
      </c>
      <c r="I1090" s="3">
        <v>800</v>
      </c>
      <c r="J1090" s="7"/>
      <c r="K1090" s="7"/>
      <c r="L1090" s="7"/>
      <c r="M1090" s="7"/>
      <c r="N1090" s="7"/>
      <c r="O1090" s="5">
        <v>21600</v>
      </c>
      <c r="P1090" s="7"/>
    </row>
    <row r="1091" spans="1:16" ht="15.75">
      <c r="A1091" s="97">
        <v>29</v>
      </c>
      <c r="B1091" s="98">
        <v>46232</v>
      </c>
      <c r="C1091" s="97" t="s">
        <v>51</v>
      </c>
      <c r="D1091" s="5" t="s">
        <v>275</v>
      </c>
      <c r="E1091" s="10" t="s">
        <v>278</v>
      </c>
      <c r="F1091" s="10" t="s">
        <v>271</v>
      </c>
      <c r="G1091" s="10" t="s">
        <v>280</v>
      </c>
      <c r="H1091" s="10">
        <v>9466502084</v>
      </c>
      <c r="I1091" s="3">
        <v>750</v>
      </c>
      <c r="J1091" s="7"/>
      <c r="K1091" s="7"/>
      <c r="L1091" s="7"/>
      <c r="M1091" s="7"/>
      <c r="N1091" s="7"/>
      <c r="O1091" s="5">
        <v>14250</v>
      </c>
      <c r="P1091" s="7"/>
    </row>
    <row r="1092" spans="1:16" ht="15.75">
      <c r="A1092" s="97">
        <v>30</v>
      </c>
      <c r="B1092" s="98">
        <v>46232</v>
      </c>
      <c r="C1092" s="97" t="s">
        <v>51</v>
      </c>
      <c r="D1092" s="5" t="s">
        <v>276</v>
      </c>
      <c r="E1092" s="10" t="s">
        <v>279</v>
      </c>
      <c r="F1092" s="10" t="s">
        <v>272</v>
      </c>
      <c r="G1092" s="10" t="s">
        <v>281</v>
      </c>
      <c r="H1092" s="10">
        <v>8168586120</v>
      </c>
      <c r="I1092" s="3">
        <v>800</v>
      </c>
      <c r="J1092" s="7"/>
      <c r="K1092" s="7"/>
      <c r="L1092" s="7"/>
      <c r="M1092" s="7"/>
      <c r="N1092" s="7"/>
      <c r="O1092" s="5">
        <v>21600</v>
      </c>
      <c r="P1092" s="7"/>
    </row>
    <row r="1093" spans="1:16" ht="15.75">
      <c r="A1093" s="97">
        <v>31</v>
      </c>
      <c r="B1093" s="98">
        <v>46232</v>
      </c>
      <c r="C1093" s="97" t="s">
        <v>51</v>
      </c>
      <c r="D1093" s="5" t="s">
        <v>277</v>
      </c>
      <c r="E1093" s="10" t="s">
        <v>49</v>
      </c>
      <c r="F1093" s="10" t="s">
        <v>273</v>
      </c>
      <c r="G1093" s="10" t="s">
        <v>282</v>
      </c>
      <c r="H1093" s="10">
        <v>8295507421</v>
      </c>
      <c r="I1093" s="3">
        <v>800</v>
      </c>
      <c r="J1093" s="7"/>
      <c r="K1093" s="7"/>
      <c r="L1093" s="7"/>
      <c r="M1093" s="7"/>
      <c r="N1093" s="7"/>
      <c r="O1093" s="5">
        <v>21600</v>
      </c>
      <c r="P1093" s="7"/>
    </row>
    <row r="1094" spans="1:16" ht="15.75">
      <c r="A1094" s="97">
        <v>32</v>
      </c>
      <c r="B1094" s="98">
        <v>46232</v>
      </c>
      <c r="C1094" s="97" t="s">
        <v>51</v>
      </c>
      <c r="D1094" s="5" t="s">
        <v>255</v>
      </c>
      <c r="E1094" s="10" t="s">
        <v>278</v>
      </c>
      <c r="F1094" s="10" t="s">
        <v>274</v>
      </c>
      <c r="G1094" s="10" t="s">
        <v>189</v>
      </c>
      <c r="H1094" s="10">
        <v>7828359630</v>
      </c>
      <c r="I1094" s="3">
        <v>750</v>
      </c>
      <c r="J1094" s="7"/>
      <c r="K1094" s="7"/>
      <c r="L1094" s="7"/>
      <c r="M1094" s="7"/>
      <c r="N1094" s="7"/>
      <c r="O1094" s="5">
        <v>14250</v>
      </c>
      <c r="P1094" s="7"/>
    </row>
    <row r="1095" spans="1:16" ht="15.75">
      <c r="A1095" s="97">
        <v>33</v>
      </c>
      <c r="B1095" s="98">
        <v>46232</v>
      </c>
      <c r="C1095" s="97" t="s">
        <v>51</v>
      </c>
      <c r="D1095" s="5" t="s">
        <v>286</v>
      </c>
      <c r="E1095" s="3" t="s">
        <v>49</v>
      </c>
      <c r="F1095" s="3" t="s">
        <v>285</v>
      </c>
      <c r="G1095" s="3" t="s">
        <v>293</v>
      </c>
      <c r="H1095" s="3">
        <v>9671634311</v>
      </c>
      <c r="I1095" s="3">
        <v>800</v>
      </c>
      <c r="J1095" s="7"/>
      <c r="K1095" s="7"/>
      <c r="L1095" s="7"/>
      <c r="M1095" s="7"/>
      <c r="N1095" s="7"/>
      <c r="O1095" s="5">
        <v>22400</v>
      </c>
      <c r="P1095" s="7"/>
    </row>
    <row r="1096" spans="1:16" ht="15.75">
      <c r="A1096" s="97">
        <v>34</v>
      </c>
      <c r="B1096" s="98">
        <v>46232</v>
      </c>
      <c r="C1096" s="97" t="s">
        <v>51</v>
      </c>
      <c r="D1096" s="5" t="s">
        <v>287</v>
      </c>
      <c r="E1096" s="3" t="s">
        <v>130</v>
      </c>
      <c r="F1096" s="3" t="s">
        <v>284</v>
      </c>
      <c r="G1096" s="3" t="s">
        <v>294</v>
      </c>
      <c r="H1096" s="3">
        <v>9671393271</v>
      </c>
      <c r="I1096" s="3">
        <v>800</v>
      </c>
      <c r="J1096" s="7"/>
      <c r="K1096" s="7"/>
      <c r="L1096" s="7"/>
      <c r="M1096" s="7"/>
      <c r="N1096" s="7"/>
      <c r="O1096" s="5">
        <v>22400</v>
      </c>
      <c r="P1096" s="7"/>
    </row>
    <row r="1097" spans="1:16" ht="15.75">
      <c r="A1097" s="97">
        <v>35</v>
      </c>
      <c r="B1097" s="98">
        <v>46232</v>
      </c>
      <c r="C1097" s="97" t="s">
        <v>51</v>
      </c>
      <c r="D1097" s="6" t="s">
        <v>299</v>
      </c>
      <c r="E1097" s="3" t="s">
        <v>130</v>
      </c>
      <c r="F1097" s="3" t="s">
        <v>301</v>
      </c>
      <c r="G1097" s="3" t="s">
        <v>303</v>
      </c>
      <c r="H1097" s="3">
        <v>8397097184</v>
      </c>
      <c r="I1097" s="3">
        <v>800</v>
      </c>
      <c r="J1097" s="7"/>
      <c r="K1097" s="7"/>
      <c r="L1097" s="7"/>
      <c r="M1097" s="7"/>
      <c r="N1097" s="7"/>
      <c r="O1097" s="6">
        <v>22400</v>
      </c>
      <c r="P1097" s="7"/>
    </row>
    <row r="1098" spans="1:16" ht="15.75">
      <c r="A1098" s="97">
        <v>36</v>
      </c>
      <c r="B1098" s="98">
        <v>46232</v>
      </c>
      <c r="C1098" s="97" t="s">
        <v>51</v>
      </c>
      <c r="D1098" s="5" t="s">
        <v>312</v>
      </c>
      <c r="E1098" s="3" t="s">
        <v>197</v>
      </c>
      <c r="F1098" s="3" t="s">
        <v>121</v>
      </c>
      <c r="G1098" s="3" t="s">
        <v>315</v>
      </c>
      <c r="H1098" s="3">
        <v>8059882196</v>
      </c>
      <c r="I1098" s="3">
        <v>800</v>
      </c>
      <c r="J1098" s="7"/>
      <c r="K1098" s="7"/>
      <c r="L1098" s="7"/>
      <c r="M1098" s="7"/>
      <c r="N1098" s="7"/>
      <c r="O1098" s="6">
        <v>22400</v>
      </c>
      <c r="P1098" s="7"/>
    </row>
    <row r="1099" spans="1:16" ht="15.75">
      <c r="A1099" s="97">
        <v>37</v>
      </c>
      <c r="B1099" s="98">
        <v>46232</v>
      </c>
      <c r="C1099" s="97" t="s">
        <v>51</v>
      </c>
      <c r="D1099" s="5" t="s">
        <v>332</v>
      </c>
      <c r="E1099" s="3" t="s">
        <v>206</v>
      </c>
      <c r="F1099" s="3" t="s">
        <v>330</v>
      </c>
      <c r="G1099" s="3" t="s">
        <v>331</v>
      </c>
      <c r="H1099" s="3">
        <v>7015840262</v>
      </c>
      <c r="I1099" s="3">
        <v>800</v>
      </c>
      <c r="J1099" s="7"/>
      <c r="K1099" s="7"/>
      <c r="L1099" s="7"/>
      <c r="M1099" s="7"/>
      <c r="N1099" s="7"/>
      <c r="O1099" s="6">
        <v>23200</v>
      </c>
      <c r="P1099" s="7"/>
    </row>
    <row r="1100" spans="1:16" ht="15.75">
      <c r="A1100" s="97">
        <v>38</v>
      </c>
      <c r="B1100" s="98">
        <v>46232</v>
      </c>
      <c r="C1100" s="97" t="s">
        <v>51</v>
      </c>
      <c r="D1100" s="5" t="s">
        <v>343</v>
      </c>
      <c r="E1100" s="3" t="s">
        <v>348</v>
      </c>
      <c r="F1100" s="3" t="s">
        <v>333</v>
      </c>
      <c r="G1100" s="3" t="s">
        <v>334</v>
      </c>
      <c r="H1100" s="3">
        <v>8708050493</v>
      </c>
      <c r="I1100" s="3">
        <v>1000</v>
      </c>
      <c r="J1100" s="7"/>
      <c r="K1100" s="7"/>
      <c r="L1100" s="7"/>
      <c r="M1100" s="7"/>
      <c r="N1100" s="7"/>
      <c r="O1100" s="6">
        <v>23000</v>
      </c>
      <c r="P1100" s="7"/>
    </row>
    <row r="1101" spans="1:16" ht="15.75">
      <c r="A1101" s="97">
        <v>39</v>
      </c>
      <c r="B1101" s="98">
        <v>46232</v>
      </c>
      <c r="C1101" s="97" t="s">
        <v>51</v>
      </c>
      <c r="D1101" s="5" t="s">
        <v>344</v>
      </c>
      <c r="E1101" s="3" t="s">
        <v>348</v>
      </c>
      <c r="F1101" s="3" t="s">
        <v>335</v>
      </c>
      <c r="G1101" s="3" t="s">
        <v>336</v>
      </c>
      <c r="H1101" s="3">
        <v>8708050493</v>
      </c>
      <c r="I1101" s="3">
        <v>1000</v>
      </c>
      <c r="J1101" s="7"/>
      <c r="K1101" s="7"/>
      <c r="L1101" s="7"/>
      <c r="M1101" s="7"/>
      <c r="N1101" s="7"/>
      <c r="O1101" s="6">
        <v>23000</v>
      </c>
      <c r="P1101" s="7"/>
    </row>
    <row r="1102" spans="1:16" ht="15.75">
      <c r="A1102" s="97">
        <v>40</v>
      </c>
      <c r="B1102" s="98">
        <v>46232</v>
      </c>
      <c r="C1102" s="97" t="s">
        <v>51</v>
      </c>
      <c r="D1102" s="5" t="s">
        <v>346</v>
      </c>
      <c r="E1102" s="3" t="s">
        <v>49</v>
      </c>
      <c r="F1102" s="3" t="s">
        <v>339</v>
      </c>
      <c r="G1102" s="3" t="s">
        <v>340</v>
      </c>
      <c r="H1102" s="3">
        <v>7496866457</v>
      </c>
      <c r="I1102" s="3">
        <v>810</v>
      </c>
      <c r="J1102" s="7"/>
      <c r="K1102" s="7"/>
      <c r="L1102" s="7"/>
      <c r="M1102" s="7"/>
      <c r="N1102" s="7"/>
      <c r="O1102" s="6">
        <v>17010</v>
      </c>
      <c r="P1102" s="7"/>
    </row>
    <row r="1103" spans="1:16" ht="15.75">
      <c r="A1103" s="97">
        <v>41</v>
      </c>
      <c r="B1103" s="98">
        <v>46232</v>
      </c>
      <c r="C1103" s="97" t="s">
        <v>51</v>
      </c>
      <c r="D1103" s="5" t="s">
        <v>347</v>
      </c>
      <c r="E1103" s="3" t="s">
        <v>49</v>
      </c>
      <c r="F1103" s="3" t="s">
        <v>341</v>
      </c>
      <c r="G1103" s="3" t="s">
        <v>342</v>
      </c>
      <c r="H1103" s="3">
        <v>7496866457</v>
      </c>
      <c r="I1103" s="3">
        <v>1000</v>
      </c>
      <c r="J1103" s="7"/>
      <c r="K1103" s="7"/>
      <c r="L1103" s="7"/>
      <c r="M1103" s="7"/>
      <c r="N1103" s="7"/>
      <c r="O1103" s="6">
        <v>23000</v>
      </c>
      <c r="P1103" s="7"/>
    </row>
    <row r="1104" spans="1:16" ht="15.75">
      <c r="A1104" s="97">
        <v>42</v>
      </c>
      <c r="B1104" s="98">
        <v>46232</v>
      </c>
      <c r="C1104" s="97" t="s">
        <v>51</v>
      </c>
      <c r="D1104" s="5" t="s">
        <v>381</v>
      </c>
      <c r="E1104" s="3" t="s">
        <v>118</v>
      </c>
      <c r="F1104" s="3" t="s">
        <v>387</v>
      </c>
      <c r="G1104" s="3" t="s">
        <v>388</v>
      </c>
      <c r="H1104" s="3">
        <v>8307074126</v>
      </c>
      <c r="I1104" s="3">
        <v>810</v>
      </c>
      <c r="J1104" s="7"/>
      <c r="K1104" s="7"/>
      <c r="L1104" s="7"/>
      <c r="M1104" s="7"/>
      <c r="N1104" s="7"/>
      <c r="O1104" s="6">
        <v>17820</v>
      </c>
      <c r="P1104" s="7"/>
    </row>
    <row r="1105" spans="1:17" ht="15.75">
      <c r="A1105" s="97">
        <v>43</v>
      </c>
      <c r="B1105" s="98">
        <v>46232</v>
      </c>
      <c r="C1105" s="97" t="s">
        <v>51</v>
      </c>
      <c r="D1105" s="5" t="s">
        <v>382</v>
      </c>
      <c r="E1105" s="3" t="s">
        <v>383</v>
      </c>
      <c r="F1105" s="3" t="s">
        <v>215</v>
      </c>
      <c r="G1105" s="3" t="s">
        <v>375</v>
      </c>
      <c r="H1105" s="3">
        <v>9813268064</v>
      </c>
      <c r="I1105" s="3">
        <v>1000</v>
      </c>
      <c r="J1105" s="7"/>
      <c r="K1105" s="7"/>
      <c r="L1105" s="7"/>
      <c r="M1105" s="7"/>
      <c r="N1105" s="7"/>
      <c r="O1105" s="6">
        <v>24000</v>
      </c>
      <c r="P1105" s="7"/>
    </row>
    <row r="1106" spans="1:17" ht="15.75">
      <c r="A1106" s="97">
        <v>44</v>
      </c>
      <c r="B1106" s="98">
        <v>46232</v>
      </c>
      <c r="C1106" s="97" t="s">
        <v>51</v>
      </c>
      <c r="D1106" s="5" t="s">
        <v>392</v>
      </c>
      <c r="E1106" s="3" t="s">
        <v>394</v>
      </c>
      <c r="F1106" s="3" t="s">
        <v>71</v>
      </c>
      <c r="G1106" s="3" t="s">
        <v>393</v>
      </c>
      <c r="H1106" s="3">
        <v>8505872401</v>
      </c>
      <c r="I1106" s="3">
        <v>1000</v>
      </c>
      <c r="J1106" s="7"/>
      <c r="K1106" s="7"/>
      <c r="L1106" s="7"/>
      <c r="M1106" s="7"/>
      <c r="N1106" s="7"/>
      <c r="O1106" s="6">
        <v>25000</v>
      </c>
      <c r="P1106" s="7"/>
    </row>
    <row r="1107" spans="1:17" ht="15.75">
      <c r="A1107" s="97">
        <v>45</v>
      </c>
      <c r="B1107" s="98">
        <v>46232</v>
      </c>
      <c r="C1107" s="97" t="s">
        <v>51</v>
      </c>
      <c r="D1107" s="5" t="s">
        <v>397</v>
      </c>
      <c r="E1107" s="3" t="s">
        <v>49</v>
      </c>
      <c r="F1107" s="3" t="s">
        <v>398</v>
      </c>
      <c r="G1107" s="3" t="s">
        <v>140</v>
      </c>
      <c r="H1107" s="3">
        <v>9671465494</v>
      </c>
      <c r="I1107" s="3">
        <v>1000</v>
      </c>
      <c r="J1107" s="7"/>
      <c r="K1107" s="7"/>
      <c r="L1107" s="7"/>
      <c r="M1107" s="7"/>
      <c r="N1107" s="7"/>
      <c r="O1107" s="6">
        <v>26000</v>
      </c>
      <c r="P1107" s="7"/>
    </row>
    <row r="1108" spans="1:17" ht="15.75">
      <c r="A1108" s="97">
        <v>46</v>
      </c>
      <c r="B1108" s="98">
        <v>46232</v>
      </c>
      <c r="C1108" s="97" t="s">
        <v>51</v>
      </c>
      <c r="D1108" s="5" t="s">
        <v>423</v>
      </c>
      <c r="E1108" s="3" t="s">
        <v>430</v>
      </c>
      <c r="F1108" s="3" t="s">
        <v>301</v>
      </c>
      <c r="G1108" s="3" t="s">
        <v>127</v>
      </c>
      <c r="H1108" s="3">
        <v>8685920499</v>
      </c>
      <c r="I1108" s="3">
        <v>810</v>
      </c>
      <c r="J1108" s="7"/>
      <c r="K1108" s="7"/>
      <c r="L1108" s="7"/>
      <c r="M1108" s="7"/>
      <c r="N1108" s="7"/>
      <c r="O1108" s="6">
        <v>19440</v>
      </c>
      <c r="P1108" s="7"/>
    </row>
    <row r="1109" spans="1:17" ht="15.75">
      <c r="A1109" s="97">
        <v>47</v>
      </c>
      <c r="B1109" s="98">
        <v>46232</v>
      </c>
      <c r="C1109" s="97" t="s">
        <v>51</v>
      </c>
      <c r="D1109" s="5" t="s">
        <v>428</v>
      </c>
      <c r="E1109" s="3" t="s">
        <v>118</v>
      </c>
      <c r="F1109" s="3" t="s">
        <v>438</v>
      </c>
      <c r="G1109" s="3" t="s">
        <v>375</v>
      </c>
      <c r="H1109" s="3">
        <v>9996197698</v>
      </c>
      <c r="I1109" s="3">
        <v>1000</v>
      </c>
      <c r="J1109" s="7"/>
      <c r="K1109" s="7"/>
      <c r="L1109" s="7"/>
      <c r="M1109" s="7"/>
      <c r="N1109" s="7"/>
      <c r="O1109" s="6">
        <v>26000</v>
      </c>
      <c r="P1109" s="7"/>
    </row>
    <row r="1110" spans="1:17" ht="15.75">
      <c r="A1110" s="97">
        <v>48</v>
      </c>
      <c r="B1110" s="98">
        <v>46232</v>
      </c>
      <c r="C1110" s="97" t="s">
        <v>51</v>
      </c>
      <c r="D1110" s="5" t="s">
        <v>429</v>
      </c>
      <c r="E1110" s="3" t="s">
        <v>197</v>
      </c>
      <c r="F1110" s="3" t="s">
        <v>323</v>
      </c>
      <c r="G1110" s="3" t="s">
        <v>295</v>
      </c>
      <c r="H1110" s="3">
        <v>8708979195</v>
      </c>
      <c r="I1110" s="3">
        <v>1000</v>
      </c>
      <c r="J1110" s="7"/>
      <c r="K1110" s="7"/>
      <c r="L1110" s="7"/>
      <c r="M1110" s="7"/>
      <c r="N1110" s="7"/>
      <c r="O1110" s="6">
        <v>26000</v>
      </c>
      <c r="P1110" s="7"/>
    </row>
    <row r="1111" spans="1:17" ht="15.75">
      <c r="A1111" s="97">
        <v>49</v>
      </c>
      <c r="B1111" s="98">
        <v>46232</v>
      </c>
      <c r="C1111" s="97" t="s">
        <v>51</v>
      </c>
      <c r="D1111" s="5" t="s">
        <v>445</v>
      </c>
      <c r="E1111" s="3" t="s">
        <v>447</v>
      </c>
      <c r="F1111" s="3" t="s">
        <v>441</v>
      </c>
      <c r="G1111" s="3" t="s">
        <v>443</v>
      </c>
      <c r="H1111" s="3">
        <v>8397095261</v>
      </c>
      <c r="I1111" s="3">
        <v>675</v>
      </c>
      <c r="J1111" s="7"/>
      <c r="K1111" s="7"/>
      <c r="L1111" s="7"/>
      <c r="M1111" s="7"/>
      <c r="N1111" s="7"/>
      <c r="O1111" s="6">
        <v>13500</v>
      </c>
      <c r="P1111" s="7"/>
    </row>
    <row r="1112" spans="1:17" ht="15.75">
      <c r="A1112" s="97">
        <v>50</v>
      </c>
      <c r="B1112" s="98">
        <v>46232</v>
      </c>
      <c r="C1112" s="97" t="s">
        <v>51</v>
      </c>
      <c r="D1112" s="5" t="s">
        <v>446</v>
      </c>
      <c r="E1112" s="3" t="s">
        <v>49</v>
      </c>
      <c r="F1112" s="3" t="s">
        <v>442</v>
      </c>
      <c r="G1112" s="3" t="s">
        <v>444</v>
      </c>
      <c r="H1112" s="3">
        <v>9728061518</v>
      </c>
      <c r="I1112" s="3">
        <v>1000</v>
      </c>
      <c r="J1112" s="7"/>
      <c r="K1112" s="7"/>
      <c r="L1112" s="7"/>
      <c r="M1112" s="7"/>
      <c r="N1112" s="7"/>
      <c r="O1112" s="6">
        <v>27000</v>
      </c>
      <c r="P1112" s="7"/>
    </row>
    <row r="1113" spans="1:17">
      <c r="A1113" s="7"/>
      <c r="B1113" s="7"/>
      <c r="C1113" s="7"/>
      <c r="D1113" s="7"/>
      <c r="E1113" s="7"/>
      <c r="F1113" s="7"/>
      <c r="G1113" s="7"/>
      <c r="H1113" s="3"/>
      <c r="I1113" s="3"/>
      <c r="J1113" s="3"/>
      <c r="K1113" s="3"/>
      <c r="L1113" s="3"/>
      <c r="M1113" s="3"/>
      <c r="N1113" s="3"/>
      <c r="O1113" s="3"/>
      <c r="P1113" s="3"/>
      <c r="Q1113" s="50"/>
    </row>
    <row r="1114" spans="1:17">
      <c r="A1114" s="7"/>
      <c r="B1114" s="7"/>
      <c r="C1114" s="7"/>
      <c r="D1114" s="7"/>
      <c r="E1114" s="7"/>
      <c r="F1114" s="7"/>
      <c r="G1114" s="7"/>
      <c r="H1114" s="3"/>
      <c r="I1114" s="3">
        <f>SUM(I1063:I1113)</f>
        <v>40855</v>
      </c>
      <c r="J1114" s="3"/>
      <c r="K1114" s="3"/>
      <c r="L1114" s="3"/>
      <c r="M1114" s="3"/>
      <c r="N1114" s="3"/>
      <c r="O1114" s="3">
        <f>SUM(O1063:O1113)</f>
        <v>895970</v>
      </c>
      <c r="P1114" s="3"/>
      <c r="Q1114" s="50"/>
    </row>
    <row r="1115" spans="1:17"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</row>
    <row r="1119" spans="1:17" ht="27.75">
      <c r="A1119" s="142" t="s">
        <v>155</v>
      </c>
      <c r="B1119" s="142"/>
      <c r="C1119" s="142"/>
      <c r="D1119" s="142"/>
      <c r="E1119" s="142"/>
      <c r="F1119" s="142"/>
      <c r="G1119" s="142"/>
      <c r="H1119" s="142"/>
      <c r="I1119" s="142"/>
      <c r="J1119" s="142"/>
      <c r="K1119" s="142"/>
      <c r="L1119" s="142"/>
      <c r="M1119" s="142"/>
      <c r="N1119" s="142"/>
      <c r="O1119" s="142"/>
      <c r="P1119" s="142"/>
    </row>
    <row r="1120" spans="1:17" ht="75">
      <c r="A1120" s="1" t="s">
        <v>87</v>
      </c>
      <c r="B1120" s="1" t="s">
        <v>103</v>
      </c>
      <c r="C1120" s="1" t="s">
        <v>88</v>
      </c>
      <c r="D1120" s="1" t="s">
        <v>104</v>
      </c>
      <c r="E1120" s="1" t="s">
        <v>105</v>
      </c>
      <c r="F1120" s="1" t="s">
        <v>106</v>
      </c>
      <c r="G1120" s="1" t="s">
        <v>93</v>
      </c>
      <c r="H1120" s="1" t="s">
        <v>107</v>
      </c>
      <c r="I1120" s="1" t="s">
        <v>108</v>
      </c>
      <c r="J1120" s="1" t="s">
        <v>109</v>
      </c>
      <c r="K1120" s="1" t="s">
        <v>110</v>
      </c>
      <c r="L1120" s="1" t="s">
        <v>21</v>
      </c>
      <c r="M1120" s="1" t="s">
        <v>45</v>
      </c>
      <c r="N1120" s="1" t="s">
        <v>111</v>
      </c>
      <c r="O1120" s="2" t="s">
        <v>112</v>
      </c>
      <c r="P1120" s="1" t="s">
        <v>113</v>
      </c>
    </row>
    <row r="1121" spans="1:16" ht="15.75">
      <c r="A1121" s="97">
        <v>1</v>
      </c>
      <c r="B1121" s="98">
        <v>46238</v>
      </c>
      <c r="C1121" s="97" t="s">
        <v>51</v>
      </c>
      <c r="D1121" s="5" t="s">
        <v>70</v>
      </c>
      <c r="E1121" s="5" t="s">
        <v>66</v>
      </c>
      <c r="F1121" s="5" t="s">
        <v>67</v>
      </c>
      <c r="G1121" s="5" t="s">
        <v>68</v>
      </c>
      <c r="H1121" s="5">
        <v>8395916139</v>
      </c>
      <c r="I1121" s="5">
        <v>800</v>
      </c>
      <c r="J1121" s="97"/>
      <c r="K1121" s="97"/>
      <c r="L1121" s="97"/>
      <c r="M1121" s="97"/>
      <c r="N1121" s="97"/>
      <c r="O1121" s="5">
        <v>16800</v>
      </c>
      <c r="P1121" s="97"/>
    </row>
    <row r="1122" spans="1:16" ht="15.75">
      <c r="A1122" s="97">
        <v>2</v>
      </c>
      <c r="B1122" s="98">
        <v>46238</v>
      </c>
      <c r="C1122" s="97" t="s">
        <v>51</v>
      </c>
      <c r="D1122" s="5" t="s">
        <v>73</v>
      </c>
      <c r="E1122" s="5" t="s">
        <v>66</v>
      </c>
      <c r="F1122" s="5" t="s">
        <v>71</v>
      </c>
      <c r="G1122" s="5" t="s">
        <v>72</v>
      </c>
      <c r="H1122" s="5">
        <v>7289049720</v>
      </c>
      <c r="I1122" s="5">
        <v>750</v>
      </c>
      <c r="J1122" s="97"/>
      <c r="K1122" s="97"/>
      <c r="L1122" s="97"/>
      <c r="M1122" s="97"/>
      <c r="N1122" s="97"/>
      <c r="O1122" s="5">
        <v>9750</v>
      </c>
      <c r="P1122" s="97"/>
    </row>
    <row r="1123" spans="1:16" ht="15.75">
      <c r="A1123" s="97">
        <v>3</v>
      </c>
      <c r="B1123" s="98">
        <v>46238</v>
      </c>
      <c r="C1123" s="97" t="s">
        <v>51</v>
      </c>
      <c r="D1123" s="5" t="s">
        <v>79</v>
      </c>
      <c r="E1123" s="5" t="s">
        <v>66</v>
      </c>
      <c r="F1123" s="6" t="s">
        <v>77</v>
      </c>
      <c r="G1123" s="6" t="s">
        <v>78</v>
      </c>
      <c r="H1123" s="6">
        <v>7355817478</v>
      </c>
      <c r="I1123" s="5">
        <v>750</v>
      </c>
      <c r="J1123" s="97"/>
      <c r="K1123" s="97"/>
      <c r="L1123" s="97"/>
      <c r="M1123" s="97"/>
      <c r="N1123" s="97"/>
      <c r="O1123" s="5">
        <v>9750</v>
      </c>
      <c r="P1123" s="97"/>
    </row>
    <row r="1124" spans="1:16" ht="15.75">
      <c r="A1124" s="97">
        <v>4</v>
      </c>
      <c r="B1124" s="98">
        <v>46238</v>
      </c>
      <c r="C1124" s="97" t="s">
        <v>51</v>
      </c>
      <c r="D1124" s="5" t="s">
        <v>82</v>
      </c>
      <c r="E1124" s="6" t="s">
        <v>66</v>
      </c>
      <c r="F1124" s="6" t="s">
        <v>80</v>
      </c>
      <c r="G1124" s="6" t="s">
        <v>81</v>
      </c>
      <c r="H1124" s="6">
        <v>7027566795</v>
      </c>
      <c r="I1124" s="5">
        <v>800</v>
      </c>
      <c r="J1124" s="97"/>
      <c r="K1124" s="97"/>
      <c r="L1124" s="97"/>
      <c r="M1124" s="97"/>
      <c r="N1124" s="97"/>
      <c r="O1124" s="5">
        <v>16800</v>
      </c>
      <c r="P1124" s="97"/>
    </row>
    <row r="1125" spans="1:16" ht="15.75">
      <c r="A1125" s="97">
        <v>5</v>
      </c>
      <c r="B1125" s="98">
        <v>46238</v>
      </c>
      <c r="C1125" s="97" t="s">
        <v>51</v>
      </c>
      <c r="D1125" s="5" t="s">
        <v>85</v>
      </c>
      <c r="E1125" s="6" t="s">
        <v>66</v>
      </c>
      <c r="F1125" s="5" t="s">
        <v>83</v>
      </c>
      <c r="G1125" s="5" t="s">
        <v>84</v>
      </c>
      <c r="H1125" s="5">
        <v>9992825464</v>
      </c>
      <c r="I1125" s="5">
        <v>800</v>
      </c>
      <c r="J1125" s="97"/>
      <c r="K1125" s="97"/>
      <c r="L1125" s="97"/>
      <c r="M1125" s="97"/>
      <c r="N1125" s="97"/>
      <c r="O1125" s="5">
        <v>16800</v>
      </c>
      <c r="P1125" s="97"/>
    </row>
    <row r="1126" spans="1:16" ht="15.75">
      <c r="A1126" s="97">
        <v>6</v>
      </c>
      <c r="B1126" s="98">
        <v>46238</v>
      </c>
      <c r="C1126" s="97" t="s">
        <v>51</v>
      </c>
      <c r="D1126" s="5" t="s">
        <v>114</v>
      </c>
      <c r="E1126" s="10" t="s">
        <v>66</v>
      </c>
      <c r="F1126" s="10" t="s">
        <v>120</v>
      </c>
      <c r="G1126" s="10" t="s">
        <v>124</v>
      </c>
      <c r="H1126" s="10">
        <v>8295596976</v>
      </c>
      <c r="I1126" s="10">
        <v>750</v>
      </c>
      <c r="J1126" s="97"/>
      <c r="K1126" s="97"/>
      <c r="L1126" s="97"/>
      <c r="M1126" s="97"/>
      <c r="N1126" s="97"/>
      <c r="O1126" s="5">
        <v>9750</v>
      </c>
      <c r="P1126" s="97"/>
    </row>
    <row r="1127" spans="1:16" ht="15.75">
      <c r="A1127" s="97">
        <v>7</v>
      </c>
      <c r="B1127" s="98">
        <v>46238</v>
      </c>
      <c r="C1127" s="97" t="s">
        <v>51</v>
      </c>
      <c r="D1127" s="5" t="s">
        <v>115</v>
      </c>
      <c r="E1127" s="10" t="s">
        <v>66</v>
      </c>
      <c r="F1127" s="10" t="s">
        <v>121</v>
      </c>
      <c r="G1127" s="10" t="s">
        <v>125</v>
      </c>
      <c r="H1127" s="10">
        <v>8816907186</v>
      </c>
      <c r="I1127" s="10">
        <v>750</v>
      </c>
      <c r="J1127" s="97"/>
      <c r="K1127" s="97"/>
      <c r="L1127" s="97"/>
      <c r="M1127" s="97"/>
      <c r="N1127" s="97"/>
      <c r="O1127" s="5">
        <v>9750</v>
      </c>
      <c r="P1127" s="97"/>
    </row>
    <row r="1128" spans="1:16" ht="15.75">
      <c r="A1128" s="97">
        <v>8</v>
      </c>
      <c r="B1128" s="98">
        <v>46238</v>
      </c>
      <c r="C1128" s="97" t="s">
        <v>51</v>
      </c>
      <c r="D1128" s="5" t="s">
        <v>147</v>
      </c>
      <c r="E1128" s="5" t="s">
        <v>129</v>
      </c>
      <c r="F1128" s="5" t="s">
        <v>132</v>
      </c>
      <c r="G1128" s="5" t="s">
        <v>140</v>
      </c>
      <c r="H1128" s="5">
        <v>8397037924</v>
      </c>
      <c r="I1128" s="5">
        <v>800</v>
      </c>
      <c r="J1128" s="97"/>
      <c r="K1128" s="97"/>
      <c r="L1128" s="97"/>
      <c r="M1128" s="97"/>
      <c r="N1128" s="97"/>
      <c r="O1128" s="5">
        <v>17600</v>
      </c>
      <c r="P1128" s="97"/>
    </row>
    <row r="1129" spans="1:16" ht="15.75">
      <c r="A1129" s="97">
        <v>9</v>
      </c>
      <c r="B1129" s="98">
        <v>46238</v>
      </c>
      <c r="C1129" s="97" t="s">
        <v>51</v>
      </c>
      <c r="D1129" s="5" t="s">
        <v>151</v>
      </c>
      <c r="E1129" s="5" t="s">
        <v>66</v>
      </c>
      <c r="F1129" s="5" t="s">
        <v>136</v>
      </c>
      <c r="G1129" s="5" t="s">
        <v>143</v>
      </c>
      <c r="H1129" s="5">
        <v>9992969785</v>
      </c>
      <c r="I1129" s="5">
        <v>800</v>
      </c>
      <c r="J1129" s="97"/>
      <c r="K1129" s="97"/>
      <c r="L1129" s="97"/>
      <c r="M1129" s="97"/>
      <c r="N1129" s="97"/>
      <c r="O1129" s="5">
        <v>17600</v>
      </c>
      <c r="P1129" s="97"/>
    </row>
    <row r="1130" spans="1:16" ht="15.75">
      <c r="A1130" s="97">
        <v>10</v>
      </c>
      <c r="B1130" s="98">
        <v>46238</v>
      </c>
      <c r="C1130" s="97" t="s">
        <v>51</v>
      </c>
      <c r="D1130" s="5" t="s">
        <v>190</v>
      </c>
      <c r="E1130" s="10" t="s">
        <v>195</v>
      </c>
      <c r="F1130" s="10" t="s">
        <v>184</v>
      </c>
      <c r="G1130" s="10" t="s">
        <v>185</v>
      </c>
      <c r="H1130" s="10">
        <v>9728976039</v>
      </c>
      <c r="I1130" s="3">
        <v>750</v>
      </c>
      <c r="J1130" s="97"/>
      <c r="K1130" s="97"/>
      <c r="L1130" s="97"/>
      <c r="M1130" s="97"/>
      <c r="N1130" s="97"/>
      <c r="O1130" s="5">
        <v>12000</v>
      </c>
      <c r="P1130" s="97"/>
    </row>
    <row r="1131" spans="1:16" ht="15.75">
      <c r="A1131" s="97">
        <v>11</v>
      </c>
      <c r="B1131" s="98">
        <v>46238</v>
      </c>
      <c r="C1131" s="97" t="s">
        <v>51</v>
      </c>
      <c r="D1131" s="5" t="s">
        <v>191</v>
      </c>
      <c r="E1131" s="10" t="s">
        <v>196</v>
      </c>
      <c r="F1131" s="10" t="s">
        <v>186</v>
      </c>
      <c r="G1131" s="10" t="s">
        <v>187</v>
      </c>
      <c r="H1131" s="10">
        <v>9991073613</v>
      </c>
      <c r="I1131" s="3">
        <v>750</v>
      </c>
      <c r="J1131" s="97"/>
      <c r="K1131" s="97"/>
      <c r="L1131" s="97"/>
      <c r="M1131" s="97"/>
      <c r="N1131" s="97"/>
      <c r="O1131" s="5">
        <v>12000</v>
      </c>
      <c r="P1131" s="97"/>
    </row>
    <row r="1132" spans="1:16" ht="15.75">
      <c r="A1132" s="97">
        <v>12</v>
      </c>
      <c r="B1132" s="98">
        <v>46238</v>
      </c>
      <c r="C1132" s="97" t="s">
        <v>51</v>
      </c>
      <c r="D1132" s="5" t="s">
        <v>192</v>
      </c>
      <c r="E1132" s="10" t="s">
        <v>195</v>
      </c>
      <c r="F1132" s="10" t="s">
        <v>188</v>
      </c>
      <c r="G1132" s="10" t="s">
        <v>198</v>
      </c>
      <c r="H1132" s="10">
        <v>8047377476</v>
      </c>
      <c r="I1132" s="5">
        <v>800</v>
      </c>
      <c r="J1132" s="97"/>
      <c r="K1132" s="97"/>
      <c r="L1132" s="97"/>
      <c r="M1132" s="97"/>
      <c r="N1132" s="97"/>
      <c r="O1132" s="5">
        <v>19200</v>
      </c>
      <c r="P1132" s="97"/>
    </row>
    <row r="1133" spans="1:16" ht="15.75">
      <c r="A1133" s="97">
        <v>13</v>
      </c>
      <c r="B1133" s="98">
        <v>46238</v>
      </c>
      <c r="C1133" s="97" t="s">
        <v>51</v>
      </c>
      <c r="D1133" s="5" t="s">
        <v>193</v>
      </c>
      <c r="E1133" s="10" t="s">
        <v>195</v>
      </c>
      <c r="F1133" s="10" t="s">
        <v>83</v>
      </c>
      <c r="G1133" s="10" t="s">
        <v>189</v>
      </c>
      <c r="H1133" s="10">
        <v>8396804752</v>
      </c>
      <c r="I1133" s="3">
        <v>750</v>
      </c>
      <c r="J1133" s="97"/>
      <c r="K1133" s="97"/>
      <c r="L1133" s="97"/>
      <c r="M1133" s="97"/>
      <c r="N1133" s="97"/>
      <c r="O1133" s="5">
        <v>12000</v>
      </c>
      <c r="P1133" s="97"/>
    </row>
    <row r="1134" spans="1:16" ht="15.75">
      <c r="A1134" s="97">
        <v>14</v>
      </c>
      <c r="B1134" s="98">
        <v>46238</v>
      </c>
      <c r="C1134" s="97" t="s">
        <v>51</v>
      </c>
      <c r="D1134" s="5" t="s">
        <v>207</v>
      </c>
      <c r="E1134" s="10" t="s">
        <v>225</v>
      </c>
      <c r="F1134" s="10" t="s">
        <v>213</v>
      </c>
      <c r="G1134" s="10" t="s">
        <v>214</v>
      </c>
      <c r="H1134" s="10">
        <v>9034419162</v>
      </c>
      <c r="I1134" s="3">
        <v>750</v>
      </c>
      <c r="J1134" s="97"/>
      <c r="K1134" s="97"/>
      <c r="L1134" s="97"/>
      <c r="M1134" s="97"/>
      <c r="N1134" s="97"/>
      <c r="O1134" s="5">
        <v>12000</v>
      </c>
      <c r="P1134" s="97"/>
    </row>
    <row r="1135" spans="1:16" ht="15.75">
      <c r="A1135" s="97">
        <v>15</v>
      </c>
      <c r="B1135" s="98">
        <v>46238</v>
      </c>
      <c r="C1135" s="97" t="s">
        <v>51</v>
      </c>
      <c r="D1135" s="5" t="s">
        <v>209</v>
      </c>
      <c r="E1135" s="10" t="s">
        <v>226</v>
      </c>
      <c r="F1135" s="10" t="s">
        <v>217</v>
      </c>
      <c r="G1135" s="10" t="s">
        <v>218</v>
      </c>
      <c r="H1135" s="10">
        <v>9671740481</v>
      </c>
      <c r="I1135" s="3">
        <v>750</v>
      </c>
      <c r="J1135" s="97"/>
      <c r="K1135" s="97"/>
      <c r="L1135" s="97"/>
      <c r="M1135" s="97"/>
      <c r="N1135" s="97"/>
      <c r="O1135" s="5">
        <v>12000</v>
      </c>
      <c r="P1135" s="97"/>
    </row>
    <row r="1136" spans="1:16" ht="15.75">
      <c r="A1136" s="97">
        <v>16</v>
      </c>
      <c r="B1136" s="98">
        <v>46238</v>
      </c>
      <c r="C1136" s="97" t="s">
        <v>51</v>
      </c>
      <c r="D1136" s="5" t="s">
        <v>210</v>
      </c>
      <c r="E1136" s="10" t="s">
        <v>227</v>
      </c>
      <c r="F1136" s="10" t="s">
        <v>219</v>
      </c>
      <c r="G1136" s="10" t="s">
        <v>220</v>
      </c>
      <c r="H1136" s="10">
        <v>9311797101</v>
      </c>
      <c r="I1136" s="3">
        <v>750</v>
      </c>
      <c r="J1136" s="97"/>
      <c r="K1136" s="97"/>
      <c r="L1136" s="97"/>
      <c r="M1136" s="97"/>
      <c r="N1136" s="97"/>
      <c r="O1136" s="5">
        <v>12000</v>
      </c>
      <c r="P1136" s="97"/>
    </row>
    <row r="1137" spans="1:16" ht="15.75">
      <c r="A1137" s="97">
        <v>17</v>
      </c>
      <c r="B1137" s="98">
        <v>46238</v>
      </c>
      <c r="C1137" s="97" t="s">
        <v>51</v>
      </c>
      <c r="D1137" s="5" t="s">
        <v>211</v>
      </c>
      <c r="E1137" s="10" t="s">
        <v>226</v>
      </c>
      <c r="F1137" s="10" t="s">
        <v>221</v>
      </c>
      <c r="G1137" s="10" t="s">
        <v>222</v>
      </c>
      <c r="H1137" s="10">
        <v>7206610781</v>
      </c>
      <c r="I1137" s="3">
        <v>750</v>
      </c>
      <c r="J1137" s="97"/>
      <c r="K1137" s="97"/>
      <c r="L1137" s="97"/>
      <c r="M1137" s="97"/>
      <c r="N1137" s="97"/>
      <c r="O1137" s="5">
        <v>12000</v>
      </c>
      <c r="P1137" s="97"/>
    </row>
    <row r="1138" spans="1:16" ht="15.75">
      <c r="A1138" s="97">
        <v>18</v>
      </c>
      <c r="B1138" s="98">
        <v>46238</v>
      </c>
      <c r="C1138" s="97" t="s">
        <v>51</v>
      </c>
      <c r="D1138" s="5" t="s">
        <v>212</v>
      </c>
      <c r="E1138" s="10" t="s">
        <v>226</v>
      </c>
      <c r="F1138" s="10" t="s">
        <v>223</v>
      </c>
      <c r="G1138" s="10" t="s">
        <v>224</v>
      </c>
      <c r="H1138" s="10">
        <v>8814045633</v>
      </c>
      <c r="I1138" s="3">
        <v>750</v>
      </c>
      <c r="J1138" s="97"/>
      <c r="K1138" s="97"/>
      <c r="L1138" s="97"/>
      <c r="M1138" s="97"/>
      <c r="N1138" s="97"/>
      <c r="O1138" s="5">
        <v>12000</v>
      </c>
      <c r="P1138" s="97"/>
    </row>
    <row r="1139" spans="1:16" ht="15.75">
      <c r="A1139" s="97">
        <v>19</v>
      </c>
      <c r="B1139" s="98">
        <v>46238</v>
      </c>
      <c r="C1139" s="97" t="s">
        <v>51</v>
      </c>
      <c r="D1139" s="5" t="s">
        <v>228</v>
      </c>
      <c r="E1139" s="3" t="s">
        <v>229</v>
      </c>
      <c r="F1139" s="10" t="s">
        <v>165</v>
      </c>
      <c r="G1139" s="10" t="s">
        <v>198</v>
      </c>
      <c r="H1139" s="10" t="s">
        <v>230</v>
      </c>
      <c r="I1139" s="3">
        <v>750</v>
      </c>
      <c r="J1139" s="97"/>
      <c r="K1139" s="97"/>
      <c r="L1139" s="97"/>
      <c r="M1139" s="97"/>
      <c r="N1139" s="97"/>
      <c r="O1139" s="5">
        <v>12000</v>
      </c>
      <c r="P1139" s="97"/>
    </row>
    <row r="1140" spans="1:16" ht="15.75">
      <c r="A1140" s="97">
        <v>20</v>
      </c>
      <c r="B1140" s="98">
        <v>46238</v>
      </c>
      <c r="C1140" s="97" t="s">
        <v>51</v>
      </c>
      <c r="D1140" s="5" t="s">
        <v>233</v>
      </c>
      <c r="E1140" s="10" t="s">
        <v>49</v>
      </c>
      <c r="F1140" s="10" t="s">
        <v>231</v>
      </c>
      <c r="G1140" s="10" t="s">
        <v>142</v>
      </c>
      <c r="H1140" s="10">
        <v>7497855174</v>
      </c>
      <c r="I1140" s="3">
        <v>750</v>
      </c>
      <c r="J1140" s="97"/>
      <c r="K1140" s="97"/>
      <c r="L1140" s="97"/>
      <c r="M1140" s="97"/>
      <c r="N1140" s="97"/>
      <c r="O1140" s="5">
        <v>12750</v>
      </c>
      <c r="P1140" s="97"/>
    </row>
    <row r="1141" spans="1:16" ht="15.75">
      <c r="A1141" s="97">
        <v>21</v>
      </c>
      <c r="B1141" s="98">
        <v>46238</v>
      </c>
      <c r="C1141" s="97" t="s">
        <v>51</v>
      </c>
      <c r="D1141" s="5" t="s">
        <v>234</v>
      </c>
      <c r="E1141" s="10" t="s">
        <v>196</v>
      </c>
      <c r="F1141" s="10" t="s">
        <v>232</v>
      </c>
      <c r="G1141" s="10" t="s">
        <v>235</v>
      </c>
      <c r="H1141" s="10">
        <v>9817633128</v>
      </c>
      <c r="I1141" s="3">
        <v>800</v>
      </c>
      <c r="J1141" s="97"/>
      <c r="K1141" s="97"/>
      <c r="L1141" s="97"/>
      <c r="M1141" s="97"/>
      <c r="N1141" s="97"/>
      <c r="O1141" s="5">
        <v>20000</v>
      </c>
      <c r="P1141" s="97"/>
    </row>
    <row r="1142" spans="1:16" ht="15.75">
      <c r="A1142" s="97">
        <v>22</v>
      </c>
      <c r="B1142" s="98">
        <v>46238</v>
      </c>
      <c r="C1142" s="97" t="s">
        <v>51</v>
      </c>
      <c r="D1142" s="5" t="s">
        <v>236</v>
      </c>
      <c r="E1142" s="10" t="s">
        <v>238</v>
      </c>
      <c r="F1142" s="10" t="s">
        <v>180</v>
      </c>
      <c r="G1142" s="10" t="s">
        <v>240</v>
      </c>
      <c r="H1142" s="10">
        <v>9728727855</v>
      </c>
      <c r="I1142" s="3">
        <v>750</v>
      </c>
      <c r="J1142" s="97"/>
      <c r="K1142" s="97"/>
      <c r="L1142" s="97"/>
      <c r="M1142" s="97"/>
      <c r="N1142" s="97"/>
      <c r="O1142" s="5">
        <v>12750</v>
      </c>
      <c r="P1142" s="97"/>
    </row>
    <row r="1143" spans="1:16" ht="15.75">
      <c r="A1143" s="97">
        <v>23</v>
      </c>
      <c r="B1143" s="98">
        <v>46238</v>
      </c>
      <c r="C1143" s="97" t="s">
        <v>51</v>
      </c>
      <c r="D1143" s="5" t="s">
        <v>237</v>
      </c>
      <c r="E1143" s="10" t="s">
        <v>238</v>
      </c>
      <c r="F1143" s="10" t="s">
        <v>239</v>
      </c>
      <c r="G1143" s="10" t="s">
        <v>241</v>
      </c>
      <c r="H1143" s="10">
        <v>9813575389</v>
      </c>
      <c r="I1143" s="3">
        <v>800</v>
      </c>
      <c r="J1143" s="97"/>
      <c r="K1143" s="97"/>
      <c r="L1143" s="97"/>
      <c r="M1143" s="97"/>
      <c r="N1143" s="97"/>
      <c r="O1143" s="5">
        <v>20000</v>
      </c>
      <c r="P1143" s="97"/>
    </row>
    <row r="1144" spans="1:16" ht="15.75">
      <c r="A1144" s="97">
        <v>24</v>
      </c>
      <c r="B1144" s="98">
        <v>46238</v>
      </c>
      <c r="C1144" s="97" t="s">
        <v>51</v>
      </c>
      <c r="D1144" s="5" t="s">
        <v>242</v>
      </c>
      <c r="E1144" s="10" t="s">
        <v>226</v>
      </c>
      <c r="F1144" s="10" t="s">
        <v>246</v>
      </c>
      <c r="G1144" s="10" t="s">
        <v>249</v>
      </c>
      <c r="H1144" s="10">
        <v>9997650988</v>
      </c>
      <c r="I1144" s="3">
        <v>750</v>
      </c>
      <c r="J1144" s="97"/>
      <c r="K1144" s="97"/>
      <c r="L1144" s="97"/>
      <c r="M1144" s="97"/>
      <c r="N1144" s="97"/>
      <c r="O1144" s="5">
        <v>12750</v>
      </c>
      <c r="P1144" s="97"/>
    </row>
    <row r="1145" spans="1:16" ht="15.75">
      <c r="A1145" s="97">
        <v>25</v>
      </c>
      <c r="B1145" s="98">
        <v>46238</v>
      </c>
      <c r="C1145" s="97" t="s">
        <v>51</v>
      </c>
      <c r="D1145" s="5" t="s">
        <v>243</v>
      </c>
      <c r="E1145" s="10" t="s">
        <v>225</v>
      </c>
      <c r="F1145" s="10" t="s">
        <v>247</v>
      </c>
      <c r="G1145" s="10" t="s">
        <v>250</v>
      </c>
      <c r="H1145" s="10">
        <v>8607470754</v>
      </c>
      <c r="I1145" s="3">
        <v>800</v>
      </c>
      <c r="J1145" s="97"/>
      <c r="K1145" s="97"/>
      <c r="L1145" s="97"/>
      <c r="M1145" s="97"/>
      <c r="N1145" s="97"/>
      <c r="O1145" s="5">
        <v>20000</v>
      </c>
      <c r="P1145" s="97"/>
    </row>
    <row r="1146" spans="1:16" ht="15.75">
      <c r="A1146" s="97">
        <v>26</v>
      </c>
      <c r="B1146" s="98">
        <v>46238</v>
      </c>
      <c r="C1146" s="97" t="s">
        <v>51</v>
      </c>
      <c r="D1146" s="5" t="s">
        <v>244</v>
      </c>
      <c r="E1146" s="10" t="s">
        <v>226</v>
      </c>
      <c r="F1146" s="10" t="s">
        <v>248</v>
      </c>
      <c r="G1146" s="10" t="s">
        <v>251</v>
      </c>
      <c r="H1146" s="10">
        <v>8929903323</v>
      </c>
      <c r="I1146" s="3">
        <v>800</v>
      </c>
      <c r="J1146" s="97"/>
      <c r="K1146" s="97"/>
      <c r="L1146" s="97"/>
      <c r="M1146" s="97"/>
      <c r="N1146" s="97"/>
      <c r="O1146" s="5">
        <v>20000</v>
      </c>
      <c r="P1146" s="97"/>
    </row>
    <row r="1147" spans="1:16" ht="15.75">
      <c r="A1147" s="97">
        <v>27</v>
      </c>
      <c r="B1147" s="98">
        <v>46238</v>
      </c>
      <c r="C1147" s="97" t="s">
        <v>51</v>
      </c>
      <c r="D1147" s="5" t="s">
        <v>252</v>
      </c>
      <c r="E1147" s="10" t="s">
        <v>226</v>
      </c>
      <c r="F1147" s="10" t="s">
        <v>120</v>
      </c>
      <c r="G1147" s="10" t="s">
        <v>253</v>
      </c>
      <c r="H1147" s="10">
        <v>8930304731</v>
      </c>
      <c r="I1147" s="3">
        <v>800</v>
      </c>
      <c r="J1147" s="97"/>
      <c r="K1147" s="97"/>
      <c r="L1147" s="97"/>
      <c r="M1147" s="97"/>
      <c r="N1147" s="97"/>
      <c r="O1147" s="5">
        <v>20000</v>
      </c>
      <c r="P1147" s="97"/>
    </row>
    <row r="1148" spans="1:16" ht="15.75">
      <c r="A1148" s="97">
        <v>28</v>
      </c>
      <c r="B1148" s="98">
        <v>46238</v>
      </c>
      <c r="C1148" s="97" t="s">
        <v>51</v>
      </c>
      <c r="D1148" s="5" t="s">
        <v>256</v>
      </c>
      <c r="E1148" s="10" t="s">
        <v>257</v>
      </c>
      <c r="F1148" s="10" t="s">
        <v>258</v>
      </c>
      <c r="G1148" s="10" t="s">
        <v>259</v>
      </c>
      <c r="H1148" s="10">
        <v>7355860393</v>
      </c>
      <c r="I1148" s="3">
        <v>750</v>
      </c>
      <c r="J1148" s="97"/>
      <c r="K1148" s="97"/>
      <c r="L1148" s="97"/>
      <c r="M1148" s="97"/>
      <c r="N1148" s="97"/>
      <c r="O1148" s="5">
        <v>12750</v>
      </c>
      <c r="P1148" s="97"/>
    </row>
    <row r="1149" spans="1:16" ht="15.75">
      <c r="A1149" s="97">
        <v>29</v>
      </c>
      <c r="B1149" s="98">
        <v>46238</v>
      </c>
      <c r="C1149" s="97" t="s">
        <v>51</v>
      </c>
      <c r="D1149" s="5" t="s">
        <v>263</v>
      </c>
      <c r="E1149" s="10" t="s">
        <v>196</v>
      </c>
      <c r="F1149" s="10" t="s">
        <v>260</v>
      </c>
      <c r="G1149" s="10" t="s">
        <v>268</v>
      </c>
      <c r="H1149" s="10">
        <v>8936838477</v>
      </c>
      <c r="I1149" s="3">
        <v>750</v>
      </c>
      <c r="J1149" s="97"/>
      <c r="K1149" s="97"/>
      <c r="L1149" s="97"/>
      <c r="M1149" s="97"/>
      <c r="N1149" s="97"/>
      <c r="O1149" s="5">
        <v>13500</v>
      </c>
      <c r="P1149" s="97"/>
    </row>
    <row r="1150" spans="1:16" ht="15.75">
      <c r="A1150" s="97">
        <v>30</v>
      </c>
      <c r="B1150" s="98">
        <v>46238</v>
      </c>
      <c r="C1150" s="97" t="s">
        <v>51</v>
      </c>
      <c r="D1150" s="5" t="s">
        <v>266</v>
      </c>
      <c r="E1150" s="10" t="s">
        <v>196</v>
      </c>
      <c r="F1150" s="10" t="s">
        <v>239</v>
      </c>
      <c r="G1150" s="10" t="s">
        <v>235</v>
      </c>
      <c r="H1150" s="10">
        <v>9728139162</v>
      </c>
      <c r="I1150" s="3">
        <v>750</v>
      </c>
      <c r="J1150" s="97"/>
      <c r="K1150" s="97"/>
      <c r="L1150" s="97"/>
      <c r="M1150" s="97"/>
      <c r="N1150" s="97"/>
      <c r="O1150" s="5">
        <v>13500</v>
      </c>
      <c r="P1150" s="97"/>
    </row>
    <row r="1151" spans="1:16" ht="15.75">
      <c r="A1151" s="97">
        <v>31</v>
      </c>
      <c r="B1151" s="98">
        <v>46238</v>
      </c>
      <c r="C1151" s="97" t="s">
        <v>51</v>
      </c>
      <c r="D1151" s="5" t="s">
        <v>288</v>
      </c>
      <c r="E1151" s="3" t="s">
        <v>290</v>
      </c>
      <c r="F1151" s="3" t="s">
        <v>180</v>
      </c>
      <c r="G1151" s="3" t="s">
        <v>295</v>
      </c>
      <c r="H1151" s="3">
        <v>9671443722</v>
      </c>
      <c r="I1151" s="3">
        <v>800</v>
      </c>
      <c r="J1151" s="97"/>
      <c r="K1151" s="97"/>
      <c r="L1151" s="97"/>
      <c r="M1151" s="97"/>
      <c r="N1151" s="97"/>
      <c r="O1151" s="5">
        <v>22400</v>
      </c>
      <c r="P1151" s="97"/>
    </row>
    <row r="1152" spans="1:16" ht="15.75">
      <c r="A1152" s="97">
        <v>32</v>
      </c>
      <c r="B1152" s="98">
        <v>46238</v>
      </c>
      <c r="C1152" s="97" t="s">
        <v>51</v>
      </c>
      <c r="D1152" s="5" t="s">
        <v>289</v>
      </c>
      <c r="E1152" s="3" t="s">
        <v>291</v>
      </c>
      <c r="F1152" s="3" t="s">
        <v>292</v>
      </c>
      <c r="G1152" s="3" t="s">
        <v>296</v>
      </c>
      <c r="H1152" s="3">
        <v>9343799675</v>
      </c>
      <c r="I1152" s="3">
        <v>800</v>
      </c>
      <c r="J1152" s="97"/>
      <c r="K1152" s="97"/>
      <c r="L1152" s="97"/>
      <c r="M1152" s="97"/>
      <c r="N1152" s="97"/>
      <c r="O1152" s="5">
        <v>21600</v>
      </c>
      <c r="P1152" s="97"/>
    </row>
    <row r="1153" spans="1:16" ht="15.75">
      <c r="A1153" s="97">
        <v>33</v>
      </c>
      <c r="B1153" s="98">
        <v>46238</v>
      </c>
      <c r="C1153" s="97" t="s">
        <v>51</v>
      </c>
      <c r="D1153" s="5" t="s">
        <v>298</v>
      </c>
      <c r="E1153" s="3" t="s">
        <v>300</v>
      </c>
      <c r="F1153" s="3" t="s">
        <v>71</v>
      </c>
      <c r="G1153" s="3" t="s">
        <v>302</v>
      </c>
      <c r="H1153" s="3">
        <v>7056212672</v>
      </c>
      <c r="I1153" s="3">
        <v>750</v>
      </c>
      <c r="J1153" s="97"/>
      <c r="K1153" s="97"/>
      <c r="L1153" s="97"/>
      <c r="M1153" s="97"/>
      <c r="N1153" s="97"/>
      <c r="O1153" s="5">
        <v>14250</v>
      </c>
      <c r="P1153" s="97"/>
    </row>
    <row r="1154" spans="1:16" ht="15.75">
      <c r="A1154" s="97">
        <v>34</v>
      </c>
      <c r="B1154" s="98">
        <v>46238</v>
      </c>
      <c r="C1154" s="97" t="s">
        <v>51</v>
      </c>
      <c r="D1154" s="5" t="s">
        <v>306</v>
      </c>
      <c r="E1154" s="3" t="s">
        <v>308</v>
      </c>
      <c r="F1154" s="3" t="s">
        <v>165</v>
      </c>
      <c r="G1154" s="3" t="s">
        <v>310</v>
      </c>
      <c r="H1154" s="3">
        <v>9971836202</v>
      </c>
      <c r="I1154" s="3">
        <v>800</v>
      </c>
      <c r="J1154" s="97"/>
      <c r="K1154" s="97"/>
      <c r="L1154" s="97"/>
      <c r="M1154" s="97"/>
      <c r="N1154" s="97"/>
      <c r="O1154" s="6">
        <v>22400</v>
      </c>
      <c r="P1154" s="97"/>
    </row>
    <row r="1155" spans="1:16" ht="15.75">
      <c r="A1155" s="97">
        <v>35</v>
      </c>
      <c r="B1155" s="98">
        <v>46238</v>
      </c>
      <c r="C1155" s="97" t="s">
        <v>51</v>
      </c>
      <c r="D1155" s="5" t="s">
        <v>307</v>
      </c>
      <c r="E1155" s="3" t="s">
        <v>309</v>
      </c>
      <c r="F1155" s="3" t="s">
        <v>305</v>
      </c>
      <c r="G1155" s="3" t="s">
        <v>54</v>
      </c>
      <c r="H1155" s="3">
        <v>8307951615</v>
      </c>
      <c r="I1155" s="3">
        <v>1000</v>
      </c>
      <c r="J1155" s="97"/>
      <c r="K1155" s="97"/>
      <c r="L1155" s="97"/>
      <c r="M1155" s="97"/>
      <c r="N1155" s="97"/>
      <c r="O1155" s="6">
        <v>21000</v>
      </c>
      <c r="P1155" s="97"/>
    </row>
    <row r="1156" spans="1:16" ht="15.75">
      <c r="A1156" s="97">
        <v>36</v>
      </c>
      <c r="B1156" s="98">
        <v>46238</v>
      </c>
      <c r="C1156" s="97" t="s">
        <v>51</v>
      </c>
      <c r="D1156" s="5" t="s">
        <v>313</v>
      </c>
      <c r="E1156" s="3" t="s">
        <v>314</v>
      </c>
      <c r="F1156" s="3" t="s">
        <v>311</v>
      </c>
      <c r="G1156" s="3" t="s">
        <v>316</v>
      </c>
      <c r="H1156" s="3">
        <v>8053115922</v>
      </c>
      <c r="I1156" s="3">
        <v>1000</v>
      </c>
      <c r="J1156" s="97"/>
      <c r="K1156" s="97"/>
      <c r="L1156" s="97"/>
      <c r="M1156" s="97"/>
      <c r="N1156" s="97"/>
      <c r="O1156" s="6">
        <v>21000</v>
      </c>
      <c r="P1156" s="97"/>
    </row>
    <row r="1157" spans="1:16" ht="15.75">
      <c r="A1157" s="97">
        <v>37</v>
      </c>
      <c r="B1157" s="98">
        <v>46238</v>
      </c>
      <c r="C1157" s="97" t="s">
        <v>51</v>
      </c>
      <c r="D1157" s="5" t="s">
        <v>324</v>
      </c>
      <c r="E1157" s="3" t="s">
        <v>130</v>
      </c>
      <c r="F1157" s="3" t="s">
        <v>317</v>
      </c>
      <c r="G1157" s="3" t="s">
        <v>318</v>
      </c>
      <c r="H1157" s="3">
        <v>9034416529</v>
      </c>
      <c r="I1157" s="3">
        <v>1000</v>
      </c>
      <c r="J1157" s="97"/>
      <c r="K1157" s="97"/>
      <c r="L1157" s="97"/>
      <c r="M1157" s="97"/>
      <c r="N1157" s="97"/>
      <c r="O1157" s="6">
        <v>21000</v>
      </c>
      <c r="P1157" s="97"/>
    </row>
    <row r="1158" spans="1:16" ht="15.75">
      <c r="A1158" s="97">
        <v>38</v>
      </c>
      <c r="B1158" s="98">
        <v>46238</v>
      </c>
      <c r="C1158" s="97" t="s">
        <v>51</v>
      </c>
      <c r="D1158" s="5" t="s">
        <v>325</v>
      </c>
      <c r="E1158" s="3" t="s">
        <v>130</v>
      </c>
      <c r="F1158" s="3" t="s">
        <v>319</v>
      </c>
      <c r="G1158" s="3" t="s">
        <v>320</v>
      </c>
      <c r="H1158" s="3">
        <v>9728411675</v>
      </c>
      <c r="I1158" s="3">
        <v>1000</v>
      </c>
      <c r="J1158" s="97"/>
      <c r="K1158" s="97"/>
      <c r="L1158" s="97"/>
      <c r="M1158" s="97"/>
      <c r="N1158" s="97"/>
      <c r="O1158" s="6">
        <v>21000</v>
      </c>
      <c r="P1158" s="97"/>
    </row>
    <row r="1159" spans="1:16" ht="15.75">
      <c r="A1159" s="97">
        <v>39</v>
      </c>
      <c r="B1159" s="98">
        <v>46238</v>
      </c>
      <c r="C1159" s="97" t="s">
        <v>51</v>
      </c>
      <c r="D1159" s="5" t="s">
        <v>326</v>
      </c>
      <c r="E1159" s="3" t="s">
        <v>130</v>
      </c>
      <c r="F1159" s="3" t="s">
        <v>321</v>
      </c>
      <c r="G1159" s="3" t="s">
        <v>322</v>
      </c>
      <c r="H1159" s="3">
        <v>9034416529</v>
      </c>
      <c r="I1159" s="3">
        <v>1000</v>
      </c>
      <c r="J1159" s="97"/>
      <c r="K1159" s="97"/>
      <c r="L1159" s="97"/>
      <c r="M1159" s="97"/>
      <c r="N1159" s="97"/>
      <c r="O1159" s="6">
        <v>21000</v>
      </c>
      <c r="P1159" s="97"/>
    </row>
    <row r="1160" spans="1:16" ht="15.75">
      <c r="A1160" s="97">
        <v>40</v>
      </c>
      <c r="B1160" s="98">
        <v>46238</v>
      </c>
      <c r="C1160" s="97" t="s">
        <v>51</v>
      </c>
      <c r="D1160" s="5" t="s">
        <v>327</v>
      </c>
      <c r="E1160" s="3" t="s">
        <v>300</v>
      </c>
      <c r="F1160" s="3" t="s">
        <v>180</v>
      </c>
      <c r="G1160" s="3" t="s">
        <v>78</v>
      </c>
      <c r="H1160" s="3">
        <v>7027786391</v>
      </c>
      <c r="I1160" s="3">
        <v>1000</v>
      </c>
      <c r="J1160" s="97"/>
      <c r="K1160" s="97"/>
      <c r="L1160" s="97"/>
      <c r="M1160" s="97"/>
      <c r="N1160" s="97"/>
      <c r="O1160" s="6">
        <v>21000</v>
      </c>
      <c r="P1160" s="97"/>
    </row>
    <row r="1161" spans="1:16" ht="15.75">
      <c r="A1161" s="97">
        <v>41</v>
      </c>
      <c r="B1161" s="98">
        <v>46238</v>
      </c>
      <c r="C1161" s="97" t="s">
        <v>51</v>
      </c>
      <c r="D1161" s="5" t="s">
        <v>328</v>
      </c>
      <c r="E1161" s="3" t="s">
        <v>130</v>
      </c>
      <c r="F1161" s="3" t="s">
        <v>323</v>
      </c>
      <c r="G1161" s="3" t="s">
        <v>126</v>
      </c>
      <c r="H1161" s="3">
        <v>9996695743</v>
      </c>
      <c r="I1161" s="3">
        <v>1000</v>
      </c>
      <c r="J1161" s="97"/>
      <c r="K1161" s="97"/>
      <c r="L1161" s="97"/>
      <c r="M1161" s="97"/>
      <c r="N1161" s="97"/>
      <c r="O1161" s="6">
        <v>21000</v>
      </c>
      <c r="P1161" s="97"/>
    </row>
    <row r="1162" spans="1:16" ht="15.75">
      <c r="A1162" s="97">
        <v>42</v>
      </c>
      <c r="B1162" s="98">
        <v>46238</v>
      </c>
      <c r="C1162" s="97" t="s">
        <v>51</v>
      </c>
      <c r="D1162" s="5" t="s">
        <v>345</v>
      </c>
      <c r="E1162" s="3" t="s">
        <v>349</v>
      </c>
      <c r="F1162" s="3" t="s">
        <v>337</v>
      </c>
      <c r="G1162" s="3" t="s">
        <v>338</v>
      </c>
      <c r="H1162" s="3">
        <v>9306916119</v>
      </c>
      <c r="I1162" s="3">
        <v>810</v>
      </c>
      <c r="J1162" s="97"/>
      <c r="K1162" s="97"/>
      <c r="L1162" s="97"/>
      <c r="M1162" s="97"/>
      <c r="N1162" s="97"/>
      <c r="O1162" s="6">
        <v>17010</v>
      </c>
      <c r="P1162" s="97"/>
    </row>
    <row r="1163" spans="1:16" ht="15.75">
      <c r="A1163" s="97">
        <v>43</v>
      </c>
      <c r="B1163" s="98">
        <v>46238</v>
      </c>
      <c r="C1163" s="97" t="s">
        <v>51</v>
      </c>
      <c r="D1163" s="5" t="s">
        <v>350</v>
      </c>
      <c r="E1163" s="3" t="s">
        <v>197</v>
      </c>
      <c r="F1163" s="3" t="s">
        <v>358</v>
      </c>
      <c r="G1163" s="3" t="s">
        <v>364</v>
      </c>
      <c r="H1163" s="3">
        <v>9319598592</v>
      </c>
      <c r="I1163" s="3">
        <v>1000</v>
      </c>
      <c r="J1163" s="97"/>
      <c r="K1163" s="97"/>
      <c r="L1163" s="97"/>
      <c r="M1163" s="97"/>
      <c r="N1163" s="97"/>
      <c r="O1163" s="6">
        <v>23000</v>
      </c>
      <c r="P1163" s="97"/>
    </row>
    <row r="1164" spans="1:16" ht="15.75">
      <c r="A1164" s="97">
        <v>44</v>
      </c>
      <c r="B1164" s="98">
        <v>46238</v>
      </c>
      <c r="C1164" s="97" t="s">
        <v>51</v>
      </c>
      <c r="D1164" s="5" t="s">
        <v>351</v>
      </c>
      <c r="E1164" s="3" t="s">
        <v>308</v>
      </c>
      <c r="F1164" s="3" t="s">
        <v>360</v>
      </c>
      <c r="G1164" s="3" t="s">
        <v>365</v>
      </c>
      <c r="H1164" s="3">
        <v>9582305438</v>
      </c>
      <c r="I1164" s="3">
        <v>810</v>
      </c>
      <c r="J1164" s="97"/>
      <c r="K1164" s="97"/>
      <c r="L1164" s="97"/>
      <c r="M1164" s="97"/>
      <c r="N1164" s="97"/>
      <c r="O1164" s="6">
        <v>17010</v>
      </c>
      <c r="P1164" s="97"/>
    </row>
    <row r="1165" spans="1:16" ht="15.75">
      <c r="A1165" s="97">
        <v>45</v>
      </c>
      <c r="B1165" s="98">
        <v>46238</v>
      </c>
      <c r="C1165" s="97" t="s">
        <v>51</v>
      </c>
      <c r="D1165" s="5" t="s">
        <v>352</v>
      </c>
      <c r="E1165" s="3" t="s">
        <v>300</v>
      </c>
      <c r="F1165" s="3" t="s">
        <v>359</v>
      </c>
      <c r="G1165" s="3" t="s">
        <v>366</v>
      </c>
      <c r="H1165" s="3">
        <v>9813880978</v>
      </c>
      <c r="I1165" s="3">
        <v>810</v>
      </c>
      <c r="J1165" s="97"/>
      <c r="K1165" s="97"/>
      <c r="L1165" s="97"/>
      <c r="M1165" s="97"/>
      <c r="N1165" s="97"/>
      <c r="O1165" s="6">
        <v>17010</v>
      </c>
      <c r="P1165" s="97"/>
    </row>
    <row r="1166" spans="1:16" ht="15.75">
      <c r="A1166" s="97">
        <v>46</v>
      </c>
      <c r="B1166" s="98">
        <v>46238</v>
      </c>
      <c r="C1166" s="97" t="s">
        <v>51</v>
      </c>
      <c r="D1166" s="5" t="s">
        <v>353</v>
      </c>
      <c r="E1166" s="3" t="s">
        <v>308</v>
      </c>
      <c r="F1166" s="3" t="s">
        <v>361</v>
      </c>
      <c r="G1166" s="3" t="s">
        <v>367</v>
      </c>
      <c r="H1166" s="3">
        <v>9319848440</v>
      </c>
      <c r="I1166" s="3">
        <v>1000</v>
      </c>
      <c r="J1166" s="97"/>
      <c r="K1166" s="97"/>
      <c r="L1166" s="97"/>
      <c r="M1166" s="97"/>
      <c r="N1166" s="97"/>
      <c r="O1166" s="6">
        <v>23000</v>
      </c>
      <c r="P1166" s="97"/>
    </row>
    <row r="1167" spans="1:16" ht="15.75">
      <c r="A1167" s="97">
        <v>47</v>
      </c>
      <c r="B1167" s="98">
        <v>46238</v>
      </c>
      <c r="C1167" s="97" t="s">
        <v>51</v>
      </c>
      <c r="D1167" s="5" t="s">
        <v>354</v>
      </c>
      <c r="E1167" s="3" t="s">
        <v>308</v>
      </c>
      <c r="F1167" s="3" t="s">
        <v>203</v>
      </c>
      <c r="G1167" s="3" t="s">
        <v>368</v>
      </c>
      <c r="H1167" s="3">
        <v>9389488234</v>
      </c>
      <c r="I1167" s="3">
        <v>1000</v>
      </c>
      <c r="J1167" s="97"/>
      <c r="K1167" s="97"/>
      <c r="L1167" s="97"/>
      <c r="M1167" s="97"/>
      <c r="N1167" s="97"/>
      <c r="O1167" s="6">
        <v>23000</v>
      </c>
      <c r="P1167" s="97"/>
    </row>
    <row r="1168" spans="1:16" ht="15.75">
      <c r="A1168" s="97">
        <v>48</v>
      </c>
      <c r="B1168" s="98">
        <v>46238</v>
      </c>
      <c r="C1168" s="97" t="s">
        <v>51</v>
      </c>
      <c r="D1168" s="5" t="s">
        <v>355</v>
      </c>
      <c r="E1168" s="3" t="s">
        <v>308</v>
      </c>
      <c r="F1168" s="3" t="s">
        <v>362</v>
      </c>
      <c r="G1168" s="3" t="s">
        <v>369</v>
      </c>
      <c r="H1168" s="3">
        <v>9211692359</v>
      </c>
      <c r="I1168" s="3">
        <v>1000</v>
      </c>
      <c r="J1168" s="97"/>
      <c r="K1168" s="97"/>
      <c r="L1168" s="97"/>
      <c r="M1168" s="97"/>
      <c r="N1168" s="97"/>
      <c r="O1168" s="6">
        <v>23000</v>
      </c>
      <c r="P1168" s="97"/>
    </row>
    <row r="1169" spans="1:16" ht="15.75">
      <c r="A1169" s="97">
        <v>49</v>
      </c>
      <c r="B1169" s="98">
        <v>46238</v>
      </c>
      <c r="C1169" s="97" t="s">
        <v>51</v>
      </c>
      <c r="D1169" s="5" t="s">
        <v>356</v>
      </c>
      <c r="E1169" s="3" t="s">
        <v>357</v>
      </c>
      <c r="F1169" s="3" t="s">
        <v>363</v>
      </c>
      <c r="G1169" s="3" t="s">
        <v>68</v>
      </c>
      <c r="H1169" s="3">
        <v>7027202092</v>
      </c>
      <c r="I1169" s="3">
        <v>810</v>
      </c>
      <c r="J1169" s="97"/>
      <c r="K1169" s="97"/>
      <c r="L1169" s="97"/>
      <c r="M1169" s="97"/>
      <c r="N1169" s="97"/>
      <c r="O1169" s="6">
        <v>17010</v>
      </c>
      <c r="P1169" s="97"/>
    </row>
    <row r="1170" spans="1:16" ht="15.75">
      <c r="A1170" s="97">
        <v>50</v>
      </c>
      <c r="B1170" s="98">
        <v>46238</v>
      </c>
      <c r="C1170" s="97" t="s">
        <v>51</v>
      </c>
      <c r="D1170" s="5" t="s">
        <v>370</v>
      </c>
      <c r="E1170" s="3" t="s">
        <v>308</v>
      </c>
      <c r="F1170" s="3" t="s">
        <v>373</v>
      </c>
      <c r="G1170" s="3" t="s">
        <v>375</v>
      </c>
      <c r="H1170" s="3">
        <v>8929770356</v>
      </c>
      <c r="I1170" s="3">
        <v>1000</v>
      </c>
      <c r="J1170" s="97"/>
      <c r="K1170" s="97"/>
      <c r="L1170" s="97"/>
      <c r="M1170" s="97"/>
      <c r="N1170" s="97"/>
      <c r="O1170" s="6">
        <v>23000</v>
      </c>
      <c r="P1170" s="97"/>
    </row>
    <row r="1171" spans="1:16" ht="15.75">
      <c r="A1171" s="97">
        <v>51</v>
      </c>
      <c r="B1171" s="98">
        <v>46238</v>
      </c>
      <c r="C1171" s="97" t="s">
        <v>51</v>
      </c>
      <c r="D1171" s="5" t="s">
        <v>371</v>
      </c>
      <c r="E1171" s="3" t="s">
        <v>372</v>
      </c>
      <c r="F1171" s="3" t="s">
        <v>374</v>
      </c>
      <c r="G1171" s="3" t="s">
        <v>376</v>
      </c>
      <c r="H1171" s="3">
        <v>9996738835</v>
      </c>
      <c r="I1171" s="3">
        <v>810</v>
      </c>
      <c r="J1171" s="97"/>
      <c r="K1171" s="97"/>
      <c r="L1171" s="97"/>
      <c r="M1171" s="97"/>
      <c r="N1171" s="97"/>
      <c r="O1171" s="6">
        <v>17010</v>
      </c>
      <c r="P1171" s="97"/>
    </row>
    <row r="1172" spans="1:16" ht="15.75">
      <c r="A1172" s="97">
        <v>52</v>
      </c>
      <c r="B1172" s="98">
        <v>46238</v>
      </c>
      <c r="C1172" s="97" t="s">
        <v>51</v>
      </c>
      <c r="D1172" s="5" t="s">
        <v>377</v>
      </c>
      <c r="E1172" s="3" t="s">
        <v>308</v>
      </c>
      <c r="F1172" s="3" t="s">
        <v>384</v>
      </c>
      <c r="G1172" s="3" t="s">
        <v>390</v>
      </c>
      <c r="H1172" s="3">
        <v>9311578306</v>
      </c>
      <c r="I1172" s="3">
        <v>1000</v>
      </c>
      <c r="J1172" s="97"/>
      <c r="K1172" s="97"/>
      <c r="L1172" s="97"/>
      <c r="M1172" s="97"/>
      <c r="N1172" s="97"/>
      <c r="O1172" s="6">
        <v>23000</v>
      </c>
      <c r="P1172" s="97"/>
    </row>
    <row r="1173" spans="1:16" ht="15.75">
      <c r="A1173" s="97">
        <v>53</v>
      </c>
      <c r="B1173" s="98">
        <v>46238</v>
      </c>
      <c r="C1173" s="97" t="s">
        <v>51</v>
      </c>
      <c r="D1173" s="5" t="s">
        <v>378</v>
      </c>
      <c r="E1173" s="3" t="s">
        <v>308</v>
      </c>
      <c r="F1173" s="3" t="s">
        <v>385</v>
      </c>
      <c r="G1173" s="3" t="s">
        <v>54</v>
      </c>
      <c r="H1173" s="3">
        <v>9818635674</v>
      </c>
      <c r="I1173" s="3">
        <v>1000</v>
      </c>
      <c r="J1173" s="97"/>
      <c r="K1173" s="97"/>
      <c r="L1173" s="97"/>
      <c r="M1173" s="97"/>
      <c r="N1173" s="97"/>
      <c r="O1173" s="6">
        <v>23000</v>
      </c>
      <c r="P1173" s="97"/>
    </row>
    <row r="1174" spans="1:16" ht="15.75">
      <c r="A1174" s="97">
        <v>54</v>
      </c>
      <c r="B1174" s="98">
        <v>46238</v>
      </c>
      <c r="C1174" s="97" t="s">
        <v>51</v>
      </c>
      <c r="D1174" s="5" t="s">
        <v>379</v>
      </c>
      <c r="E1174" s="3" t="s">
        <v>130</v>
      </c>
      <c r="F1174" s="3" t="s">
        <v>132</v>
      </c>
      <c r="G1174" s="3" t="s">
        <v>391</v>
      </c>
      <c r="H1174" s="3">
        <v>9728976983</v>
      </c>
      <c r="I1174" s="3">
        <v>810</v>
      </c>
      <c r="J1174" s="97"/>
      <c r="K1174" s="97"/>
      <c r="L1174" s="97"/>
      <c r="M1174" s="97"/>
      <c r="N1174" s="97"/>
      <c r="O1174" s="6">
        <v>17010</v>
      </c>
      <c r="P1174" s="97"/>
    </row>
    <row r="1175" spans="1:16" ht="15.75">
      <c r="A1175" s="97">
        <v>55</v>
      </c>
      <c r="B1175" s="98">
        <v>46238</v>
      </c>
      <c r="C1175" s="97" t="s">
        <v>51</v>
      </c>
      <c r="D1175" s="5" t="s">
        <v>380</v>
      </c>
      <c r="E1175" s="3" t="s">
        <v>130</v>
      </c>
      <c r="F1175" s="3" t="s">
        <v>386</v>
      </c>
      <c r="G1175" s="3" t="s">
        <v>389</v>
      </c>
      <c r="H1175" s="3">
        <v>9671616193</v>
      </c>
      <c r="I1175" s="3">
        <v>810</v>
      </c>
      <c r="J1175" s="97"/>
      <c r="K1175" s="97"/>
      <c r="L1175" s="97"/>
      <c r="M1175" s="97"/>
      <c r="N1175" s="97"/>
      <c r="O1175" s="6">
        <v>17010</v>
      </c>
      <c r="P1175" s="97"/>
    </row>
    <row r="1176" spans="1:16" ht="15.75">
      <c r="A1176" s="97">
        <v>56</v>
      </c>
      <c r="B1176" s="98">
        <v>46238</v>
      </c>
      <c r="C1176" s="97" t="s">
        <v>51</v>
      </c>
      <c r="D1176" s="5" t="s">
        <v>424</v>
      </c>
      <c r="E1176" s="3" t="s">
        <v>431</v>
      </c>
      <c r="F1176" s="3" t="s">
        <v>435</v>
      </c>
      <c r="G1176" s="3" t="s">
        <v>388</v>
      </c>
      <c r="H1176" s="3">
        <v>9812971544</v>
      </c>
      <c r="I1176" s="3">
        <v>1000</v>
      </c>
      <c r="J1176" s="97"/>
      <c r="K1176" s="97"/>
      <c r="L1176" s="97"/>
      <c r="M1176" s="97"/>
      <c r="N1176" s="97"/>
      <c r="O1176" s="6">
        <v>25000</v>
      </c>
      <c r="P1176" s="97"/>
    </row>
    <row r="1177" spans="1:16" ht="15.75">
      <c r="A1177" s="97">
        <v>57</v>
      </c>
      <c r="B1177" s="98">
        <v>46238</v>
      </c>
      <c r="C1177" s="97" t="s">
        <v>51</v>
      </c>
      <c r="D1177" s="5" t="s">
        <v>425</v>
      </c>
      <c r="E1177" s="3" t="s">
        <v>434</v>
      </c>
      <c r="F1177" s="3" t="s">
        <v>436</v>
      </c>
      <c r="G1177" s="3" t="s">
        <v>439</v>
      </c>
      <c r="H1177" s="3">
        <v>7027263992</v>
      </c>
      <c r="I1177" s="3">
        <v>810</v>
      </c>
      <c r="J1177" s="97"/>
      <c r="K1177" s="97"/>
      <c r="L1177" s="97"/>
      <c r="M1177" s="97"/>
      <c r="N1177" s="97"/>
      <c r="O1177" s="6">
        <v>18630</v>
      </c>
      <c r="P1177" s="97"/>
    </row>
    <row r="1178" spans="1:16" ht="15.75">
      <c r="A1178" s="97">
        <v>58</v>
      </c>
      <c r="B1178" s="98">
        <v>46238</v>
      </c>
      <c r="C1178" s="97" t="s">
        <v>51</v>
      </c>
      <c r="D1178" s="5" t="s">
        <v>426</v>
      </c>
      <c r="E1178" s="3" t="s">
        <v>432</v>
      </c>
      <c r="F1178" s="3" t="s">
        <v>71</v>
      </c>
      <c r="G1178" s="3" t="s">
        <v>259</v>
      </c>
      <c r="H1178" s="3">
        <v>7428815941</v>
      </c>
      <c r="I1178" s="3">
        <v>810</v>
      </c>
      <c r="J1178" s="97"/>
      <c r="K1178" s="97"/>
      <c r="L1178" s="97"/>
      <c r="M1178" s="97"/>
      <c r="N1178" s="97"/>
      <c r="O1178" s="6">
        <v>19440</v>
      </c>
      <c r="P1178" s="97"/>
    </row>
    <row r="1179" spans="1:16" ht="15.75">
      <c r="A1179" s="97">
        <v>59</v>
      </c>
      <c r="B1179" s="98">
        <v>46238</v>
      </c>
      <c r="C1179" s="97" t="s">
        <v>51</v>
      </c>
      <c r="D1179" s="5" t="s">
        <v>427</v>
      </c>
      <c r="E1179" s="3" t="s">
        <v>433</v>
      </c>
      <c r="F1179" s="3" t="s">
        <v>437</v>
      </c>
      <c r="G1179" s="3" t="s">
        <v>440</v>
      </c>
      <c r="H1179" s="3">
        <v>9992517804</v>
      </c>
      <c r="I1179" s="3">
        <v>1000</v>
      </c>
      <c r="J1179" s="97"/>
      <c r="K1179" s="97"/>
      <c r="L1179" s="97"/>
      <c r="M1179" s="97"/>
      <c r="N1179" s="97"/>
      <c r="O1179" s="6">
        <v>25000</v>
      </c>
      <c r="P1179" s="97"/>
    </row>
    <row r="1180" spans="1:16" ht="15.75">
      <c r="A1180" s="97">
        <v>60</v>
      </c>
      <c r="B1180" s="98">
        <v>46238</v>
      </c>
      <c r="C1180" s="97" t="s">
        <v>51</v>
      </c>
      <c r="D1180" s="5" t="s">
        <v>449</v>
      </c>
      <c r="E1180" s="3" t="s">
        <v>451</v>
      </c>
      <c r="F1180" s="3" t="s">
        <v>132</v>
      </c>
      <c r="G1180" s="3" t="s">
        <v>450</v>
      </c>
      <c r="H1180" s="3">
        <v>8178071116</v>
      </c>
      <c r="I1180" s="3">
        <v>1000</v>
      </c>
      <c r="J1180" s="97"/>
      <c r="K1180" s="97"/>
      <c r="L1180" s="97"/>
      <c r="M1180" s="97"/>
      <c r="N1180" s="97"/>
      <c r="O1180" s="6">
        <v>26000</v>
      </c>
      <c r="P1180" s="97"/>
    </row>
    <row r="1181" spans="1:16" ht="15.75">
      <c r="A1181" s="97">
        <v>61</v>
      </c>
      <c r="B1181" s="98">
        <v>46238</v>
      </c>
      <c r="C1181" s="97" t="s">
        <v>51</v>
      </c>
      <c r="D1181" s="6" t="s">
        <v>452</v>
      </c>
      <c r="E1181" s="3" t="s">
        <v>453</v>
      </c>
      <c r="F1181" s="3" t="s">
        <v>454</v>
      </c>
      <c r="G1181" s="3" t="s">
        <v>182</v>
      </c>
      <c r="H1181" s="3">
        <v>9354235940</v>
      </c>
      <c r="I1181" s="3">
        <v>1000</v>
      </c>
      <c r="J1181" s="97"/>
      <c r="K1181" s="97"/>
      <c r="L1181" s="97"/>
      <c r="M1181" s="97"/>
      <c r="N1181" s="97"/>
      <c r="O1181" s="6">
        <v>26000</v>
      </c>
      <c r="P1181" s="97"/>
    </row>
    <row r="1182" spans="1:16" ht="15.75">
      <c r="A1182" s="97">
        <v>62</v>
      </c>
      <c r="B1182" s="98">
        <v>46238</v>
      </c>
      <c r="C1182" s="97" t="s">
        <v>51</v>
      </c>
      <c r="D1182" s="6" t="s">
        <v>455</v>
      </c>
      <c r="E1182" s="3" t="s">
        <v>456</v>
      </c>
      <c r="F1182" s="3" t="s">
        <v>457</v>
      </c>
      <c r="G1182" s="3" t="s">
        <v>458</v>
      </c>
      <c r="H1182" s="3">
        <v>9821138185</v>
      </c>
      <c r="I1182" s="3">
        <v>1000</v>
      </c>
      <c r="J1182" s="97"/>
      <c r="K1182" s="97"/>
      <c r="L1182" s="97"/>
      <c r="M1182" s="97"/>
      <c r="N1182" s="97"/>
      <c r="O1182" s="6">
        <v>26000</v>
      </c>
      <c r="P1182" s="97"/>
    </row>
    <row r="1183" spans="1:16">
      <c r="A1183" s="97"/>
      <c r="B1183" s="97"/>
      <c r="C1183" s="97"/>
      <c r="D1183" s="97"/>
      <c r="E1183" s="97"/>
      <c r="F1183" s="97"/>
      <c r="G1183" s="97"/>
      <c r="H1183" s="97"/>
      <c r="I1183" s="97"/>
      <c r="J1183" s="97"/>
      <c r="K1183" s="97"/>
      <c r="L1183" s="97"/>
      <c r="M1183" s="97"/>
      <c r="N1183" s="97"/>
      <c r="O1183" s="97"/>
      <c r="P1183" s="97"/>
    </row>
    <row r="1184" spans="1:16">
      <c r="A1184" s="97"/>
      <c r="B1184" s="97"/>
      <c r="C1184" s="97"/>
      <c r="D1184" s="97"/>
      <c r="E1184" s="97"/>
      <c r="F1184" s="97"/>
      <c r="G1184" s="97"/>
      <c r="H1184" s="97"/>
      <c r="I1184" s="97">
        <f>SUM(I1121:I1183)</f>
        <v>52490</v>
      </c>
      <c r="J1184" s="97"/>
      <c r="K1184" s="97"/>
      <c r="L1184" s="97"/>
      <c r="M1184" s="97"/>
      <c r="N1184" s="97"/>
      <c r="O1184" s="97">
        <f>SUM(O1121:O1183)</f>
        <v>1103590</v>
      </c>
      <c r="P1184" s="97"/>
    </row>
    <row r="1189" spans="1:16" ht="27.75">
      <c r="A1189" s="142" t="s">
        <v>102</v>
      </c>
      <c r="B1189" s="142"/>
      <c r="C1189" s="142"/>
      <c r="D1189" s="142"/>
      <c r="E1189" s="142"/>
      <c r="F1189" s="142"/>
      <c r="G1189" s="142"/>
      <c r="H1189" s="142"/>
      <c r="I1189" s="142"/>
      <c r="J1189" s="142"/>
      <c r="K1189" s="142"/>
      <c r="L1189" s="142"/>
      <c r="M1189" s="142"/>
      <c r="N1189" s="142"/>
      <c r="O1189" s="142"/>
      <c r="P1189" s="142"/>
    </row>
    <row r="1190" spans="1:16" ht="75">
      <c r="A1190" s="1" t="s">
        <v>87</v>
      </c>
      <c r="B1190" s="1" t="s">
        <v>103</v>
      </c>
      <c r="C1190" s="1" t="s">
        <v>88</v>
      </c>
      <c r="D1190" s="1" t="s">
        <v>104</v>
      </c>
      <c r="E1190" s="1" t="s">
        <v>105</v>
      </c>
      <c r="F1190" s="1" t="s">
        <v>106</v>
      </c>
      <c r="G1190" s="1" t="s">
        <v>93</v>
      </c>
      <c r="H1190" s="1" t="s">
        <v>107</v>
      </c>
      <c r="I1190" s="1" t="s">
        <v>108</v>
      </c>
      <c r="J1190" s="1" t="s">
        <v>109</v>
      </c>
      <c r="K1190" s="1" t="s">
        <v>110</v>
      </c>
      <c r="L1190" s="1" t="s">
        <v>21</v>
      </c>
      <c r="M1190" s="1" t="s">
        <v>45</v>
      </c>
      <c r="N1190" s="1" t="s">
        <v>111</v>
      </c>
      <c r="O1190" s="2" t="s">
        <v>112</v>
      </c>
      <c r="P1190" s="1" t="s">
        <v>113</v>
      </c>
    </row>
    <row r="1191" spans="1:16" ht="15.75">
      <c r="A1191" s="97">
        <v>1</v>
      </c>
      <c r="B1191" s="98">
        <v>46239</v>
      </c>
      <c r="C1191" s="97" t="s">
        <v>51</v>
      </c>
      <c r="D1191" s="5" t="s">
        <v>56</v>
      </c>
      <c r="E1191" s="5" t="s">
        <v>49</v>
      </c>
      <c r="F1191" s="5" t="s">
        <v>53</v>
      </c>
      <c r="G1191" s="5" t="s">
        <v>54</v>
      </c>
      <c r="H1191" s="5">
        <v>9416205447</v>
      </c>
      <c r="I1191" s="5">
        <v>750</v>
      </c>
      <c r="J1191" s="7"/>
      <c r="K1191" s="7"/>
      <c r="L1191" s="7"/>
      <c r="M1191" s="7"/>
      <c r="N1191" s="7"/>
      <c r="O1191" s="5">
        <v>9000</v>
      </c>
      <c r="P1191" s="7"/>
    </row>
    <row r="1192" spans="1:16" ht="15.75">
      <c r="A1192" s="97">
        <v>2</v>
      </c>
      <c r="B1192" s="98">
        <v>46239</v>
      </c>
      <c r="C1192" s="97" t="s">
        <v>51</v>
      </c>
      <c r="D1192" s="5" t="s">
        <v>61</v>
      </c>
      <c r="E1192" s="5" t="s">
        <v>58</v>
      </c>
      <c r="F1192" s="5" t="s">
        <v>59</v>
      </c>
      <c r="G1192" s="5" t="s">
        <v>60</v>
      </c>
      <c r="H1192" s="5">
        <v>7082390753</v>
      </c>
      <c r="I1192" s="5">
        <v>750</v>
      </c>
      <c r="J1192" s="7"/>
      <c r="K1192" s="7"/>
      <c r="L1192" s="7"/>
      <c r="M1192" s="7"/>
      <c r="N1192" s="7"/>
      <c r="O1192" s="5">
        <v>9000</v>
      </c>
      <c r="P1192" s="7"/>
    </row>
    <row r="1193" spans="1:16" ht="15.75">
      <c r="A1193" s="97">
        <v>3</v>
      </c>
      <c r="B1193" s="98">
        <v>46239</v>
      </c>
      <c r="C1193" s="97" t="s">
        <v>51</v>
      </c>
      <c r="D1193" s="5" t="s">
        <v>65</v>
      </c>
      <c r="E1193" s="5" t="s">
        <v>62</v>
      </c>
      <c r="F1193" s="5" t="s">
        <v>63</v>
      </c>
      <c r="G1193" s="5" t="s">
        <v>64</v>
      </c>
      <c r="H1193" s="5">
        <v>9050560127</v>
      </c>
      <c r="I1193" s="5">
        <v>750</v>
      </c>
      <c r="J1193" s="7"/>
      <c r="K1193" s="7"/>
      <c r="L1193" s="7"/>
      <c r="M1193" s="7"/>
      <c r="N1193" s="7"/>
      <c r="O1193" s="5">
        <v>9000</v>
      </c>
      <c r="P1193" s="7"/>
    </row>
    <row r="1194" spans="1:16" ht="15.75">
      <c r="A1194" s="97">
        <v>4</v>
      </c>
      <c r="B1194" s="98">
        <v>46239</v>
      </c>
      <c r="C1194" s="97" t="s">
        <v>51</v>
      </c>
      <c r="D1194" s="5" t="s">
        <v>76</v>
      </c>
      <c r="E1194" s="5" t="s">
        <v>62</v>
      </c>
      <c r="F1194" s="6" t="s">
        <v>74</v>
      </c>
      <c r="G1194" s="6" t="s">
        <v>75</v>
      </c>
      <c r="H1194" s="6">
        <v>8607782625</v>
      </c>
      <c r="I1194" s="5">
        <v>750</v>
      </c>
      <c r="J1194" s="7"/>
      <c r="K1194" s="7"/>
      <c r="L1194" s="7"/>
      <c r="M1194" s="7"/>
      <c r="N1194" s="7"/>
      <c r="O1194" s="5">
        <v>9000</v>
      </c>
      <c r="P1194" s="7"/>
    </row>
    <row r="1195" spans="1:16" ht="15.75">
      <c r="A1195" s="97">
        <v>5</v>
      </c>
      <c r="B1195" s="98">
        <v>46239</v>
      </c>
      <c r="C1195" s="97" t="s">
        <v>51</v>
      </c>
      <c r="D1195" s="5" t="s">
        <v>116</v>
      </c>
      <c r="E1195" s="10" t="s">
        <v>118</v>
      </c>
      <c r="F1195" s="10" t="s">
        <v>122</v>
      </c>
      <c r="G1195" s="10" t="s">
        <v>126</v>
      </c>
      <c r="H1195" s="10">
        <v>9971164371</v>
      </c>
      <c r="I1195" s="10">
        <v>750</v>
      </c>
      <c r="J1195" s="7"/>
      <c r="K1195" s="7"/>
      <c r="L1195" s="7"/>
      <c r="M1195" s="7"/>
      <c r="N1195" s="7"/>
      <c r="O1195" s="5">
        <v>9750</v>
      </c>
      <c r="P1195" s="7"/>
    </row>
    <row r="1196" spans="1:16" ht="15.75">
      <c r="A1196" s="97">
        <v>6</v>
      </c>
      <c r="B1196" s="98">
        <v>46239</v>
      </c>
      <c r="C1196" s="97" t="s">
        <v>51</v>
      </c>
      <c r="D1196" s="5" t="s">
        <v>117</v>
      </c>
      <c r="E1196" s="10" t="s">
        <v>119</v>
      </c>
      <c r="F1196" s="10" t="s">
        <v>123</v>
      </c>
      <c r="G1196" s="10" t="s">
        <v>127</v>
      </c>
      <c r="H1196" s="10">
        <v>8816966347</v>
      </c>
      <c r="I1196" s="10">
        <v>750</v>
      </c>
      <c r="J1196" s="7"/>
      <c r="K1196" s="7"/>
      <c r="L1196" s="7"/>
      <c r="M1196" s="7"/>
      <c r="N1196" s="7"/>
      <c r="O1196" s="5">
        <v>9750</v>
      </c>
      <c r="P1196" s="7"/>
    </row>
    <row r="1197" spans="1:16" ht="15.75">
      <c r="A1197" s="97">
        <v>7</v>
      </c>
      <c r="B1197" s="98">
        <v>46239</v>
      </c>
      <c r="C1197" s="97" t="s">
        <v>51</v>
      </c>
      <c r="D1197" s="5" t="s">
        <v>146</v>
      </c>
      <c r="E1197" s="5" t="s">
        <v>128</v>
      </c>
      <c r="F1197" s="5" t="s">
        <v>131</v>
      </c>
      <c r="G1197" s="5" t="s">
        <v>139</v>
      </c>
      <c r="H1197" s="5">
        <v>8295428639</v>
      </c>
      <c r="I1197" s="5">
        <v>800</v>
      </c>
      <c r="J1197" s="7"/>
      <c r="K1197" s="7"/>
      <c r="L1197" s="7"/>
      <c r="M1197" s="7"/>
      <c r="N1197" s="7"/>
      <c r="O1197" s="5">
        <v>17600</v>
      </c>
      <c r="P1197" s="7"/>
    </row>
    <row r="1198" spans="1:16" ht="15.75">
      <c r="A1198" s="97">
        <v>8</v>
      </c>
      <c r="B1198" s="98">
        <v>46239</v>
      </c>
      <c r="C1198" s="97" t="s">
        <v>51</v>
      </c>
      <c r="D1198" s="5" t="s">
        <v>148</v>
      </c>
      <c r="E1198" s="5" t="s">
        <v>130</v>
      </c>
      <c r="F1198" s="5" t="s">
        <v>133</v>
      </c>
      <c r="G1198" s="5" t="s">
        <v>68</v>
      </c>
      <c r="H1198" s="5">
        <v>9050180519</v>
      </c>
      <c r="I1198" s="6">
        <v>750</v>
      </c>
      <c r="J1198" s="7"/>
      <c r="K1198" s="7"/>
      <c r="L1198" s="7"/>
      <c r="M1198" s="7"/>
      <c r="N1198" s="7"/>
      <c r="O1198" s="5">
        <v>12000</v>
      </c>
      <c r="P1198" s="7"/>
    </row>
    <row r="1199" spans="1:16" ht="15.75">
      <c r="A1199" s="97">
        <v>9</v>
      </c>
      <c r="B1199" s="98">
        <v>46239</v>
      </c>
      <c r="C1199" s="97" t="s">
        <v>51</v>
      </c>
      <c r="D1199" s="5" t="s">
        <v>149</v>
      </c>
      <c r="E1199" s="5" t="s">
        <v>119</v>
      </c>
      <c r="F1199" s="5" t="s">
        <v>134</v>
      </c>
      <c r="G1199" s="5" t="s">
        <v>141</v>
      </c>
      <c r="H1199" s="5">
        <v>9671597235</v>
      </c>
      <c r="I1199" s="5">
        <v>800</v>
      </c>
      <c r="J1199" s="7"/>
      <c r="K1199" s="7"/>
      <c r="L1199" s="7"/>
      <c r="M1199" s="7"/>
      <c r="N1199" s="7"/>
      <c r="O1199" s="5">
        <v>17600</v>
      </c>
      <c r="P1199" s="7"/>
    </row>
    <row r="1200" spans="1:16" ht="15.75">
      <c r="A1200" s="97">
        <v>10</v>
      </c>
      <c r="B1200" s="98">
        <v>46239</v>
      </c>
      <c r="C1200" s="97" t="s">
        <v>51</v>
      </c>
      <c r="D1200" s="5" t="s">
        <v>150</v>
      </c>
      <c r="E1200" s="5" t="s">
        <v>119</v>
      </c>
      <c r="F1200" s="5" t="s">
        <v>135</v>
      </c>
      <c r="G1200" s="5" t="s">
        <v>142</v>
      </c>
      <c r="H1200" s="5">
        <v>9729501850</v>
      </c>
      <c r="I1200" s="5">
        <v>800</v>
      </c>
      <c r="J1200" s="7"/>
      <c r="K1200" s="7"/>
      <c r="L1200" s="7"/>
      <c r="M1200" s="7"/>
      <c r="N1200" s="7"/>
      <c r="O1200" s="5">
        <v>17600</v>
      </c>
      <c r="P1200" s="7"/>
    </row>
    <row r="1201" spans="1:16" ht="15.75">
      <c r="A1201" s="97">
        <v>11</v>
      </c>
      <c r="B1201" s="98">
        <v>46239</v>
      </c>
      <c r="C1201" s="97" t="s">
        <v>51</v>
      </c>
      <c r="D1201" s="5" t="s">
        <v>152</v>
      </c>
      <c r="E1201" s="5" t="s">
        <v>119</v>
      </c>
      <c r="F1201" s="5" t="s">
        <v>137</v>
      </c>
      <c r="G1201" s="5" t="s">
        <v>144</v>
      </c>
      <c r="H1201" s="5">
        <v>9991638771</v>
      </c>
      <c r="I1201" s="5">
        <v>800</v>
      </c>
      <c r="J1201" s="7"/>
      <c r="K1201" s="7"/>
      <c r="L1201" s="7"/>
      <c r="M1201" s="7"/>
      <c r="N1201" s="7"/>
      <c r="O1201" s="5">
        <v>17600</v>
      </c>
      <c r="P1201" s="7"/>
    </row>
    <row r="1202" spans="1:16" ht="15.75">
      <c r="A1202" s="97">
        <v>12</v>
      </c>
      <c r="B1202" s="98">
        <v>46239</v>
      </c>
      <c r="C1202" s="97" t="s">
        <v>51</v>
      </c>
      <c r="D1202" s="5" t="s">
        <v>158</v>
      </c>
      <c r="E1202" s="10" t="s">
        <v>119</v>
      </c>
      <c r="F1202" s="10" t="s">
        <v>71</v>
      </c>
      <c r="G1202" s="10" t="s">
        <v>167</v>
      </c>
      <c r="H1202" s="10">
        <v>9992401965</v>
      </c>
      <c r="I1202" s="5">
        <v>800</v>
      </c>
      <c r="J1202" s="7"/>
      <c r="K1202" s="7"/>
      <c r="L1202" s="7"/>
      <c r="M1202" s="7"/>
      <c r="N1202" s="7"/>
      <c r="O1202" s="5">
        <v>17600</v>
      </c>
      <c r="P1202" s="7"/>
    </row>
    <row r="1203" spans="1:16" ht="15.75">
      <c r="A1203" s="97">
        <v>13</v>
      </c>
      <c r="B1203" s="98">
        <v>46239</v>
      </c>
      <c r="C1203" s="97" t="s">
        <v>51</v>
      </c>
      <c r="D1203" s="5" t="s">
        <v>159</v>
      </c>
      <c r="E1203" s="10" t="s">
        <v>171</v>
      </c>
      <c r="F1203" s="10" t="s">
        <v>163</v>
      </c>
      <c r="G1203" s="10" t="s">
        <v>168</v>
      </c>
      <c r="H1203" s="10">
        <v>7404474940</v>
      </c>
      <c r="I1203" s="6">
        <v>750</v>
      </c>
      <c r="J1203" s="7"/>
      <c r="K1203" s="7"/>
      <c r="L1203" s="7"/>
      <c r="M1203" s="7"/>
      <c r="N1203" s="7"/>
      <c r="O1203" s="5">
        <v>10500</v>
      </c>
      <c r="P1203" s="7"/>
    </row>
    <row r="1204" spans="1:16" ht="15.75">
      <c r="A1204" s="97">
        <v>14</v>
      </c>
      <c r="B1204" s="98">
        <v>46239</v>
      </c>
      <c r="C1204" s="97" t="s">
        <v>51</v>
      </c>
      <c r="D1204" s="5" t="s">
        <v>160</v>
      </c>
      <c r="E1204" s="10" t="s">
        <v>172</v>
      </c>
      <c r="F1204" s="10" t="s">
        <v>164</v>
      </c>
      <c r="G1204" s="10" t="s">
        <v>169</v>
      </c>
      <c r="H1204" s="10">
        <v>9540614028</v>
      </c>
      <c r="I1204" s="5">
        <v>800</v>
      </c>
      <c r="J1204" s="7"/>
      <c r="K1204" s="7"/>
      <c r="L1204" s="7"/>
      <c r="M1204" s="7"/>
      <c r="N1204" s="7"/>
      <c r="O1204" s="5">
        <v>17600</v>
      </c>
      <c r="P1204" s="7"/>
    </row>
    <row r="1205" spans="1:16" ht="15.75">
      <c r="A1205" s="97">
        <v>15</v>
      </c>
      <c r="B1205" s="98">
        <v>46239</v>
      </c>
      <c r="C1205" s="97" t="s">
        <v>51</v>
      </c>
      <c r="D1205" s="5" t="s">
        <v>161</v>
      </c>
      <c r="E1205" s="10" t="s">
        <v>119</v>
      </c>
      <c r="F1205" s="10" t="s">
        <v>165</v>
      </c>
      <c r="G1205" s="10" t="s">
        <v>140</v>
      </c>
      <c r="H1205" s="10">
        <v>8395910861</v>
      </c>
      <c r="I1205" s="6">
        <v>750</v>
      </c>
      <c r="J1205" s="7"/>
      <c r="K1205" s="7"/>
      <c r="L1205" s="7"/>
      <c r="M1205" s="7"/>
      <c r="N1205" s="7"/>
      <c r="O1205" s="5">
        <v>10500</v>
      </c>
      <c r="P1205" s="7"/>
    </row>
    <row r="1206" spans="1:16" ht="15.75">
      <c r="A1206" s="97">
        <v>16</v>
      </c>
      <c r="B1206" s="98">
        <v>46239</v>
      </c>
      <c r="C1206" s="97" t="s">
        <v>51</v>
      </c>
      <c r="D1206" s="5" t="s">
        <v>162</v>
      </c>
      <c r="E1206" s="10" t="s">
        <v>119</v>
      </c>
      <c r="F1206" s="10" t="s">
        <v>166</v>
      </c>
      <c r="G1206" s="10" t="s">
        <v>170</v>
      </c>
      <c r="H1206" s="10">
        <v>9671227093</v>
      </c>
      <c r="I1206" s="5">
        <v>800</v>
      </c>
      <c r="J1206" s="7"/>
      <c r="K1206" s="7"/>
      <c r="L1206" s="7"/>
      <c r="M1206" s="7"/>
      <c r="N1206" s="7"/>
      <c r="O1206" s="5">
        <v>17600</v>
      </c>
      <c r="P1206" s="7"/>
    </row>
    <row r="1207" spans="1:16" ht="15.75">
      <c r="A1207" s="97">
        <v>17</v>
      </c>
      <c r="B1207" s="98">
        <v>46239</v>
      </c>
      <c r="C1207" s="97" t="s">
        <v>51</v>
      </c>
      <c r="D1207" s="5" t="s">
        <v>174</v>
      </c>
      <c r="E1207" s="5" t="s">
        <v>177</v>
      </c>
      <c r="F1207" s="10" t="s">
        <v>179</v>
      </c>
      <c r="G1207" s="10" t="s">
        <v>181</v>
      </c>
      <c r="H1207" s="10">
        <v>9991575314</v>
      </c>
      <c r="I1207" s="3">
        <v>800</v>
      </c>
      <c r="J1207" s="7"/>
      <c r="K1207" s="7"/>
      <c r="L1207" s="7"/>
      <c r="M1207" s="7"/>
      <c r="N1207" s="7"/>
      <c r="O1207" s="5">
        <v>18400</v>
      </c>
      <c r="P1207" s="7"/>
    </row>
    <row r="1208" spans="1:16" ht="15.75">
      <c r="A1208" s="97">
        <v>18</v>
      </c>
      <c r="B1208" s="98">
        <v>46239</v>
      </c>
      <c r="C1208" s="97" t="s">
        <v>51</v>
      </c>
      <c r="D1208" s="5" t="s">
        <v>175</v>
      </c>
      <c r="E1208" s="10" t="s">
        <v>171</v>
      </c>
      <c r="F1208" s="10" t="s">
        <v>180</v>
      </c>
      <c r="G1208" s="10" t="s">
        <v>182</v>
      </c>
      <c r="H1208" s="10">
        <v>8814086202</v>
      </c>
      <c r="I1208" s="3">
        <v>750</v>
      </c>
      <c r="J1208" s="7"/>
      <c r="K1208" s="7"/>
      <c r="L1208" s="7"/>
      <c r="M1208" s="7"/>
      <c r="N1208" s="7"/>
      <c r="O1208" s="5">
        <v>11250</v>
      </c>
      <c r="P1208" s="7"/>
    </row>
    <row r="1209" spans="1:16" ht="15.75">
      <c r="A1209" s="97">
        <v>19</v>
      </c>
      <c r="B1209" s="98">
        <v>46239</v>
      </c>
      <c r="C1209" s="97" t="s">
        <v>51</v>
      </c>
      <c r="D1209" s="5" t="s">
        <v>176</v>
      </c>
      <c r="E1209" s="10" t="s">
        <v>178</v>
      </c>
      <c r="F1209" s="10" t="s">
        <v>165</v>
      </c>
      <c r="G1209" s="10" t="s">
        <v>183</v>
      </c>
      <c r="H1209" s="10">
        <v>9991361344</v>
      </c>
      <c r="I1209" s="3">
        <v>750</v>
      </c>
      <c r="J1209" s="7"/>
      <c r="K1209" s="7"/>
      <c r="L1209" s="7"/>
      <c r="M1209" s="7"/>
      <c r="N1209" s="7"/>
      <c r="O1209" s="5">
        <v>11250</v>
      </c>
      <c r="P1209" s="7"/>
    </row>
    <row r="1210" spans="1:16" ht="15.75">
      <c r="A1210" s="97">
        <v>20</v>
      </c>
      <c r="B1210" s="98">
        <v>46239</v>
      </c>
      <c r="C1210" s="97" t="s">
        <v>51</v>
      </c>
      <c r="D1210" s="5" t="s">
        <v>194</v>
      </c>
      <c r="E1210" s="10" t="s">
        <v>197</v>
      </c>
      <c r="F1210" s="10" t="s">
        <v>71</v>
      </c>
      <c r="G1210" s="10" t="s">
        <v>125</v>
      </c>
      <c r="H1210" s="10">
        <v>9053156064</v>
      </c>
      <c r="I1210" s="3">
        <v>750</v>
      </c>
      <c r="J1210" s="7"/>
      <c r="K1210" s="7"/>
      <c r="L1210" s="7"/>
      <c r="M1210" s="7"/>
      <c r="N1210" s="7"/>
      <c r="O1210" s="5">
        <v>12000</v>
      </c>
      <c r="P1210" s="7"/>
    </row>
    <row r="1211" spans="1:16" ht="15.75">
      <c r="A1211" s="97">
        <v>21</v>
      </c>
      <c r="B1211" s="98">
        <v>46239</v>
      </c>
      <c r="C1211" s="97" t="s">
        <v>51</v>
      </c>
      <c r="D1211" s="5" t="s">
        <v>199</v>
      </c>
      <c r="E1211" s="10" t="s">
        <v>197</v>
      </c>
      <c r="F1211" s="51" t="s">
        <v>53</v>
      </c>
      <c r="G1211" s="10" t="s">
        <v>204</v>
      </c>
      <c r="H1211" s="10">
        <v>9813304531</v>
      </c>
      <c r="I1211" s="3">
        <v>750</v>
      </c>
      <c r="J1211" s="7"/>
      <c r="K1211" s="7"/>
      <c r="L1211" s="7"/>
      <c r="M1211" s="7"/>
      <c r="N1211" s="7"/>
      <c r="O1211" s="5">
        <v>12000</v>
      </c>
      <c r="P1211" s="7"/>
    </row>
    <row r="1212" spans="1:16" ht="15.75">
      <c r="A1212" s="97">
        <v>22</v>
      </c>
      <c r="B1212" s="98">
        <v>46239</v>
      </c>
      <c r="C1212" s="97" t="s">
        <v>51</v>
      </c>
      <c r="D1212" s="5" t="s">
        <v>200</v>
      </c>
      <c r="E1212" s="10" t="s">
        <v>197</v>
      </c>
      <c r="F1212" s="51" t="s">
        <v>121</v>
      </c>
      <c r="G1212" s="10" t="s">
        <v>140</v>
      </c>
      <c r="H1212" s="10">
        <v>8930321437</v>
      </c>
      <c r="I1212" s="3">
        <v>800</v>
      </c>
      <c r="J1212" s="7"/>
      <c r="K1212" s="7"/>
      <c r="L1212" s="7"/>
      <c r="M1212" s="7"/>
      <c r="N1212" s="7"/>
      <c r="O1212" s="5">
        <v>19200</v>
      </c>
      <c r="P1212" s="7"/>
    </row>
    <row r="1213" spans="1:16" ht="15.75">
      <c r="A1213" s="97">
        <v>23</v>
      </c>
      <c r="B1213" s="98">
        <v>46239</v>
      </c>
      <c r="C1213" s="97" t="s">
        <v>51</v>
      </c>
      <c r="D1213" s="5" t="s">
        <v>201</v>
      </c>
      <c r="E1213" s="10" t="s">
        <v>206</v>
      </c>
      <c r="F1213" s="10" t="s">
        <v>165</v>
      </c>
      <c r="G1213" s="10" t="s">
        <v>205</v>
      </c>
      <c r="H1213" s="10">
        <v>8295267191</v>
      </c>
      <c r="I1213" s="3">
        <v>800</v>
      </c>
      <c r="J1213" s="7"/>
      <c r="K1213" s="7"/>
      <c r="L1213" s="7"/>
      <c r="M1213" s="7"/>
      <c r="N1213" s="7"/>
      <c r="O1213" s="5">
        <v>19200</v>
      </c>
      <c r="P1213" s="7"/>
    </row>
    <row r="1214" spans="1:16" ht="15.75">
      <c r="A1214" s="97">
        <v>24</v>
      </c>
      <c r="B1214" s="98">
        <v>46239</v>
      </c>
      <c r="C1214" s="97" t="s">
        <v>51</v>
      </c>
      <c r="D1214" s="5" t="s">
        <v>202</v>
      </c>
      <c r="E1214" s="10" t="s">
        <v>118</v>
      </c>
      <c r="F1214" s="10" t="s">
        <v>203</v>
      </c>
      <c r="G1214" s="10" t="s">
        <v>185</v>
      </c>
      <c r="H1214" s="10">
        <v>7988050867</v>
      </c>
      <c r="I1214" s="3">
        <v>750</v>
      </c>
      <c r="J1214" s="7"/>
      <c r="K1214" s="7"/>
      <c r="L1214" s="7"/>
      <c r="M1214" s="7"/>
      <c r="N1214" s="7"/>
      <c r="O1214" s="5">
        <v>12000</v>
      </c>
      <c r="P1214" s="7"/>
    </row>
    <row r="1215" spans="1:16" ht="15.75">
      <c r="A1215" s="97">
        <v>25</v>
      </c>
      <c r="B1215" s="98">
        <v>46239</v>
      </c>
      <c r="C1215" s="97" t="s">
        <v>51</v>
      </c>
      <c r="D1215" s="5" t="s">
        <v>208</v>
      </c>
      <c r="E1215" s="10" t="s">
        <v>49</v>
      </c>
      <c r="F1215" s="10" t="s">
        <v>215</v>
      </c>
      <c r="G1215" s="10" t="s">
        <v>216</v>
      </c>
      <c r="H1215" s="10">
        <v>9812012403</v>
      </c>
      <c r="I1215" s="3">
        <v>800</v>
      </c>
      <c r="J1215" s="7"/>
      <c r="K1215" s="7"/>
      <c r="L1215" s="7"/>
      <c r="M1215" s="7"/>
      <c r="N1215" s="7"/>
      <c r="O1215" s="5">
        <v>19200</v>
      </c>
      <c r="P1215" s="7"/>
    </row>
    <row r="1216" spans="1:16" ht="15.75">
      <c r="A1216" s="97">
        <v>26</v>
      </c>
      <c r="B1216" s="98">
        <v>46239</v>
      </c>
      <c r="C1216" s="97" t="s">
        <v>51</v>
      </c>
      <c r="D1216" s="5" t="s">
        <v>262</v>
      </c>
      <c r="E1216" s="10" t="s">
        <v>197</v>
      </c>
      <c r="F1216" s="10" t="s">
        <v>247</v>
      </c>
      <c r="G1216" s="10" t="s">
        <v>267</v>
      </c>
      <c r="H1216" s="10">
        <v>7027082504</v>
      </c>
      <c r="I1216" s="3">
        <v>800</v>
      </c>
      <c r="J1216" s="7"/>
      <c r="K1216" s="7"/>
      <c r="L1216" s="7"/>
      <c r="M1216" s="7"/>
      <c r="N1216" s="7"/>
      <c r="O1216" s="5">
        <v>20800</v>
      </c>
      <c r="P1216" s="7"/>
    </row>
    <row r="1217" spans="1:16" ht="15.75">
      <c r="A1217" s="97">
        <v>27</v>
      </c>
      <c r="B1217" s="98">
        <v>46239</v>
      </c>
      <c r="C1217" s="97" t="s">
        <v>51</v>
      </c>
      <c r="D1217" s="5" t="s">
        <v>264</v>
      </c>
      <c r="E1217" s="10" t="s">
        <v>49</v>
      </c>
      <c r="F1217" s="10" t="s">
        <v>254</v>
      </c>
      <c r="G1217" s="10" t="s">
        <v>269</v>
      </c>
      <c r="H1217" s="10">
        <v>9729160317</v>
      </c>
      <c r="I1217" s="3">
        <v>750</v>
      </c>
      <c r="J1217" s="7"/>
      <c r="K1217" s="7"/>
      <c r="L1217" s="7"/>
      <c r="M1217" s="7"/>
      <c r="N1217" s="7"/>
      <c r="O1217" s="5">
        <v>12750</v>
      </c>
      <c r="P1217" s="7"/>
    </row>
    <row r="1218" spans="1:16" ht="15.75">
      <c r="A1218" s="97">
        <v>28</v>
      </c>
      <c r="B1218" s="98">
        <v>46239</v>
      </c>
      <c r="C1218" s="97" t="s">
        <v>51</v>
      </c>
      <c r="D1218" s="5" t="s">
        <v>265</v>
      </c>
      <c r="E1218" s="10" t="s">
        <v>49</v>
      </c>
      <c r="F1218" s="10" t="s">
        <v>261</v>
      </c>
      <c r="G1218" s="10" t="s">
        <v>270</v>
      </c>
      <c r="H1218" s="10">
        <v>9991081679</v>
      </c>
      <c r="I1218" s="3">
        <v>800</v>
      </c>
      <c r="J1218" s="7"/>
      <c r="K1218" s="7"/>
      <c r="L1218" s="7"/>
      <c r="M1218" s="7"/>
      <c r="N1218" s="7"/>
      <c r="O1218" s="5">
        <v>20800</v>
      </c>
      <c r="P1218" s="7"/>
    </row>
    <row r="1219" spans="1:16" ht="15.75">
      <c r="A1219" s="97">
        <v>29</v>
      </c>
      <c r="B1219" s="98">
        <v>46239</v>
      </c>
      <c r="C1219" s="97" t="s">
        <v>51</v>
      </c>
      <c r="D1219" s="5" t="s">
        <v>275</v>
      </c>
      <c r="E1219" s="10" t="s">
        <v>278</v>
      </c>
      <c r="F1219" s="10" t="s">
        <v>271</v>
      </c>
      <c r="G1219" s="10" t="s">
        <v>280</v>
      </c>
      <c r="H1219" s="10">
        <v>9466502084</v>
      </c>
      <c r="I1219" s="3">
        <v>750</v>
      </c>
      <c r="J1219" s="7"/>
      <c r="K1219" s="7"/>
      <c r="L1219" s="7"/>
      <c r="M1219" s="7"/>
      <c r="N1219" s="7"/>
      <c r="O1219" s="5">
        <v>13500</v>
      </c>
      <c r="P1219" s="7"/>
    </row>
    <row r="1220" spans="1:16" ht="15.75">
      <c r="A1220" s="97">
        <v>30</v>
      </c>
      <c r="B1220" s="98">
        <v>46239</v>
      </c>
      <c r="C1220" s="97" t="s">
        <v>51</v>
      </c>
      <c r="D1220" s="5" t="s">
        <v>276</v>
      </c>
      <c r="E1220" s="10" t="s">
        <v>279</v>
      </c>
      <c r="F1220" s="10" t="s">
        <v>272</v>
      </c>
      <c r="G1220" s="10" t="s">
        <v>281</v>
      </c>
      <c r="H1220" s="10">
        <v>8168586120</v>
      </c>
      <c r="I1220" s="3">
        <v>800</v>
      </c>
      <c r="J1220" s="7"/>
      <c r="K1220" s="7"/>
      <c r="L1220" s="7"/>
      <c r="M1220" s="7"/>
      <c r="N1220" s="7"/>
      <c r="O1220" s="5">
        <v>20800</v>
      </c>
      <c r="P1220" s="7"/>
    </row>
    <row r="1221" spans="1:16" ht="15.75">
      <c r="A1221" s="97">
        <v>31</v>
      </c>
      <c r="B1221" s="98">
        <v>46239</v>
      </c>
      <c r="C1221" s="97" t="s">
        <v>51</v>
      </c>
      <c r="D1221" s="5" t="s">
        <v>277</v>
      </c>
      <c r="E1221" s="10" t="s">
        <v>49</v>
      </c>
      <c r="F1221" s="10" t="s">
        <v>273</v>
      </c>
      <c r="G1221" s="10" t="s">
        <v>282</v>
      </c>
      <c r="H1221" s="10">
        <v>8295507421</v>
      </c>
      <c r="I1221" s="3">
        <v>800</v>
      </c>
      <c r="J1221" s="7"/>
      <c r="K1221" s="7"/>
      <c r="L1221" s="7"/>
      <c r="M1221" s="7"/>
      <c r="N1221" s="7"/>
      <c r="O1221" s="5">
        <v>20800</v>
      </c>
      <c r="P1221" s="7"/>
    </row>
    <row r="1222" spans="1:16" ht="15.75">
      <c r="A1222" s="97">
        <v>32</v>
      </c>
      <c r="B1222" s="98">
        <v>46239</v>
      </c>
      <c r="C1222" s="97" t="s">
        <v>51</v>
      </c>
      <c r="D1222" s="5" t="s">
        <v>255</v>
      </c>
      <c r="E1222" s="10" t="s">
        <v>278</v>
      </c>
      <c r="F1222" s="10" t="s">
        <v>274</v>
      </c>
      <c r="G1222" s="10" t="s">
        <v>189</v>
      </c>
      <c r="H1222" s="10">
        <v>7828359630</v>
      </c>
      <c r="I1222" s="3">
        <v>750</v>
      </c>
      <c r="J1222" s="7"/>
      <c r="K1222" s="7"/>
      <c r="L1222" s="7"/>
      <c r="M1222" s="7"/>
      <c r="N1222" s="7"/>
      <c r="O1222" s="5">
        <v>13500</v>
      </c>
      <c r="P1222" s="7"/>
    </row>
    <row r="1223" spans="1:16" ht="15.75">
      <c r="A1223" s="97">
        <v>33</v>
      </c>
      <c r="B1223" s="98">
        <v>46239</v>
      </c>
      <c r="C1223" s="97" t="s">
        <v>51</v>
      </c>
      <c r="D1223" s="5" t="s">
        <v>286</v>
      </c>
      <c r="E1223" s="3" t="s">
        <v>49</v>
      </c>
      <c r="F1223" s="3" t="s">
        <v>285</v>
      </c>
      <c r="G1223" s="3" t="s">
        <v>293</v>
      </c>
      <c r="H1223" s="3">
        <v>9671634311</v>
      </c>
      <c r="I1223" s="3">
        <v>800</v>
      </c>
      <c r="J1223" s="7"/>
      <c r="K1223" s="7"/>
      <c r="L1223" s="7"/>
      <c r="M1223" s="7"/>
      <c r="N1223" s="7"/>
      <c r="O1223" s="5">
        <v>21600</v>
      </c>
      <c r="P1223" s="7"/>
    </row>
    <row r="1224" spans="1:16" ht="15.75">
      <c r="A1224" s="97">
        <v>34</v>
      </c>
      <c r="B1224" s="98">
        <v>46239</v>
      </c>
      <c r="C1224" s="97" t="s">
        <v>51</v>
      </c>
      <c r="D1224" s="5" t="s">
        <v>287</v>
      </c>
      <c r="E1224" s="3" t="s">
        <v>130</v>
      </c>
      <c r="F1224" s="3" t="s">
        <v>284</v>
      </c>
      <c r="G1224" s="3" t="s">
        <v>294</v>
      </c>
      <c r="H1224" s="3">
        <v>9671393271</v>
      </c>
      <c r="I1224" s="3">
        <v>800</v>
      </c>
      <c r="J1224" s="7"/>
      <c r="K1224" s="7"/>
      <c r="L1224" s="7"/>
      <c r="M1224" s="7"/>
      <c r="N1224" s="7"/>
      <c r="O1224" s="5">
        <v>21600</v>
      </c>
      <c r="P1224" s="7"/>
    </row>
    <row r="1225" spans="1:16" ht="15.75">
      <c r="A1225" s="97">
        <v>35</v>
      </c>
      <c r="B1225" s="98">
        <v>46239</v>
      </c>
      <c r="C1225" s="97" t="s">
        <v>51</v>
      </c>
      <c r="D1225" s="6" t="s">
        <v>299</v>
      </c>
      <c r="E1225" s="3" t="s">
        <v>130</v>
      </c>
      <c r="F1225" s="3" t="s">
        <v>301</v>
      </c>
      <c r="G1225" s="3" t="s">
        <v>303</v>
      </c>
      <c r="H1225" s="3">
        <v>8397097184</v>
      </c>
      <c r="I1225" s="3">
        <v>800</v>
      </c>
      <c r="J1225" s="7"/>
      <c r="K1225" s="7"/>
      <c r="L1225" s="7"/>
      <c r="M1225" s="7"/>
      <c r="N1225" s="7"/>
      <c r="O1225" s="6">
        <v>21600</v>
      </c>
      <c r="P1225" s="7"/>
    </row>
    <row r="1226" spans="1:16" ht="15.75">
      <c r="A1226" s="97">
        <v>36</v>
      </c>
      <c r="B1226" s="98">
        <v>46239</v>
      </c>
      <c r="C1226" s="97" t="s">
        <v>51</v>
      </c>
      <c r="D1226" s="5" t="s">
        <v>312</v>
      </c>
      <c r="E1226" s="3" t="s">
        <v>197</v>
      </c>
      <c r="F1226" s="3" t="s">
        <v>121</v>
      </c>
      <c r="G1226" s="3" t="s">
        <v>315</v>
      </c>
      <c r="H1226" s="3">
        <v>8059882196</v>
      </c>
      <c r="I1226" s="3">
        <v>800</v>
      </c>
      <c r="J1226" s="7"/>
      <c r="K1226" s="7"/>
      <c r="L1226" s="7"/>
      <c r="M1226" s="7"/>
      <c r="N1226" s="7"/>
      <c r="O1226" s="6">
        <v>21600</v>
      </c>
      <c r="P1226" s="7"/>
    </row>
    <row r="1227" spans="1:16" ht="15.75">
      <c r="A1227" s="97">
        <v>37</v>
      </c>
      <c r="B1227" s="98">
        <v>46239</v>
      </c>
      <c r="C1227" s="97" t="s">
        <v>51</v>
      </c>
      <c r="D1227" s="5" t="s">
        <v>332</v>
      </c>
      <c r="E1227" s="3" t="s">
        <v>206</v>
      </c>
      <c r="F1227" s="95" t="s">
        <v>330</v>
      </c>
      <c r="G1227" s="3" t="s">
        <v>331</v>
      </c>
      <c r="H1227" s="3">
        <v>7015840262</v>
      </c>
      <c r="I1227" s="3">
        <v>800</v>
      </c>
      <c r="J1227" s="7"/>
      <c r="K1227" s="7"/>
      <c r="L1227" s="7"/>
      <c r="M1227" s="7"/>
      <c r="N1227" s="7"/>
      <c r="O1227" s="6">
        <v>22400</v>
      </c>
      <c r="P1227" s="7"/>
    </row>
    <row r="1228" spans="1:16" ht="15.75">
      <c r="A1228" s="97">
        <v>38</v>
      </c>
      <c r="B1228" s="98">
        <v>46239</v>
      </c>
      <c r="C1228" s="97" t="s">
        <v>51</v>
      </c>
      <c r="D1228" s="5" t="s">
        <v>343</v>
      </c>
      <c r="E1228" s="3" t="s">
        <v>348</v>
      </c>
      <c r="F1228" s="3" t="s">
        <v>333</v>
      </c>
      <c r="G1228" s="3" t="s">
        <v>334</v>
      </c>
      <c r="H1228" s="3">
        <v>8708050493</v>
      </c>
      <c r="I1228" s="3">
        <v>1000</v>
      </c>
      <c r="J1228" s="7"/>
      <c r="K1228" s="7"/>
      <c r="L1228" s="7"/>
      <c r="M1228" s="7"/>
      <c r="N1228" s="7"/>
      <c r="O1228" s="6">
        <v>22000</v>
      </c>
      <c r="P1228" s="7"/>
    </row>
    <row r="1229" spans="1:16" ht="15.75">
      <c r="A1229" s="97">
        <v>39</v>
      </c>
      <c r="B1229" s="98">
        <v>46239</v>
      </c>
      <c r="C1229" s="97" t="s">
        <v>51</v>
      </c>
      <c r="D1229" s="5" t="s">
        <v>344</v>
      </c>
      <c r="E1229" s="3" t="s">
        <v>348</v>
      </c>
      <c r="F1229" s="3" t="s">
        <v>335</v>
      </c>
      <c r="G1229" s="3" t="s">
        <v>336</v>
      </c>
      <c r="H1229" s="3">
        <v>8708050493</v>
      </c>
      <c r="I1229" s="3">
        <v>1000</v>
      </c>
      <c r="J1229" s="7"/>
      <c r="K1229" s="7"/>
      <c r="L1229" s="7"/>
      <c r="M1229" s="7"/>
      <c r="N1229" s="7"/>
      <c r="O1229" s="6">
        <v>22000</v>
      </c>
      <c r="P1229" s="7"/>
    </row>
    <row r="1230" spans="1:16" ht="15.75">
      <c r="A1230" s="97">
        <v>40</v>
      </c>
      <c r="B1230" s="98">
        <v>46239</v>
      </c>
      <c r="C1230" s="97" t="s">
        <v>51</v>
      </c>
      <c r="D1230" s="5" t="s">
        <v>346</v>
      </c>
      <c r="E1230" s="3" t="s">
        <v>49</v>
      </c>
      <c r="F1230" s="3" t="s">
        <v>339</v>
      </c>
      <c r="G1230" s="3" t="s">
        <v>340</v>
      </c>
      <c r="H1230" s="3">
        <v>7496866457</v>
      </c>
      <c r="I1230" s="3">
        <v>810</v>
      </c>
      <c r="J1230" s="7"/>
      <c r="K1230" s="7"/>
      <c r="L1230" s="7"/>
      <c r="M1230" s="7"/>
      <c r="N1230" s="7"/>
      <c r="O1230" s="6">
        <v>16200</v>
      </c>
      <c r="P1230" s="7"/>
    </row>
    <row r="1231" spans="1:16" ht="15.75">
      <c r="A1231" s="97">
        <v>41</v>
      </c>
      <c r="B1231" s="98">
        <v>46239</v>
      </c>
      <c r="C1231" s="97" t="s">
        <v>51</v>
      </c>
      <c r="D1231" s="5" t="s">
        <v>347</v>
      </c>
      <c r="E1231" s="3" t="s">
        <v>49</v>
      </c>
      <c r="F1231" s="3" t="s">
        <v>341</v>
      </c>
      <c r="G1231" s="3" t="s">
        <v>342</v>
      </c>
      <c r="H1231" s="3">
        <v>7496866457</v>
      </c>
      <c r="I1231" s="3">
        <v>1000</v>
      </c>
      <c r="J1231" s="7"/>
      <c r="K1231" s="7"/>
      <c r="L1231" s="7"/>
      <c r="M1231" s="7"/>
      <c r="N1231" s="7"/>
      <c r="O1231" s="6">
        <v>22000</v>
      </c>
      <c r="P1231" s="7"/>
    </row>
    <row r="1232" spans="1:16" ht="15.75">
      <c r="A1232" s="97">
        <v>42</v>
      </c>
      <c r="B1232" s="98">
        <v>46239</v>
      </c>
      <c r="C1232" s="97" t="s">
        <v>51</v>
      </c>
      <c r="D1232" s="5" t="s">
        <v>381</v>
      </c>
      <c r="E1232" s="3" t="s">
        <v>118</v>
      </c>
      <c r="F1232" s="3" t="s">
        <v>387</v>
      </c>
      <c r="G1232" s="3" t="s">
        <v>388</v>
      </c>
      <c r="H1232" s="3">
        <v>8307074126</v>
      </c>
      <c r="I1232" s="3">
        <v>810</v>
      </c>
      <c r="J1232" s="7"/>
      <c r="K1232" s="7"/>
      <c r="L1232" s="7"/>
      <c r="M1232" s="7"/>
      <c r="N1232" s="7"/>
      <c r="O1232" s="6">
        <v>17010</v>
      </c>
      <c r="P1232" s="7"/>
    </row>
    <row r="1233" spans="1:16" ht="15.75">
      <c r="A1233" s="97">
        <v>43</v>
      </c>
      <c r="B1233" s="98">
        <v>46239</v>
      </c>
      <c r="C1233" s="97" t="s">
        <v>51</v>
      </c>
      <c r="D1233" s="5" t="s">
        <v>382</v>
      </c>
      <c r="E1233" s="3" t="s">
        <v>383</v>
      </c>
      <c r="F1233" s="3" t="s">
        <v>215</v>
      </c>
      <c r="G1233" s="3" t="s">
        <v>375</v>
      </c>
      <c r="H1233" s="3">
        <v>9813268064</v>
      </c>
      <c r="I1233" s="3">
        <v>1000</v>
      </c>
      <c r="J1233" s="7"/>
      <c r="K1233" s="7"/>
      <c r="L1233" s="7"/>
      <c r="M1233" s="7"/>
      <c r="N1233" s="7"/>
      <c r="O1233" s="6">
        <v>23000</v>
      </c>
      <c r="P1233" s="7"/>
    </row>
    <row r="1234" spans="1:16" ht="15.75">
      <c r="A1234" s="97">
        <v>44</v>
      </c>
      <c r="B1234" s="98">
        <v>46239</v>
      </c>
      <c r="C1234" s="97" t="s">
        <v>51</v>
      </c>
      <c r="D1234" s="5" t="s">
        <v>392</v>
      </c>
      <c r="E1234" s="3" t="s">
        <v>394</v>
      </c>
      <c r="F1234" s="3" t="s">
        <v>71</v>
      </c>
      <c r="G1234" s="3" t="s">
        <v>393</v>
      </c>
      <c r="H1234" s="3">
        <v>8505872401</v>
      </c>
      <c r="I1234" s="3">
        <v>1000</v>
      </c>
      <c r="J1234" s="7"/>
      <c r="K1234" s="7"/>
      <c r="L1234" s="7"/>
      <c r="M1234" s="7"/>
      <c r="N1234" s="7"/>
      <c r="O1234" s="6">
        <v>24000</v>
      </c>
      <c r="P1234" s="7"/>
    </row>
    <row r="1235" spans="1:16" ht="15.75">
      <c r="A1235" s="97">
        <v>45</v>
      </c>
      <c r="B1235" s="98">
        <v>46239</v>
      </c>
      <c r="C1235" s="97" t="s">
        <v>51</v>
      </c>
      <c r="D1235" s="5" t="s">
        <v>397</v>
      </c>
      <c r="E1235" s="3" t="s">
        <v>49</v>
      </c>
      <c r="F1235" s="3" t="s">
        <v>398</v>
      </c>
      <c r="G1235" s="3" t="s">
        <v>140</v>
      </c>
      <c r="H1235" s="3">
        <v>9671465494</v>
      </c>
      <c r="I1235" s="3">
        <v>1000</v>
      </c>
      <c r="J1235" s="7"/>
      <c r="K1235" s="7"/>
      <c r="L1235" s="7"/>
      <c r="M1235" s="7"/>
      <c r="N1235" s="7"/>
      <c r="O1235" s="6">
        <v>25000</v>
      </c>
      <c r="P1235" s="7"/>
    </row>
    <row r="1236" spans="1:16" ht="15.75">
      <c r="A1236" s="97">
        <v>46</v>
      </c>
      <c r="B1236" s="98">
        <v>46239</v>
      </c>
      <c r="C1236" s="97" t="s">
        <v>51</v>
      </c>
      <c r="D1236" s="5" t="s">
        <v>423</v>
      </c>
      <c r="E1236" s="3" t="s">
        <v>430</v>
      </c>
      <c r="F1236" s="3" t="s">
        <v>301</v>
      </c>
      <c r="G1236" s="3" t="s">
        <v>127</v>
      </c>
      <c r="H1236" s="3">
        <v>8685920499</v>
      </c>
      <c r="I1236" s="3">
        <v>810</v>
      </c>
      <c r="J1236" s="7"/>
      <c r="K1236" s="7"/>
      <c r="L1236" s="7"/>
      <c r="M1236" s="7"/>
      <c r="N1236" s="7"/>
      <c r="O1236" s="6">
        <v>18630</v>
      </c>
      <c r="P1236" s="7"/>
    </row>
    <row r="1237" spans="1:16" ht="15.75">
      <c r="A1237" s="97">
        <v>47</v>
      </c>
      <c r="B1237" s="98">
        <v>46239</v>
      </c>
      <c r="C1237" s="97" t="s">
        <v>51</v>
      </c>
      <c r="D1237" s="5" t="s">
        <v>428</v>
      </c>
      <c r="E1237" s="3" t="s">
        <v>118</v>
      </c>
      <c r="F1237" s="3" t="s">
        <v>438</v>
      </c>
      <c r="G1237" s="3" t="s">
        <v>375</v>
      </c>
      <c r="H1237" s="3">
        <v>9996197698</v>
      </c>
      <c r="I1237" s="3">
        <v>1000</v>
      </c>
      <c r="J1237" s="7"/>
      <c r="K1237" s="7"/>
      <c r="L1237" s="7"/>
      <c r="M1237" s="7"/>
      <c r="N1237" s="7"/>
      <c r="O1237" s="6">
        <v>25000</v>
      </c>
      <c r="P1237" s="7"/>
    </row>
    <row r="1238" spans="1:16" ht="15.75">
      <c r="A1238" s="97">
        <v>48</v>
      </c>
      <c r="B1238" s="98">
        <v>46239</v>
      </c>
      <c r="C1238" s="97" t="s">
        <v>51</v>
      </c>
      <c r="D1238" s="5" t="s">
        <v>429</v>
      </c>
      <c r="E1238" s="3" t="s">
        <v>197</v>
      </c>
      <c r="F1238" s="3" t="s">
        <v>323</v>
      </c>
      <c r="G1238" s="3" t="s">
        <v>295</v>
      </c>
      <c r="H1238" s="3">
        <v>8708979195</v>
      </c>
      <c r="I1238" s="3">
        <v>1000</v>
      </c>
      <c r="J1238" s="7"/>
      <c r="K1238" s="7"/>
      <c r="L1238" s="7"/>
      <c r="M1238" s="7"/>
      <c r="N1238" s="7"/>
      <c r="O1238" s="6">
        <v>25000</v>
      </c>
      <c r="P1238" s="7"/>
    </row>
    <row r="1239" spans="1:16" ht="15.75">
      <c r="A1239" s="97">
        <v>49</v>
      </c>
      <c r="B1239" s="98">
        <v>46239</v>
      </c>
      <c r="C1239" s="97" t="s">
        <v>51</v>
      </c>
      <c r="D1239" s="5" t="s">
        <v>445</v>
      </c>
      <c r="E1239" s="3" t="s">
        <v>447</v>
      </c>
      <c r="F1239" s="3" t="s">
        <v>441</v>
      </c>
      <c r="G1239" s="3" t="s">
        <v>443</v>
      </c>
      <c r="H1239" s="3">
        <v>8397095261</v>
      </c>
      <c r="I1239" s="3">
        <v>675</v>
      </c>
      <c r="J1239" s="7"/>
      <c r="K1239" s="7"/>
      <c r="L1239" s="7"/>
      <c r="M1239" s="7"/>
      <c r="N1239" s="7"/>
      <c r="O1239" s="6">
        <v>12825</v>
      </c>
      <c r="P1239" s="7"/>
    </row>
    <row r="1240" spans="1:16" ht="15.75">
      <c r="A1240" s="97">
        <v>50</v>
      </c>
      <c r="B1240" s="98">
        <v>46239</v>
      </c>
      <c r="C1240" s="97" t="s">
        <v>51</v>
      </c>
      <c r="D1240" s="5" t="s">
        <v>446</v>
      </c>
      <c r="E1240" s="3" t="s">
        <v>49</v>
      </c>
      <c r="F1240" s="3" t="s">
        <v>442</v>
      </c>
      <c r="G1240" s="3" t="s">
        <v>444</v>
      </c>
      <c r="H1240" s="3">
        <v>9728061518</v>
      </c>
      <c r="I1240" s="3">
        <v>1000</v>
      </c>
      <c r="J1240" s="7"/>
      <c r="K1240" s="7"/>
      <c r="L1240" s="7"/>
      <c r="M1240" s="7"/>
      <c r="N1240" s="7"/>
      <c r="O1240" s="6">
        <v>26000</v>
      </c>
      <c r="P1240" s="7"/>
    </row>
    <row r="1241" spans="1:16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</row>
    <row r="1242" spans="1:16">
      <c r="A1242" s="7"/>
      <c r="B1242" s="7"/>
      <c r="C1242" s="7"/>
      <c r="D1242" s="7"/>
      <c r="E1242" s="7"/>
      <c r="F1242" s="7"/>
      <c r="G1242" s="7"/>
      <c r="H1242" s="7"/>
      <c r="I1242" s="3">
        <f>SUM(I1191:I1241)</f>
        <v>40855</v>
      </c>
      <c r="J1242" s="7"/>
      <c r="K1242" s="7"/>
      <c r="L1242" s="7"/>
      <c r="M1242" s="7"/>
      <c r="N1242" s="7"/>
      <c r="O1242" s="3">
        <f>SUM(O1191:O1241)</f>
        <v>856615</v>
      </c>
      <c r="P1242" s="7"/>
    </row>
    <row r="1247" spans="1:16" ht="27.75">
      <c r="A1247" s="142" t="s">
        <v>155</v>
      </c>
      <c r="B1247" s="142"/>
      <c r="C1247" s="142"/>
      <c r="D1247" s="142"/>
      <c r="E1247" s="142"/>
      <c r="F1247" s="142"/>
      <c r="G1247" s="142"/>
      <c r="H1247" s="142"/>
      <c r="I1247" s="142"/>
      <c r="J1247" s="142"/>
      <c r="K1247" s="142"/>
      <c r="L1247" s="142"/>
      <c r="M1247" s="142"/>
      <c r="N1247" s="142"/>
      <c r="O1247" s="142"/>
      <c r="P1247" s="142"/>
    </row>
    <row r="1248" spans="1:16" ht="75">
      <c r="A1248" s="1" t="s">
        <v>87</v>
      </c>
      <c r="B1248" s="1" t="s">
        <v>103</v>
      </c>
      <c r="C1248" s="1" t="s">
        <v>88</v>
      </c>
      <c r="D1248" s="1" t="s">
        <v>104</v>
      </c>
      <c r="E1248" s="1" t="s">
        <v>105</v>
      </c>
      <c r="F1248" s="1" t="s">
        <v>106</v>
      </c>
      <c r="G1248" s="1" t="s">
        <v>93</v>
      </c>
      <c r="H1248" s="1" t="s">
        <v>107</v>
      </c>
      <c r="I1248" s="1" t="s">
        <v>108</v>
      </c>
      <c r="J1248" s="1" t="s">
        <v>109</v>
      </c>
      <c r="K1248" s="1" t="s">
        <v>110</v>
      </c>
      <c r="L1248" s="1" t="s">
        <v>21</v>
      </c>
      <c r="M1248" s="1" t="s">
        <v>45</v>
      </c>
      <c r="N1248" s="1" t="s">
        <v>111</v>
      </c>
      <c r="O1248" s="2" t="s">
        <v>112</v>
      </c>
      <c r="P1248" s="1" t="s">
        <v>113</v>
      </c>
    </row>
    <row r="1249" spans="1:16" ht="15.75">
      <c r="A1249" s="3">
        <v>1</v>
      </c>
      <c r="B1249" s="4">
        <v>46245</v>
      </c>
      <c r="C1249" s="3" t="s">
        <v>51</v>
      </c>
      <c r="D1249" s="5" t="s">
        <v>70</v>
      </c>
      <c r="E1249" s="5" t="s">
        <v>66</v>
      </c>
      <c r="F1249" s="5" t="s">
        <v>67</v>
      </c>
      <c r="G1249" s="5" t="s">
        <v>68</v>
      </c>
      <c r="H1249" s="5">
        <v>8395916139</v>
      </c>
      <c r="I1249" s="5">
        <v>800</v>
      </c>
      <c r="J1249" s="3"/>
      <c r="K1249" s="3"/>
      <c r="L1249" s="3"/>
      <c r="M1249" s="3"/>
      <c r="N1249" s="3"/>
      <c r="O1249" s="5">
        <v>16000</v>
      </c>
      <c r="P1249" s="3"/>
    </row>
    <row r="1250" spans="1:16" ht="15.75">
      <c r="A1250" s="3">
        <v>2</v>
      </c>
      <c r="B1250" s="4">
        <v>46245</v>
      </c>
      <c r="C1250" s="3" t="s">
        <v>51</v>
      </c>
      <c r="D1250" s="5" t="s">
        <v>73</v>
      </c>
      <c r="E1250" s="5" t="s">
        <v>66</v>
      </c>
      <c r="F1250" s="5" t="s">
        <v>71</v>
      </c>
      <c r="G1250" s="5" t="s">
        <v>72</v>
      </c>
      <c r="H1250" s="5">
        <v>7289049720</v>
      </c>
      <c r="I1250" s="5">
        <v>750</v>
      </c>
      <c r="J1250" s="3"/>
      <c r="K1250" s="3"/>
      <c r="L1250" s="3"/>
      <c r="M1250" s="3"/>
      <c r="N1250" s="3"/>
      <c r="O1250" s="5">
        <v>9000</v>
      </c>
      <c r="P1250" s="3"/>
    </row>
    <row r="1251" spans="1:16" ht="15.75">
      <c r="A1251" s="3">
        <v>3</v>
      </c>
      <c r="B1251" s="4">
        <v>46245</v>
      </c>
      <c r="C1251" s="3" t="s">
        <v>51</v>
      </c>
      <c r="D1251" s="5" t="s">
        <v>79</v>
      </c>
      <c r="E1251" s="5" t="s">
        <v>66</v>
      </c>
      <c r="F1251" s="6" t="s">
        <v>77</v>
      </c>
      <c r="G1251" s="6" t="s">
        <v>78</v>
      </c>
      <c r="H1251" s="6">
        <v>7355817478</v>
      </c>
      <c r="I1251" s="5">
        <v>750</v>
      </c>
      <c r="J1251" s="3"/>
      <c r="K1251" s="3"/>
      <c r="L1251" s="3"/>
      <c r="M1251" s="3"/>
      <c r="N1251" s="3"/>
      <c r="O1251" s="5">
        <v>9000</v>
      </c>
      <c r="P1251" s="3"/>
    </row>
    <row r="1252" spans="1:16" ht="15.75">
      <c r="A1252" s="3">
        <v>4</v>
      </c>
      <c r="B1252" s="4">
        <v>46245</v>
      </c>
      <c r="C1252" s="3" t="s">
        <v>51</v>
      </c>
      <c r="D1252" s="5" t="s">
        <v>82</v>
      </c>
      <c r="E1252" s="6" t="s">
        <v>66</v>
      </c>
      <c r="F1252" s="6" t="s">
        <v>80</v>
      </c>
      <c r="G1252" s="6" t="s">
        <v>81</v>
      </c>
      <c r="H1252" s="6">
        <v>7027566795</v>
      </c>
      <c r="I1252" s="5">
        <v>800</v>
      </c>
      <c r="J1252" s="3"/>
      <c r="K1252" s="3"/>
      <c r="L1252" s="3"/>
      <c r="M1252" s="3"/>
      <c r="N1252" s="3"/>
      <c r="O1252" s="5">
        <v>16000</v>
      </c>
      <c r="P1252" s="3"/>
    </row>
    <row r="1253" spans="1:16" ht="15.75">
      <c r="A1253" s="3">
        <v>5</v>
      </c>
      <c r="B1253" s="4">
        <v>46245</v>
      </c>
      <c r="C1253" s="3" t="s">
        <v>51</v>
      </c>
      <c r="D1253" s="5" t="s">
        <v>85</v>
      </c>
      <c r="E1253" s="6" t="s">
        <v>66</v>
      </c>
      <c r="F1253" s="5" t="s">
        <v>83</v>
      </c>
      <c r="G1253" s="5" t="s">
        <v>84</v>
      </c>
      <c r="H1253" s="5">
        <v>9992825464</v>
      </c>
      <c r="I1253" s="5">
        <v>800</v>
      </c>
      <c r="J1253" s="3"/>
      <c r="K1253" s="3"/>
      <c r="L1253" s="3"/>
      <c r="M1253" s="3"/>
      <c r="N1253" s="3"/>
      <c r="O1253" s="5">
        <v>16000</v>
      </c>
      <c r="P1253" s="3"/>
    </row>
    <row r="1254" spans="1:16" ht="15.75">
      <c r="A1254" s="3">
        <v>6</v>
      </c>
      <c r="B1254" s="4">
        <v>46245</v>
      </c>
      <c r="C1254" s="3" t="s">
        <v>51</v>
      </c>
      <c r="D1254" s="5" t="s">
        <v>114</v>
      </c>
      <c r="E1254" s="10" t="s">
        <v>66</v>
      </c>
      <c r="F1254" s="10" t="s">
        <v>120</v>
      </c>
      <c r="G1254" s="10" t="s">
        <v>124</v>
      </c>
      <c r="H1254" s="10">
        <v>8295596976</v>
      </c>
      <c r="I1254" s="10">
        <v>750</v>
      </c>
      <c r="J1254" s="3"/>
      <c r="K1254" s="3"/>
      <c r="L1254" s="3"/>
      <c r="M1254" s="3"/>
      <c r="N1254" s="3"/>
      <c r="O1254" s="5">
        <v>9000</v>
      </c>
      <c r="P1254" s="3"/>
    </row>
    <row r="1255" spans="1:16" ht="15.75">
      <c r="A1255" s="3">
        <v>7</v>
      </c>
      <c r="B1255" s="4">
        <v>46245</v>
      </c>
      <c r="C1255" s="3" t="s">
        <v>51</v>
      </c>
      <c r="D1255" s="5" t="s">
        <v>115</v>
      </c>
      <c r="E1255" s="10" t="s">
        <v>66</v>
      </c>
      <c r="F1255" s="10" t="s">
        <v>121</v>
      </c>
      <c r="G1255" s="10" t="s">
        <v>125</v>
      </c>
      <c r="H1255" s="10">
        <v>8816907186</v>
      </c>
      <c r="I1255" s="10">
        <v>750</v>
      </c>
      <c r="J1255" s="3"/>
      <c r="K1255" s="3"/>
      <c r="L1255" s="3"/>
      <c r="M1255" s="3"/>
      <c r="N1255" s="3"/>
      <c r="O1255" s="5">
        <v>9000</v>
      </c>
      <c r="P1255" s="3"/>
    </row>
    <row r="1256" spans="1:16" ht="15.75">
      <c r="A1256" s="3">
        <v>8</v>
      </c>
      <c r="B1256" s="4">
        <v>46245</v>
      </c>
      <c r="C1256" s="3" t="s">
        <v>51</v>
      </c>
      <c r="D1256" s="5" t="s">
        <v>147</v>
      </c>
      <c r="E1256" s="5" t="s">
        <v>129</v>
      </c>
      <c r="F1256" s="5" t="s">
        <v>132</v>
      </c>
      <c r="G1256" s="5" t="s">
        <v>140</v>
      </c>
      <c r="H1256" s="5">
        <v>8397037924</v>
      </c>
      <c r="I1256" s="5">
        <v>800</v>
      </c>
      <c r="J1256" s="3"/>
      <c r="K1256" s="3"/>
      <c r="L1256" s="3"/>
      <c r="M1256" s="3"/>
      <c r="N1256" s="3"/>
      <c r="O1256" s="5">
        <v>16800</v>
      </c>
      <c r="P1256" s="3"/>
    </row>
    <row r="1257" spans="1:16" ht="15.75">
      <c r="A1257" s="3">
        <v>9</v>
      </c>
      <c r="B1257" s="4">
        <v>46245</v>
      </c>
      <c r="C1257" s="3" t="s">
        <v>51</v>
      </c>
      <c r="D1257" s="5" t="s">
        <v>151</v>
      </c>
      <c r="E1257" s="5" t="s">
        <v>66</v>
      </c>
      <c r="F1257" s="5" t="s">
        <v>136</v>
      </c>
      <c r="G1257" s="5" t="s">
        <v>143</v>
      </c>
      <c r="H1257" s="5">
        <v>9992969785</v>
      </c>
      <c r="I1257" s="5">
        <v>800</v>
      </c>
      <c r="J1257" s="3"/>
      <c r="K1257" s="3"/>
      <c r="L1257" s="3"/>
      <c r="M1257" s="3"/>
      <c r="N1257" s="3"/>
      <c r="O1257" s="5">
        <v>16800</v>
      </c>
      <c r="P1257" s="3"/>
    </row>
    <row r="1258" spans="1:16" ht="15.75">
      <c r="A1258" s="3">
        <v>10</v>
      </c>
      <c r="B1258" s="4">
        <v>46245</v>
      </c>
      <c r="C1258" s="3" t="s">
        <v>51</v>
      </c>
      <c r="D1258" s="5" t="s">
        <v>190</v>
      </c>
      <c r="E1258" s="10" t="s">
        <v>195</v>
      </c>
      <c r="F1258" s="10" t="s">
        <v>184</v>
      </c>
      <c r="G1258" s="10" t="s">
        <v>185</v>
      </c>
      <c r="H1258" s="10">
        <v>9728976039</v>
      </c>
      <c r="I1258" s="3">
        <v>750</v>
      </c>
      <c r="J1258" s="3"/>
      <c r="K1258" s="3"/>
      <c r="L1258" s="3"/>
      <c r="M1258" s="3"/>
      <c r="N1258" s="3"/>
      <c r="O1258" s="5">
        <v>11250</v>
      </c>
      <c r="P1258" s="3"/>
    </row>
    <row r="1259" spans="1:16" ht="15.75">
      <c r="A1259" s="3">
        <v>11</v>
      </c>
      <c r="B1259" s="4">
        <v>46245</v>
      </c>
      <c r="C1259" s="3" t="s">
        <v>51</v>
      </c>
      <c r="D1259" s="5" t="s">
        <v>191</v>
      </c>
      <c r="E1259" s="10" t="s">
        <v>196</v>
      </c>
      <c r="F1259" s="10" t="s">
        <v>186</v>
      </c>
      <c r="G1259" s="10" t="s">
        <v>187</v>
      </c>
      <c r="H1259" s="10">
        <v>9991073613</v>
      </c>
      <c r="I1259" s="3">
        <v>750</v>
      </c>
      <c r="J1259" s="3"/>
      <c r="K1259" s="3"/>
      <c r="L1259" s="3"/>
      <c r="M1259" s="3"/>
      <c r="N1259" s="3"/>
      <c r="O1259" s="5">
        <v>11250</v>
      </c>
      <c r="P1259" s="3"/>
    </row>
    <row r="1260" spans="1:16" ht="15.75">
      <c r="A1260" s="3">
        <v>12</v>
      </c>
      <c r="B1260" s="4">
        <v>46245</v>
      </c>
      <c r="C1260" s="3" t="s">
        <v>51</v>
      </c>
      <c r="D1260" s="5" t="s">
        <v>192</v>
      </c>
      <c r="E1260" s="10" t="s">
        <v>195</v>
      </c>
      <c r="F1260" s="10" t="s">
        <v>188</v>
      </c>
      <c r="G1260" s="10" t="s">
        <v>198</v>
      </c>
      <c r="H1260" s="10">
        <v>8047377476</v>
      </c>
      <c r="I1260" s="5">
        <v>800</v>
      </c>
      <c r="J1260" s="3"/>
      <c r="K1260" s="3"/>
      <c r="L1260" s="3"/>
      <c r="M1260" s="3"/>
      <c r="N1260" s="3"/>
      <c r="O1260" s="5">
        <v>18400</v>
      </c>
      <c r="P1260" s="3"/>
    </row>
    <row r="1261" spans="1:16" ht="15.75">
      <c r="A1261" s="3">
        <v>13</v>
      </c>
      <c r="B1261" s="4">
        <v>46245</v>
      </c>
      <c r="C1261" s="3" t="s">
        <v>51</v>
      </c>
      <c r="D1261" s="5" t="s">
        <v>193</v>
      </c>
      <c r="E1261" s="10" t="s">
        <v>195</v>
      </c>
      <c r="F1261" s="10" t="s">
        <v>83</v>
      </c>
      <c r="G1261" s="10" t="s">
        <v>189</v>
      </c>
      <c r="H1261" s="10">
        <v>8396804752</v>
      </c>
      <c r="I1261" s="3">
        <v>750</v>
      </c>
      <c r="J1261" s="3"/>
      <c r="K1261" s="3"/>
      <c r="L1261" s="3"/>
      <c r="M1261" s="3"/>
      <c r="N1261" s="3"/>
      <c r="O1261" s="5">
        <v>11250</v>
      </c>
      <c r="P1261" s="3"/>
    </row>
    <row r="1262" spans="1:16" ht="15.75">
      <c r="A1262" s="3">
        <v>14</v>
      </c>
      <c r="B1262" s="4">
        <v>46245</v>
      </c>
      <c r="C1262" s="3" t="s">
        <v>51</v>
      </c>
      <c r="D1262" s="5" t="s">
        <v>207</v>
      </c>
      <c r="E1262" s="10" t="s">
        <v>225</v>
      </c>
      <c r="F1262" s="10" t="s">
        <v>213</v>
      </c>
      <c r="G1262" s="10" t="s">
        <v>214</v>
      </c>
      <c r="H1262" s="10">
        <v>9034419162</v>
      </c>
      <c r="I1262" s="3">
        <v>750</v>
      </c>
      <c r="J1262" s="3"/>
      <c r="K1262" s="3"/>
      <c r="L1262" s="3"/>
      <c r="M1262" s="3"/>
      <c r="N1262" s="3"/>
      <c r="O1262" s="5">
        <v>12000</v>
      </c>
      <c r="P1262" s="3"/>
    </row>
    <row r="1263" spans="1:16" ht="15.75">
      <c r="A1263" s="3">
        <v>15</v>
      </c>
      <c r="B1263" s="4">
        <v>46245</v>
      </c>
      <c r="C1263" s="3" t="s">
        <v>51</v>
      </c>
      <c r="D1263" s="5" t="s">
        <v>209</v>
      </c>
      <c r="E1263" s="10" t="s">
        <v>226</v>
      </c>
      <c r="F1263" s="10" t="s">
        <v>217</v>
      </c>
      <c r="G1263" s="10" t="s">
        <v>218</v>
      </c>
      <c r="H1263" s="10">
        <v>9671740481</v>
      </c>
      <c r="I1263" s="3">
        <v>750</v>
      </c>
      <c r="J1263" s="3"/>
      <c r="K1263" s="3"/>
      <c r="L1263" s="3"/>
      <c r="M1263" s="3"/>
      <c r="N1263" s="3"/>
      <c r="O1263" s="5">
        <v>11250</v>
      </c>
      <c r="P1263" s="3"/>
    </row>
    <row r="1264" spans="1:16" ht="15.75">
      <c r="A1264" s="3">
        <v>16</v>
      </c>
      <c r="B1264" s="4">
        <v>46245</v>
      </c>
      <c r="C1264" s="3" t="s">
        <v>51</v>
      </c>
      <c r="D1264" s="5" t="s">
        <v>210</v>
      </c>
      <c r="E1264" s="10" t="s">
        <v>227</v>
      </c>
      <c r="F1264" s="10" t="s">
        <v>219</v>
      </c>
      <c r="G1264" s="10" t="s">
        <v>220</v>
      </c>
      <c r="H1264" s="10">
        <v>9311797101</v>
      </c>
      <c r="I1264" s="3">
        <v>750</v>
      </c>
      <c r="J1264" s="3"/>
      <c r="K1264" s="3"/>
      <c r="L1264" s="3"/>
      <c r="M1264" s="3"/>
      <c r="N1264" s="3"/>
      <c r="O1264" s="5">
        <v>11250</v>
      </c>
      <c r="P1264" s="3"/>
    </row>
    <row r="1265" spans="1:16" ht="15.75">
      <c r="A1265" s="3">
        <v>17</v>
      </c>
      <c r="B1265" s="4">
        <v>46245</v>
      </c>
      <c r="C1265" s="3" t="s">
        <v>51</v>
      </c>
      <c r="D1265" s="5" t="s">
        <v>211</v>
      </c>
      <c r="E1265" s="10" t="s">
        <v>226</v>
      </c>
      <c r="F1265" s="10" t="s">
        <v>221</v>
      </c>
      <c r="G1265" s="10" t="s">
        <v>222</v>
      </c>
      <c r="H1265" s="10">
        <v>7206610781</v>
      </c>
      <c r="I1265" s="3">
        <v>750</v>
      </c>
      <c r="J1265" s="3"/>
      <c r="K1265" s="3"/>
      <c r="L1265" s="3"/>
      <c r="M1265" s="3"/>
      <c r="N1265" s="3"/>
      <c r="O1265" s="5">
        <v>11250</v>
      </c>
      <c r="P1265" s="3"/>
    </row>
    <row r="1266" spans="1:16" ht="15.75">
      <c r="A1266" s="3">
        <v>18</v>
      </c>
      <c r="B1266" s="4">
        <v>46245</v>
      </c>
      <c r="C1266" s="3" t="s">
        <v>51</v>
      </c>
      <c r="D1266" s="5" t="s">
        <v>212</v>
      </c>
      <c r="E1266" s="10" t="s">
        <v>226</v>
      </c>
      <c r="F1266" s="10" t="s">
        <v>223</v>
      </c>
      <c r="G1266" s="10" t="s">
        <v>224</v>
      </c>
      <c r="H1266" s="10">
        <v>8814045633</v>
      </c>
      <c r="I1266" s="3">
        <v>750</v>
      </c>
      <c r="J1266" s="3"/>
      <c r="K1266" s="3"/>
      <c r="L1266" s="3"/>
      <c r="M1266" s="3"/>
      <c r="N1266" s="3"/>
      <c r="O1266" s="5">
        <v>11250</v>
      </c>
      <c r="P1266" s="3"/>
    </row>
    <row r="1267" spans="1:16" ht="15.75">
      <c r="A1267" s="3">
        <v>19</v>
      </c>
      <c r="B1267" s="4">
        <v>46245</v>
      </c>
      <c r="C1267" s="3" t="s">
        <v>51</v>
      </c>
      <c r="D1267" s="5" t="s">
        <v>228</v>
      </c>
      <c r="E1267" s="3" t="s">
        <v>229</v>
      </c>
      <c r="F1267" s="10" t="s">
        <v>165</v>
      </c>
      <c r="G1267" s="10" t="s">
        <v>198</v>
      </c>
      <c r="H1267" s="10" t="s">
        <v>230</v>
      </c>
      <c r="I1267" s="3">
        <v>750</v>
      </c>
      <c r="J1267" s="3"/>
      <c r="K1267" s="3"/>
      <c r="L1267" s="3"/>
      <c r="M1267" s="3"/>
      <c r="N1267" s="3"/>
      <c r="O1267" s="5">
        <v>11250</v>
      </c>
      <c r="P1267" s="3"/>
    </row>
    <row r="1268" spans="1:16" ht="15.75">
      <c r="A1268" s="3">
        <v>20</v>
      </c>
      <c r="B1268" s="4">
        <v>46245</v>
      </c>
      <c r="C1268" s="3" t="s">
        <v>51</v>
      </c>
      <c r="D1268" s="5" t="s">
        <v>233</v>
      </c>
      <c r="E1268" s="10" t="s">
        <v>49</v>
      </c>
      <c r="F1268" s="10" t="s">
        <v>231</v>
      </c>
      <c r="G1268" s="10" t="s">
        <v>142</v>
      </c>
      <c r="H1268" s="10">
        <v>7497855174</v>
      </c>
      <c r="I1268" s="3">
        <v>750</v>
      </c>
      <c r="J1268" s="3"/>
      <c r="K1268" s="3"/>
      <c r="L1268" s="3"/>
      <c r="M1268" s="3"/>
      <c r="N1268" s="3"/>
      <c r="O1268" s="5">
        <v>12000</v>
      </c>
      <c r="P1268" s="3"/>
    </row>
    <row r="1269" spans="1:16" ht="15.75">
      <c r="A1269" s="3">
        <v>21</v>
      </c>
      <c r="B1269" s="4">
        <v>46245</v>
      </c>
      <c r="C1269" s="3" t="s">
        <v>51</v>
      </c>
      <c r="D1269" s="5" t="s">
        <v>234</v>
      </c>
      <c r="E1269" s="10" t="s">
        <v>196</v>
      </c>
      <c r="F1269" s="10" t="s">
        <v>232</v>
      </c>
      <c r="G1269" s="10" t="s">
        <v>235</v>
      </c>
      <c r="H1269" s="10">
        <v>9817633128</v>
      </c>
      <c r="I1269" s="3">
        <v>800</v>
      </c>
      <c r="J1269" s="3"/>
      <c r="K1269" s="3"/>
      <c r="L1269" s="3"/>
      <c r="M1269" s="3"/>
      <c r="N1269" s="3"/>
      <c r="O1269" s="5">
        <v>19200</v>
      </c>
      <c r="P1269" s="3"/>
    </row>
    <row r="1270" spans="1:16" ht="15.75">
      <c r="A1270" s="3">
        <v>22</v>
      </c>
      <c r="B1270" s="4">
        <v>46245</v>
      </c>
      <c r="C1270" s="3" t="s">
        <v>51</v>
      </c>
      <c r="D1270" s="5" t="s">
        <v>236</v>
      </c>
      <c r="E1270" s="10" t="s">
        <v>238</v>
      </c>
      <c r="F1270" s="10" t="s">
        <v>180</v>
      </c>
      <c r="G1270" s="10" t="s">
        <v>240</v>
      </c>
      <c r="H1270" s="10">
        <v>9728727855</v>
      </c>
      <c r="I1270" s="3">
        <v>750</v>
      </c>
      <c r="J1270" s="3"/>
      <c r="K1270" s="3"/>
      <c r="L1270" s="3"/>
      <c r="M1270" s="3"/>
      <c r="N1270" s="3"/>
      <c r="O1270" s="5">
        <v>12000</v>
      </c>
      <c r="P1270" s="3"/>
    </row>
    <row r="1271" spans="1:16" ht="15.75">
      <c r="A1271" s="3">
        <v>23</v>
      </c>
      <c r="B1271" s="4">
        <v>46245</v>
      </c>
      <c r="C1271" s="3" t="s">
        <v>51</v>
      </c>
      <c r="D1271" s="5" t="s">
        <v>237</v>
      </c>
      <c r="E1271" s="10" t="s">
        <v>238</v>
      </c>
      <c r="F1271" s="10" t="s">
        <v>239</v>
      </c>
      <c r="G1271" s="10" t="s">
        <v>241</v>
      </c>
      <c r="H1271" s="10">
        <v>9813575389</v>
      </c>
      <c r="I1271" s="3">
        <v>800</v>
      </c>
      <c r="J1271" s="3"/>
      <c r="K1271" s="3"/>
      <c r="L1271" s="3"/>
      <c r="M1271" s="3"/>
      <c r="N1271" s="3"/>
      <c r="O1271" s="5">
        <v>19200</v>
      </c>
      <c r="P1271" s="3"/>
    </row>
    <row r="1272" spans="1:16" ht="15.75">
      <c r="A1272" s="3">
        <v>24</v>
      </c>
      <c r="B1272" s="4">
        <v>46245</v>
      </c>
      <c r="C1272" s="3" t="s">
        <v>51</v>
      </c>
      <c r="D1272" s="5" t="s">
        <v>242</v>
      </c>
      <c r="E1272" s="10" t="s">
        <v>226</v>
      </c>
      <c r="F1272" s="10" t="s">
        <v>246</v>
      </c>
      <c r="G1272" s="10" t="s">
        <v>249</v>
      </c>
      <c r="H1272" s="10">
        <v>9997650988</v>
      </c>
      <c r="I1272" s="3">
        <v>750</v>
      </c>
      <c r="J1272" s="3"/>
      <c r="K1272" s="3"/>
      <c r="L1272" s="3"/>
      <c r="M1272" s="3"/>
      <c r="N1272" s="3"/>
      <c r="O1272" s="5">
        <v>12000</v>
      </c>
      <c r="P1272" s="3"/>
    </row>
    <row r="1273" spans="1:16" ht="15.75">
      <c r="A1273" s="3">
        <v>25</v>
      </c>
      <c r="B1273" s="4">
        <v>46245</v>
      </c>
      <c r="C1273" s="3" t="s">
        <v>51</v>
      </c>
      <c r="D1273" s="5" t="s">
        <v>243</v>
      </c>
      <c r="E1273" s="10" t="s">
        <v>225</v>
      </c>
      <c r="F1273" s="10" t="s">
        <v>247</v>
      </c>
      <c r="G1273" s="10" t="s">
        <v>250</v>
      </c>
      <c r="H1273" s="10">
        <v>8607470754</v>
      </c>
      <c r="I1273" s="3">
        <v>800</v>
      </c>
      <c r="J1273" s="3"/>
      <c r="K1273" s="3"/>
      <c r="L1273" s="3"/>
      <c r="M1273" s="3"/>
      <c r="N1273" s="3"/>
      <c r="O1273" s="5">
        <v>19200</v>
      </c>
      <c r="P1273" s="3"/>
    </row>
    <row r="1274" spans="1:16" ht="15.75">
      <c r="A1274" s="3">
        <v>26</v>
      </c>
      <c r="B1274" s="4">
        <v>46245</v>
      </c>
      <c r="C1274" s="3" t="s">
        <v>51</v>
      </c>
      <c r="D1274" s="5" t="s">
        <v>244</v>
      </c>
      <c r="E1274" s="10" t="s">
        <v>226</v>
      </c>
      <c r="F1274" s="10" t="s">
        <v>248</v>
      </c>
      <c r="G1274" s="10" t="s">
        <v>251</v>
      </c>
      <c r="H1274" s="10">
        <v>8929903323</v>
      </c>
      <c r="I1274" s="3">
        <v>800</v>
      </c>
      <c r="J1274" s="3"/>
      <c r="K1274" s="3"/>
      <c r="L1274" s="3"/>
      <c r="M1274" s="3"/>
      <c r="N1274" s="3"/>
      <c r="O1274" s="5">
        <v>19200</v>
      </c>
      <c r="P1274" s="3"/>
    </row>
    <row r="1275" spans="1:16" ht="15.75">
      <c r="A1275" s="3">
        <v>27</v>
      </c>
      <c r="B1275" s="4">
        <v>46245</v>
      </c>
      <c r="C1275" s="3" t="s">
        <v>51</v>
      </c>
      <c r="D1275" s="5" t="s">
        <v>252</v>
      </c>
      <c r="E1275" s="10" t="s">
        <v>226</v>
      </c>
      <c r="F1275" s="10" t="s">
        <v>120</v>
      </c>
      <c r="G1275" s="10" t="s">
        <v>253</v>
      </c>
      <c r="H1275" s="10">
        <v>8930304731</v>
      </c>
      <c r="I1275" s="3">
        <v>800</v>
      </c>
      <c r="J1275" s="3"/>
      <c r="K1275" s="3"/>
      <c r="L1275" s="3"/>
      <c r="M1275" s="3"/>
      <c r="N1275" s="3"/>
      <c r="O1275" s="5">
        <v>19200</v>
      </c>
      <c r="P1275" s="3"/>
    </row>
    <row r="1276" spans="1:16" ht="15.75">
      <c r="A1276" s="3">
        <v>28</v>
      </c>
      <c r="B1276" s="4">
        <v>46245</v>
      </c>
      <c r="C1276" s="3" t="s">
        <v>51</v>
      </c>
      <c r="D1276" s="5" t="s">
        <v>256</v>
      </c>
      <c r="E1276" s="10" t="s">
        <v>257</v>
      </c>
      <c r="F1276" s="10" t="s">
        <v>258</v>
      </c>
      <c r="G1276" s="10" t="s">
        <v>259</v>
      </c>
      <c r="H1276" s="10">
        <v>7355860393</v>
      </c>
      <c r="I1276" s="3">
        <v>750</v>
      </c>
      <c r="J1276" s="3"/>
      <c r="K1276" s="3"/>
      <c r="L1276" s="3"/>
      <c r="M1276" s="3"/>
      <c r="N1276" s="3"/>
      <c r="O1276" s="5">
        <v>12000</v>
      </c>
      <c r="P1276" s="3"/>
    </row>
    <row r="1277" spans="1:16" ht="15.75">
      <c r="A1277" s="3">
        <v>29</v>
      </c>
      <c r="B1277" s="4">
        <v>46245</v>
      </c>
      <c r="C1277" s="3" t="s">
        <v>51</v>
      </c>
      <c r="D1277" s="5" t="s">
        <v>263</v>
      </c>
      <c r="E1277" s="10" t="s">
        <v>196</v>
      </c>
      <c r="F1277" s="10" t="s">
        <v>260</v>
      </c>
      <c r="G1277" s="10" t="s">
        <v>268</v>
      </c>
      <c r="H1277" s="10">
        <v>8936838477</v>
      </c>
      <c r="I1277" s="3">
        <v>750</v>
      </c>
      <c r="J1277" s="3"/>
      <c r="K1277" s="3"/>
      <c r="L1277" s="3"/>
      <c r="M1277" s="3"/>
      <c r="N1277" s="3"/>
      <c r="O1277" s="5">
        <v>12750</v>
      </c>
      <c r="P1277" s="3"/>
    </row>
    <row r="1278" spans="1:16" ht="15.75">
      <c r="A1278" s="3">
        <v>30</v>
      </c>
      <c r="B1278" s="4">
        <v>46245</v>
      </c>
      <c r="C1278" s="3" t="s">
        <v>51</v>
      </c>
      <c r="D1278" s="5" t="s">
        <v>266</v>
      </c>
      <c r="E1278" s="10" t="s">
        <v>196</v>
      </c>
      <c r="F1278" s="10" t="s">
        <v>239</v>
      </c>
      <c r="G1278" s="10" t="s">
        <v>235</v>
      </c>
      <c r="H1278" s="10">
        <v>9728139162</v>
      </c>
      <c r="I1278" s="3">
        <v>750</v>
      </c>
      <c r="J1278" s="3"/>
      <c r="K1278" s="3"/>
      <c r="L1278" s="3"/>
      <c r="M1278" s="3"/>
      <c r="N1278" s="3"/>
      <c r="O1278" s="5">
        <v>12750</v>
      </c>
      <c r="P1278" s="3"/>
    </row>
    <row r="1279" spans="1:16" ht="15.75">
      <c r="A1279" s="3">
        <v>31</v>
      </c>
      <c r="B1279" s="4">
        <v>46245</v>
      </c>
      <c r="C1279" s="3" t="s">
        <v>51</v>
      </c>
      <c r="D1279" s="5" t="s">
        <v>288</v>
      </c>
      <c r="E1279" s="3" t="s">
        <v>290</v>
      </c>
      <c r="F1279" s="3" t="s">
        <v>180</v>
      </c>
      <c r="G1279" s="3" t="s">
        <v>295</v>
      </c>
      <c r="H1279" s="3">
        <v>9671443722</v>
      </c>
      <c r="I1279" s="3">
        <v>800</v>
      </c>
      <c r="J1279" s="3"/>
      <c r="K1279" s="3"/>
      <c r="L1279" s="3"/>
      <c r="M1279" s="3"/>
      <c r="N1279" s="3"/>
      <c r="O1279" s="5">
        <v>21600</v>
      </c>
      <c r="P1279" s="3"/>
    </row>
    <row r="1280" spans="1:16" ht="15.75">
      <c r="A1280" s="3">
        <v>32</v>
      </c>
      <c r="B1280" s="4">
        <v>46245</v>
      </c>
      <c r="C1280" s="3" t="s">
        <v>51</v>
      </c>
      <c r="D1280" s="5" t="s">
        <v>289</v>
      </c>
      <c r="E1280" s="3" t="s">
        <v>291</v>
      </c>
      <c r="F1280" s="3" t="s">
        <v>292</v>
      </c>
      <c r="G1280" s="3" t="s">
        <v>296</v>
      </c>
      <c r="H1280" s="3">
        <v>9343799675</v>
      </c>
      <c r="I1280" s="3">
        <v>800</v>
      </c>
      <c r="J1280" s="3"/>
      <c r="K1280" s="3"/>
      <c r="L1280" s="3"/>
      <c r="M1280" s="3"/>
      <c r="N1280" s="3"/>
      <c r="O1280" s="5">
        <v>20800</v>
      </c>
      <c r="P1280" s="3"/>
    </row>
    <row r="1281" spans="1:16" ht="15.75">
      <c r="A1281" s="3">
        <v>33</v>
      </c>
      <c r="B1281" s="4">
        <v>46245</v>
      </c>
      <c r="C1281" s="3" t="s">
        <v>51</v>
      </c>
      <c r="D1281" s="5" t="s">
        <v>298</v>
      </c>
      <c r="E1281" s="3" t="s">
        <v>300</v>
      </c>
      <c r="F1281" s="3" t="s">
        <v>71</v>
      </c>
      <c r="G1281" s="3" t="s">
        <v>302</v>
      </c>
      <c r="H1281" s="3">
        <v>7056212672</v>
      </c>
      <c r="I1281" s="3">
        <v>750</v>
      </c>
      <c r="J1281" s="3"/>
      <c r="K1281" s="3"/>
      <c r="L1281" s="3"/>
      <c r="M1281" s="3"/>
      <c r="N1281" s="3"/>
      <c r="O1281" s="5">
        <v>13500</v>
      </c>
      <c r="P1281" s="3"/>
    </row>
    <row r="1282" spans="1:16" ht="15.75">
      <c r="A1282" s="3">
        <v>34</v>
      </c>
      <c r="B1282" s="4">
        <v>46245</v>
      </c>
      <c r="C1282" s="3" t="s">
        <v>51</v>
      </c>
      <c r="D1282" s="5" t="s">
        <v>306</v>
      </c>
      <c r="E1282" s="3" t="s">
        <v>308</v>
      </c>
      <c r="F1282" s="3" t="s">
        <v>165</v>
      </c>
      <c r="G1282" s="3" t="s">
        <v>310</v>
      </c>
      <c r="H1282" s="3">
        <v>9971836202</v>
      </c>
      <c r="I1282" s="3">
        <v>800</v>
      </c>
      <c r="J1282" s="3"/>
      <c r="K1282" s="3"/>
      <c r="L1282" s="3"/>
      <c r="M1282" s="3"/>
      <c r="N1282" s="3"/>
      <c r="O1282" s="6">
        <v>21600</v>
      </c>
      <c r="P1282" s="3"/>
    </row>
    <row r="1283" spans="1:16" ht="15.75">
      <c r="A1283" s="3">
        <v>35</v>
      </c>
      <c r="B1283" s="4">
        <v>46245</v>
      </c>
      <c r="C1283" s="3" t="s">
        <v>51</v>
      </c>
      <c r="D1283" s="5" t="s">
        <v>307</v>
      </c>
      <c r="E1283" s="3" t="s">
        <v>309</v>
      </c>
      <c r="F1283" s="3" t="s">
        <v>305</v>
      </c>
      <c r="G1283" s="3" t="s">
        <v>54</v>
      </c>
      <c r="H1283" s="3">
        <v>8307951615</v>
      </c>
      <c r="I1283" s="3">
        <v>1000</v>
      </c>
      <c r="J1283" s="3"/>
      <c r="K1283" s="3"/>
      <c r="L1283" s="3"/>
      <c r="M1283" s="3"/>
      <c r="N1283" s="3"/>
      <c r="O1283" s="6">
        <v>20000</v>
      </c>
      <c r="P1283" s="3"/>
    </row>
    <row r="1284" spans="1:16" ht="15.75">
      <c r="A1284" s="3">
        <v>36</v>
      </c>
      <c r="B1284" s="4">
        <v>46245</v>
      </c>
      <c r="C1284" s="3" t="s">
        <v>51</v>
      </c>
      <c r="D1284" s="5" t="s">
        <v>313</v>
      </c>
      <c r="E1284" s="3" t="s">
        <v>314</v>
      </c>
      <c r="F1284" s="3" t="s">
        <v>311</v>
      </c>
      <c r="G1284" s="3" t="s">
        <v>316</v>
      </c>
      <c r="H1284" s="3">
        <v>8053115922</v>
      </c>
      <c r="I1284" s="3">
        <v>1000</v>
      </c>
      <c r="J1284" s="3"/>
      <c r="K1284" s="3"/>
      <c r="L1284" s="3"/>
      <c r="M1284" s="3"/>
      <c r="N1284" s="3"/>
      <c r="O1284" s="6">
        <v>20000</v>
      </c>
      <c r="P1284" s="3"/>
    </row>
    <row r="1285" spans="1:16" ht="15.75">
      <c r="A1285" s="3">
        <v>37</v>
      </c>
      <c r="B1285" s="4">
        <v>46245</v>
      </c>
      <c r="C1285" s="3" t="s">
        <v>51</v>
      </c>
      <c r="D1285" s="5" t="s">
        <v>324</v>
      </c>
      <c r="E1285" s="3" t="s">
        <v>130</v>
      </c>
      <c r="F1285" s="3" t="s">
        <v>317</v>
      </c>
      <c r="G1285" s="3" t="s">
        <v>318</v>
      </c>
      <c r="H1285" s="3">
        <v>9034416529</v>
      </c>
      <c r="I1285" s="3">
        <v>1000</v>
      </c>
      <c r="J1285" s="3"/>
      <c r="K1285" s="3"/>
      <c r="L1285" s="3"/>
      <c r="M1285" s="3"/>
      <c r="N1285" s="3"/>
      <c r="O1285" s="6">
        <v>20000</v>
      </c>
      <c r="P1285" s="3"/>
    </row>
    <row r="1286" spans="1:16" ht="15.75">
      <c r="A1286" s="3">
        <v>38</v>
      </c>
      <c r="B1286" s="4">
        <v>46245</v>
      </c>
      <c r="C1286" s="3" t="s">
        <v>51</v>
      </c>
      <c r="D1286" s="5" t="s">
        <v>325</v>
      </c>
      <c r="E1286" s="3" t="s">
        <v>130</v>
      </c>
      <c r="F1286" s="3" t="s">
        <v>319</v>
      </c>
      <c r="G1286" s="3" t="s">
        <v>320</v>
      </c>
      <c r="H1286" s="3">
        <v>9728411675</v>
      </c>
      <c r="I1286" s="3">
        <v>1000</v>
      </c>
      <c r="J1286" s="3"/>
      <c r="K1286" s="3"/>
      <c r="L1286" s="3"/>
      <c r="M1286" s="3"/>
      <c r="N1286" s="3"/>
      <c r="O1286" s="6">
        <v>20000</v>
      </c>
      <c r="P1286" s="3"/>
    </row>
    <row r="1287" spans="1:16" ht="15.75">
      <c r="A1287" s="3">
        <v>39</v>
      </c>
      <c r="B1287" s="4">
        <v>46245</v>
      </c>
      <c r="C1287" s="3" t="s">
        <v>51</v>
      </c>
      <c r="D1287" s="5" t="s">
        <v>326</v>
      </c>
      <c r="E1287" s="3" t="s">
        <v>130</v>
      </c>
      <c r="F1287" s="3" t="s">
        <v>321</v>
      </c>
      <c r="G1287" s="3" t="s">
        <v>322</v>
      </c>
      <c r="H1287" s="3">
        <v>9034416529</v>
      </c>
      <c r="I1287" s="3">
        <v>1000</v>
      </c>
      <c r="J1287" s="3"/>
      <c r="K1287" s="3"/>
      <c r="L1287" s="3"/>
      <c r="M1287" s="3"/>
      <c r="N1287" s="3"/>
      <c r="O1287" s="6">
        <v>20000</v>
      </c>
      <c r="P1287" s="3"/>
    </row>
    <row r="1288" spans="1:16" ht="15.75">
      <c r="A1288" s="3">
        <v>40</v>
      </c>
      <c r="B1288" s="4">
        <v>46245</v>
      </c>
      <c r="C1288" s="3" t="s">
        <v>51</v>
      </c>
      <c r="D1288" s="5" t="s">
        <v>327</v>
      </c>
      <c r="E1288" s="3" t="s">
        <v>300</v>
      </c>
      <c r="F1288" s="3" t="s">
        <v>180</v>
      </c>
      <c r="G1288" s="3" t="s">
        <v>78</v>
      </c>
      <c r="H1288" s="3">
        <v>7027786391</v>
      </c>
      <c r="I1288" s="3">
        <v>1000</v>
      </c>
      <c r="J1288" s="3"/>
      <c r="K1288" s="3"/>
      <c r="L1288" s="3"/>
      <c r="M1288" s="3"/>
      <c r="N1288" s="3"/>
      <c r="O1288" s="6">
        <v>21000</v>
      </c>
      <c r="P1288" s="3"/>
    </row>
    <row r="1289" spans="1:16" ht="15.75">
      <c r="A1289" s="3">
        <v>41</v>
      </c>
      <c r="B1289" s="4">
        <v>46245</v>
      </c>
      <c r="C1289" s="3" t="s">
        <v>51</v>
      </c>
      <c r="D1289" s="5" t="s">
        <v>328</v>
      </c>
      <c r="E1289" s="3" t="s">
        <v>130</v>
      </c>
      <c r="F1289" s="3" t="s">
        <v>323</v>
      </c>
      <c r="G1289" s="3" t="s">
        <v>126</v>
      </c>
      <c r="H1289" s="3">
        <v>9996695743</v>
      </c>
      <c r="I1289" s="3">
        <v>1000</v>
      </c>
      <c r="J1289" s="3"/>
      <c r="K1289" s="3"/>
      <c r="L1289" s="3"/>
      <c r="M1289" s="3"/>
      <c r="N1289" s="3"/>
      <c r="O1289" s="6">
        <v>20000</v>
      </c>
      <c r="P1289" s="3"/>
    </row>
    <row r="1290" spans="1:16" ht="15.75">
      <c r="A1290" s="3">
        <v>42</v>
      </c>
      <c r="B1290" s="4">
        <v>46245</v>
      </c>
      <c r="C1290" s="3" t="s">
        <v>51</v>
      </c>
      <c r="D1290" s="5" t="s">
        <v>345</v>
      </c>
      <c r="E1290" s="3" t="s">
        <v>349</v>
      </c>
      <c r="F1290" s="3" t="s">
        <v>337</v>
      </c>
      <c r="G1290" s="3" t="s">
        <v>338</v>
      </c>
      <c r="H1290" s="3">
        <v>9306916119</v>
      </c>
      <c r="I1290" s="3">
        <v>810</v>
      </c>
      <c r="J1290" s="3"/>
      <c r="K1290" s="3"/>
      <c r="L1290" s="3"/>
      <c r="M1290" s="3"/>
      <c r="N1290" s="3"/>
      <c r="O1290" s="6">
        <v>16200</v>
      </c>
      <c r="P1290" s="3"/>
    </row>
    <row r="1291" spans="1:16" ht="15.75">
      <c r="A1291" s="3">
        <v>43</v>
      </c>
      <c r="B1291" s="4">
        <v>46245</v>
      </c>
      <c r="C1291" s="3" t="s">
        <v>51</v>
      </c>
      <c r="D1291" s="5" t="s">
        <v>350</v>
      </c>
      <c r="E1291" s="3" t="s">
        <v>197</v>
      </c>
      <c r="F1291" s="3" t="s">
        <v>358</v>
      </c>
      <c r="G1291" s="3" t="s">
        <v>364</v>
      </c>
      <c r="H1291" s="3">
        <v>9319598592</v>
      </c>
      <c r="I1291" s="3">
        <v>1000</v>
      </c>
      <c r="J1291" s="3"/>
      <c r="K1291" s="3"/>
      <c r="L1291" s="3"/>
      <c r="M1291" s="3"/>
      <c r="N1291" s="3"/>
      <c r="O1291" s="6">
        <v>22000</v>
      </c>
      <c r="P1291" s="3"/>
    </row>
    <row r="1292" spans="1:16" ht="15.75">
      <c r="A1292" s="3">
        <v>44</v>
      </c>
      <c r="B1292" s="4">
        <v>46245</v>
      </c>
      <c r="C1292" s="3" t="s">
        <v>51</v>
      </c>
      <c r="D1292" s="5" t="s">
        <v>351</v>
      </c>
      <c r="E1292" s="3" t="s">
        <v>308</v>
      </c>
      <c r="F1292" s="3" t="s">
        <v>360</v>
      </c>
      <c r="G1292" s="3" t="s">
        <v>365</v>
      </c>
      <c r="H1292" s="3">
        <v>9582305438</v>
      </c>
      <c r="I1292" s="3">
        <v>810</v>
      </c>
      <c r="J1292" s="3"/>
      <c r="K1292" s="3"/>
      <c r="L1292" s="3"/>
      <c r="M1292" s="3"/>
      <c r="N1292" s="3"/>
      <c r="O1292" s="6">
        <v>16200</v>
      </c>
      <c r="P1292" s="3"/>
    </row>
    <row r="1293" spans="1:16" ht="15.75">
      <c r="A1293" s="3">
        <v>45</v>
      </c>
      <c r="B1293" s="4">
        <v>46245</v>
      </c>
      <c r="C1293" s="3" t="s">
        <v>51</v>
      </c>
      <c r="D1293" s="5" t="s">
        <v>352</v>
      </c>
      <c r="E1293" s="3" t="s">
        <v>300</v>
      </c>
      <c r="F1293" s="3" t="s">
        <v>359</v>
      </c>
      <c r="G1293" s="3" t="s">
        <v>366</v>
      </c>
      <c r="H1293" s="3">
        <v>9813880978</v>
      </c>
      <c r="I1293" s="3">
        <v>810</v>
      </c>
      <c r="J1293" s="3"/>
      <c r="K1293" s="3"/>
      <c r="L1293" s="3"/>
      <c r="M1293" s="3"/>
      <c r="N1293" s="3"/>
      <c r="O1293" s="6">
        <v>16200</v>
      </c>
      <c r="P1293" s="3"/>
    </row>
    <row r="1294" spans="1:16" ht="15.75">
      <c r="A1294" s="3">
        <v>46</v>
      </c>
      <c r="B1294" s="4">
        <v>46245</v>
      </c>
      <c r="C1294" s="3" t="s">
        <v>51</v>
      </c>
      <c r="D1294" s="5" t="s">
        <v>353</v>
      </c>
      <c r="E1294" s="3" t="s">
        <v>308</v>
      </c>
      <c r="F1294" s="3" t="s">
        <v>361</v>
      </c>
      <c r="G1294" s="3" t="s">
        <v>367</v>
      </c>
      <c r="H1294" s="3">
        <v>9319848440</v>
      </c>
      <c r="I1294" s="3">
        <v>1000</v>
      </c>
      <c r="J1294" s="3"/>
      <c r="K1294" s="3"/>
      <c r="L1294" s="3"/>
      <c r="M1294" s="3"/>
      <c r="N1294" s="3"/>
      <c r="O1294" s="6">
        <v>22000</v>
      </c>
      <c r="P1294" s="3"/>
    </row>
    <row r="1295" spans="1:16" ht="15.75">
      <c r="A1295" s="3">
        <v>47</v>
      </c>
      <c r="B1295" s="4">
        <v>46245</v>
      </c>
      <c r="C1295" s="3" t="s">
        <v>51</v>
      </c>
      <c r="D1295" s="5" t="s">
        <v>354</v>
      </c>
      <c r="E1295" s="3" t="s">
        <v>308</v>
      </c>
      <c r="F1295" s="3" t="s">
        <v>203</v>
      </c>
      <c r="G1295" s="3" t="s">
        <v>368</v>
      </c>
      <c r="H1295" s="3">
        <v>9389488234</v>
      </c>
      <c r="I1295" s="3">
        <v>1000</v>
      </c>
      <c r="J1295" s="3"/>
      <c r="K1295" s="3"/>
      <c r="L1295" s="3"/>
      <c r="M1295" s="3"/>
      <c r="N1295" s="3"/>
      <c r="O1295" s="6">
        <v>22000</v>
      </c>
      <c r="P1295" s="3"/>
    </row>
    <row r="1296" spans="1:16" ht="15.75">
      <c r="A1296" s="3">
        <v>48</v>
      </c>
      <c r="B1296" s="4">
        <v>46245</v>
      </c>
      <c r="C1296" s="3" t="s">
        <v>51</v>
      </c>
      <c r="D1296" s="5" t="s">
        <v>355</v>
      </c>
      <c r="E1296" s="3" t="s">
        <v>308</v>
      </c>
      <c r="F1296" s="3" t="s">
        <v>362</v>
      </c>
      <c r="G1296" s="3" t="s">
        <v>369</v>
      </c>
      <c r="H1296" s="3">
        <v>9211692359</v>
      </c>
      <c r="I1296" s="3">
        <v>1000</v>
      </c>
      <c r="J1296" s="3"/>
      <c r="K1296" s="3"/>
      <c r="L1296" s="3"/>
      <c r="M1296" s="3"/>
      <c r="N1296" s="3"/>
      <c r="O1296" s="6">
        <v>22000</v>
      </c>
      <c r="P1296" s="3"/>
    </row>
    <row r="1297" spans="1:16" ht="15.75">
      <c r="A1297" s="3">
        <v>49</v>
      </c>
      <c r="B1297" s="4">
        <v>46245</v>
      </c>
      <c r="C1297" s="3" t="s">
        <v>51</v>
      </c>
      <c r="D1297" s="5" t="s">
        <v>356</v>
      </c>
      <c r="E1297" s="3" t="s">
        <v>357</v>
      </c>
      <c r="F1297" s="3" t="s">
        <v>363</v>
      </c>
      <c r="G1297" s="3" t="s">
        <v>68</v>
      </c>
      <c r="H1297" s="3">
        <v>7027202092</v>
      </c>
      <c r="I1297" s="3">
        <v>810</v>
      </c>
      <c r="J1297" s="3"/>
      <c r="K1297" s="3"/>
      <c r="L1297" s="3"/>
      <c r="M1297" s="3"/>
      <c r="N1297" s="3"/>
      <c r="O1297" s="6">
        <v>16200</v>
      </c>
      <c r="P1297" s="3"/>
    </row>
    <row r="1298" spans="1:16" ht="15.75">
      <c r="A1298" s="3">
        <v>50</v>
      </c>
      <c r="B1298" s="4">
        <v>46245</v>
      </c>
      <c r="C1298" s="3" t="s">
        <v>51</v>
      </c>
      <c r="D1298" s="5" t="s">
        <v>370</v>
      </c>
      <c r="E1298" s="3" t="s">
        <v>308</v>
      </c>
      <c r="F1298" s="3" t="s">
        <v>373</v>
      </c>
      <c r="G1298" s="3" t="s">
        <v>375</v>
      </c>
      <c r="H1298" s="3">
        <v>8929770356</v>
      </c>
      <c r="I1298" s="3">
        <v>1000</v>
      </c>
      <c r="J1298" s="3"/>
      <c r="K1298" s="3"/>
      <c r="L1298" s="3"/>
      <c r="M1298" s="3"/>
      <c r="N1298" s="3"/>
      <c r="O1298" s="6">
        <v>22000</v>
      </c>
      <c r="P1298" s="3"/>
    </row>
    <row r="1299" spans="1:16" ht="15.75">
      <c r="A1299" s="3">
        <v>51</v>
      </c>
      <c r="B1299" s="4">
        <v>46245</v>
      </c>
      <c r="C1299" s="3" t="s">
        <v>51</v>
      </c>
      <c r="D1299" s="5" t="s">
        <v>371</v>
      </c>
      <c r="E1299" s="3" t="s">
        <v>372</v>
      </c>
      <c r="F1299" s="3" t="s">
        <v>374</v>
      </c>
      <c r="G1299" s="3" t="s">
        <v>376</v>
      </c>
      <c r="H1299" s="3">
        <v>9996738835</v>
      </c>
      <c r="I1299" s="3">
        <v>810</v>
      </c>
      <c r="J1299" s="3"/>
      <c r="K1299" s="3"/>
      <c r="L1299" s="3"/>
      <c r="M1299" s="3"/>
      <c r="N1299" s="3"/>
      <c r="O1299" s="6">
        <v>16200</v>
      </c>
      <c r="P1299" s="3"/>
    </row>
    <row r="1300" spans="1:16" ht="15.75">
      <c r="A1300" s="3">
        <v>52</v>
      </c>
      <c r="B1300" s="4">
        <v>46245</v>
      </c>
      <c r="C1300" s="3" t="s">
        <v>51</v>
      </c>
      <c r="D1300" s="5" t="s">
        <v>377</v>
      </c>
      <c r="E1300" s="3" t="s">
        <v>308</v>
      </c>
      <c r="F1300" s="3" t="s">
        <v>384</v>
      </c>
      <c r="G1300" s="3" t="s">
        <v>390</v>
      </c>
      <c r="H1300" s="3">
        <v>9311578306</v>
      </c>
      <c r="I1300" s="3">
        <v>1000</v>
      </c>
      <c r="J1300" s="3"/>
      <c r="K1300" s="3"/>
      <c r="L1300" s="3"/>
      <c r="M1300" s="3"/>
      <c r="N1300" s="3"/>
      <c r="O1300" s="6">
        <v>22000</v>
      </c>
      <c r="P1300" s="3"/>
    </row>
    <row r="1301" spans="1:16" ht="15.75">
      <c r="A1301" s="3">
        <v>53</v>
      </c>
      <c r="B1301" s="4">
        <v>46245</v>
      </c>
      <c r="C1301" s="3" t="s">
        <v>51</v>
      </c>
      <c r="D1301" s="5" t="s">
        <v>378</v>
      </c>
      <c r="E1301" s="3" t="s">
        <v>308</v>
      </c>
      <c r="F1301" s="3" t="s">
        <v>385</v>
      </c>
      <c r="G1301" s="3" t="s">
        <v>54</v>
      </c>
      <c r="H1301" s="3">
        <v>9818635674</v>
      </c>
      <c r="I1301" s="3">
        <v>1000</v>
      </c>
      <c r="J1301" s="3"/>
      <c r="K1301" s="3"/>
      <c r="L1301" s="3"/>
      <c r="M1301" s="3"/>
      <c r="N1301" s="3"/>
      <c r="O1301" s="6">
        <v>22000</v>
      </c>
      <c r="P1301" s="3"/>
    </row>
    <row r="1302" spans="1:16" ht="15.75">
      <c r="A1302" s="3">
        <v>54</v>
      </c>
      <c r="B1302" s="4">
        <v>46245</v>
      </c>
      <c r="C1302" s="3" t="s">
        <v>51</v>
      </c>
      <c r="D1302" s="5" t="s">
        <v>379</v>
      </c>
      <c r="E1302" s="3" t="s">
        <v>130</v>
      </c>
      <c r="F1302" s="3" t="s">
        <v>132</v>
      </c>
      <c r="G1302" s="3" t="s">
        <v>391</v>
      </c>
      <c r="H1302" s="3">
        <v>9728976983</v>
      </c>
      <c r="I1302" s="3">
        <v>810</v>
      </c>
      <c r="J1302" s="3"/>
      <c r="K1302" s="3"/>
      <c r="L1302" s="3"/>
      <c r="M1302" s="3"/>
      <c r="N1302" s="3"/>
      <c r="O1302" s="6">
        <v>16200</v>
      </c>
      <c r="P1302" s="3"/>
    </row>
    <row r="1303" spans="1:16" ht="15.75">
      <c r="A1303" s="3">
        <v>55</v>
      </c>
      <c r="B1303" s="4">
        <v>46245</v>
      </c>
      <c r="C1303" s="3" t="s">
        <v>51</v>
      </c>
      <c r="D1303" s="5" t="s">
        <v>380</v>
      </c>
      <c r="E1303" s="3" t="s">
        <v>130</v>
      </c>
      <c r="F1303" s="3" t="s">
        <v>386</v>
      </c>
      <c r="G1303" s="3" t="s">
        <v>389</v>
      </c>
      <c r="H1303" s="3">
        <v>9671616193</v>
      </c>
      <c r="I1303" s="3">
        <v>810</v>
      </c>
      <c r="J1303" s="3"/>
      <c r="K1303" s="3"/>
      <c r="L1303" s="3"/>
      <c r="M1303" s="3"/>
      <c r="N1303" s="3"/>
      <c r="O1303" s="6">
        <v>16200</v>
      </c>
      <c r="P1303" s="3"/>
    </row>
    <row r="1304" spans="1:16" ht="15.75">
      <c r="A1304" s="3">
        <v>56</v>
      </c>
      <c r="B1304" s="4">
        <v>46245</v>
      </c>
      <c r="C1304" s="3" t="s">
        <v>51</v>
      </c>
      <c r="D1304" s="5" t="s">
        <v>424</v>
      </c>
      <c r="E1304" s="3" t="s">
        <v>431</v>
      </c>
      <c r="F1304" s="3" t="s">
        <v>435</v>
      </c>
      <c r="G1304" s="3" t="s">
        <v>388</v>
      </c>
      <c r="H1304" s="3">
        <v>9812971544</v>
      </c>
      <c r="I1304" s="3">
        <v>1000</v>
      </c>
      <c r="J1304" s="3"/>
      <c r="K1304" s="3"/>
      <c r="L1304" s="3"/>
      <c r="M1304" s="3"/>
      <c r="N1304" s="3"/>
      <c r="O1304" s="6">
        <v>24000</v>
      </c>
      <c r="P1304" s="3"/>
    </row>
    <row r="1305" spans="1:16" ht="15.75">
      <c r="A1305" s="3">
        <v>57</v>
      </c>
      <c r="B1305" s="4">
        <v>46245</v>
      </c>
      <c r="C1305" s="3" t="s">
        <v>51</v>
      </c>
      <c r="D1305" s="5" t="s">
        <v>425</v>
      </c>
      <c r="E1305" s="3" t="s">
        <v>434</v>
      </c>
      <c r="F1305" s="3" t="s">
        <v>436</v>
      </c>
      <c r="G1305" s="3" t="s">
        <v>439</v>
      </c>
      <c r="H1305" s="3">
        <v>7027263992</v>
      </c>
      <c r="I1305" s="3">
        <v>810</v>
      </c>
      <c r="J1305" s="3"/>
      <c r="K1305" s="3"/>
      <c r="L1305" s="3"/>
      <c r="M1305" s="3"/>
      <c r="N1305" s="3"/>
      <c r="O1305" s="6">
        <v>17820</v>
      </c>
      <c r="P1305" s="3"/>
    </row>
    <row r="1306" spans="1:16" ht="15.75">
      <c r="A1306" s="3">
        <v>58</v>
      </c>
      <c r="B1306" s="4">
        <v>46245</v>
      </c>
      <c r="C1306" s="3" t="s">
        <v>51</v>
      </c>
      <c r="D1306" s="5" t="s">
        <v>426</v>
      </c>
      <c r="E1306" s="3" t="s">
        <v>432</v>
      </c>
      <c r="F1306" s="3" t="s">
        <v>71</v>
      </c>
      <c r="G1306" s="3" t="s">
        <v>259</v>
      </c>
      <c r="H1306" s="3">
        <v>7428815941</v>
      </c>
      <c r="I1306" s="3">
        <v>810</v>
      </c>
      <c r="J1306" s="3"/>
      <c r="K1306" s="3"/>
      <c r="L1306" s="3"/>
      <c r="M1306" s="3"/>
      <c r="N1306" s="3"/>
      <c r="O1306" s="6">
        <v>18630</v>
      </c>
      <c r="P1306" s="3"/>
    </row>
    <row r="1307" spans="1:16" ht="15.75">
      <c r="A1307" s="3">
        <v>59</v>
      </c>
      <c r="B1307" s="4">
        <v>46245</v>
      </c>
      <c r="C1307" s="3" t="s">
        <v>51</v>
      </c>
      <c r="D1307" s="5" t="s">
        <v>427</v>
      </c>
      <c r="E1307" s="3" t="s">
        <v>433</v>
      </c>
      <c r="F1307" s="3" t="s">
        <v>437</v>
      </c>
      <c r="G1307" s="3" t="s">
        <v>440</v>
      </c>
      <c r="H1307" s="3">
        <v>9992517804</v>
      </c>
      <c r="I1307" s="3">
        <v>1000</v>
      </c>
      <c r="J1307" s="3"/>
      <c r="K1307" s="3"/>
      <c r="L1307" s="3"/>
      <c r="M1307" s="3"/>
      <c r="N1307" s="3"/>
      <c r="O1307" s="6">
        <v>24000</v>
      </c>
      <c r="P1307" s="3"/>
    </row>
    <row r="1308" spans="1:16" ht="15.75">
      <c r="A1308" s="3">
        <v>60</v>
      </c>
      <c r="B1308" s="4">
        <v>46245</v>
      </c>
      <c r="C1308" s="3" t="s">
        <v>51</v>
      </c>
      <c r="D1308" s="5" t="s">
        <v>449</v>
      </c>
      <c r="E1308" s="3" t="s">
        <v>451</v>
      </c>
      <c r="F1308" s="3" t="s">
        <v>132</v>
      </c>
      <c r="G1308" s="3" t="s">
        <v>450</v>
      </c>
      <c r="H1308" s="3">
        <v>8178071116</v>
      </c>
      <c r="I1308" s="3">
        <v>1000</v>
      </c>
      <c r="J1308" s="3"/>
      <c r="K1308" s="3"/>
      <c r="L1308" s="3"/>
      <c r="M1308" s="3"/>
      <c r="N1308" s="3"/>
      <c r="O1308" s="6">
        <v>25000</v>
      </c>
      <c r="P1308" s="3"/>
    </row>
    <row r="1309" spans="1:16" ht="15.75">
      <c r="A1309" s="3">
        <v>61</v>
      </c>
      <c r="B1309" s="4">
        <v>46245</v>
      </c>
      <c r="C1309" s="3" t="s">
        <v>51</v>
      </c>
      <c r="D1309" s="6" t="s">
        <v>452</v>
      </c>
      <c r="E1309" s="3" t="s">
        <v>453</v>
      </c>
      <c r="F1309" s="3" t="s">
        <v>454</v>
      </c>
      <c r="G1309" s="3" t="s">
        <v>182</v>
      </c>
      <c r="H1309" s="3">
        <v>9354235940</v>
      </c>
      <c r="I1309" s="3">
        <v>1000</v>
      </c>
      <c r="J1309" s="3"/>
      <c r="K1309" s="3"/>
      <c r="L1309" s="3"/>
      <c r="M1309" s="3"/>
      <c r="N1309" s="3"/>
      <c r="O1309" s="6">
        <v>25000</v>
      </c>
      <c r="P1309" s="3"/>
    </row>
    <row r="1310" spans="1:16" ht="15.75">
      <c r="A1310" s="3">
        <v>62</v>
      </c>
      <c r="B1310" s="4">
        <v>46245</v>
      </c>
      <c r="C1310" s="3" t="s">
        <v>51</v>
      </c>
      <c r="D1310" s="6" t="s">
        <v>455</v>
      </c>
      <c r="E1310" s="3" t="s">
        <v>456</v>
      </c>
      <c r="F1310" s="3" t="s">
        <v>457</v>
      </c>
      <c r="G1310" s="3" t="s">
        <v>458</v>
      </c>
      <c r="H1310" s="3">
        <v>9821138185</v>
      </c>
      <c r="I1310" s="3">
        <v>1000</v>
      </c>
      <c r="J1310" s="3"/>
      <c r="K1310" s="3"/>
      <c r="L1310" s="3"/>
      <c r="M1310" s="3"/>
      <c r="N1310" s="3"/>
      <c r="O1310" s="6">
        <v>25000</v>
      </c>
      <c r="P1310" s="3"/>
    </row>
    <row r="1311" spans="1:16" ht="15.75">
      <c r="A1311" s="3">
        <v>63</v>
      </c>
      <c r="B1311" s="4">
        <v>46245</v>
      </c>
      <c r="C1311" s="3" t="s">
        <v>51</v>
      </c>
      <c r="D1311" s="6" t="s">
        <v>459</v>
      </c>
      <c r="E1311" s="3" t="s">
        <v>453</v>
      </c>
      <c r="F1311" s="3" t="s">
        <v>166</v>
      </c>
      <c r="G1311" s="3" t="s">
        <v>472</v>
      </c>
      <c r="H1311" s="3">
        <v>9910123112</v>
      </c>
      <c r="I1311" s="3">
        <v>810</v>
      </c>
      <c r="J1311" s="3"/>
      <c r="K1311" s="3"/>
      <c r="L1311" s="3"/>
      <c r="M1311" s="3"/>
      <c r="N1311" s="3"/>
      <c r="O1311" s="6">
        <v>20250</v>
      </c>
      <c r="P1311" s="3"/>
    </row>
    <row r="1312" spans="1:16" ht="15.75">
      <c r="A1312" s="3">
        <v>64</v>
      </c>
      <c r="B1312" s="4">
        <v>46245</v>
      </c>
      <c r="C1312" s="3" t="s">
        <v>51</v>
      </c>
      <c r="D1312" s="6" t="s">
        <v>461</v>
      </c>
      <c r="E1312" s="3" t="s">
        <v>430</v>
      </c>
      <c r="F1312" s="3" t="s">
        <v>231</v>
      </c>
      <c r="G1312" s="3" t="s">
        <v>471</v>
      </c>
      <c r="H1312" s="3">
        <v>9992711616</v>
      </c>
      <c r="I1312" s="3">
        <v>810</v>
      </c>
      <c r="J1312" s="3"/>
      <c r="K1312" s="3"/>
      <c r="L1312" s="3"/>
      <c r="M1312" s="3"/>
      <c r="N1312" s="3"/>
      <c r="O1312" s="6">
        <v>20250</v>
      </c>
      <c r="P1312" s="3"/>
    </row>
    <row r="1313" spans="1:16" ht="15.75">
      <c r="A1313" s="3">
        <v>65</v>
      </c>
      <c r="B1313" s="4">
        <v>46245</v>
      </c>
      <c r="C1313" s="3" t="s">
        <v>51</v>
      </c>
      <c r="D1313" s="6" t="s">
        <v>462</v>
      </c>
      <c r="E1313" s="3" t="s">
        <v>308</v>
      </c>
      <c r="F1313" s="3" t="s">
        <v>133</v>
      </c>
      <c r="G1313" s="3" t="s">
        <v>473</v>
      </c>
      <c r="H1313" s="3">
        <v>8178672126</v>
      </c>
      <c r="I1313" s="3">
        <v>810</v>
      </c>
      <c r="J1313" s="3"/>
      <c r="K1313" s="3"/>
      <c r="L1313" s="3"/>
      <c r="M1313" s="3"/>
      <c r="N1313" s="3"/>
      <c r="O1313" s="6">
        <v>20250</v>
      </c>
      <c r="P1313" s="3"/>
    </row>
    <row r="1314" spans="1:16" ht="15.75">
      <c r="A1314" s="3">
        <v>66</v>
      </c>
      <c r="B1314" s="4">
        <v>46245</v>
      </c>
      <c r="C1314" s="3" t="s">
        <v>51</v>
      </c>
      <c r="D1314" s="6" t="s">
        <v>463</v>
      </c>
      <c r="E1314" s="3" t="s">
        <v>453</v>
      </c>
      <c r="F1314" s="3" t="s">
        <v>468</v>
      </c>
      <c r="G1314" s="3" t="s">
        <v>474</v>
      </c>
      <c r="H1314" s="3">
        <v>8570025549</v>
      </c>
      <c r="I1314" s="3">
        <v>1000</v>
      </c>
      <c r="J1314" s="3"/>
      <c r="K1314" s="3"/>
      <c r="L1314" s="3"/>
      <c r="M1314" s="3"/>
      <c r="N1314" s="3"/>
      <c r="O1314" s="6">
        <v>27000</v>
      </c>
      <c r="P1314" s="3"/>
    </row>
    <row r="1315" spans="1:16" ht="15.75">
      <c r="A1315" s="3">
        <v>67</v>
      </c>
      <c r="B1315" s="4">
        <v>46245</v>
      </c>
      <c r="C1315" s="3" t="s">
        <v>51</v>
      </c>
      <c r="D1315" s="6" t="s">
        <v>464</v>
      </c>
      <c r="E1315" s="3" t="s">
        <v>453</v>
      </c>
      <c r="F1315" s="3" t="s">
        <v>71</v>
      </c>
      <c r="G1315" s="3" t="s">
        <v>475</v>
      </c>
      <c r="H1315" s="3">
        <v>9728970947</v>
      </c>
      <c r="I1315" s="3">
        <v>810</v>
      </c>
      <c r="J1315" s="3"/>
      <c r="K1315" s="3"/>
      <c r="L1315" s="3"/>
      <c r="M1315" s="3"/>
      <c r="N1315" s="3"/>
      <c r="O1315" s="6">
        <v>20250</v>
      </c>
      <c r="P1315" s="3"/>
    </row>
    <row r="1316" spans="1:16" ht="15.75">
      <c r="A1316" s="3">
        <v>68</v>
      </c>
      <c r="B1316" s="4">
        <v>46245</v>
      </c>
      <c r="C1316" s="3" t="s">
        <v>51</v>
      </c>
      <c r="D1316" s="6" t="s">
        <v>465</v>
      </c>
      <c r="E1316" s="3" t="s">
        <v>225</v>
      </c>
      <c r="F1316" s="3" t="s">
        <v>217</v>
      </c>
      <c r="G1316" s="3" t="s">
        <v>253</v>
      </c>
      <c r="H1316" s="3">
        <v>9306199188</v>
      </c>
      <c r="I1316" s="3">
        <v>1000</v>
      </c>
      <c r="J1316" s="3"/>
      <c r="K1316" s="3"/>
      <c r="L1316" s="3"/>
      <c r="M1316" s="3"/>
      <c r="N1316" s="3"/>
      <c r="O1316" s="6">
        <v>27000</v>
      </c>
      <c r="P1316" s="3"/>
    </row>
    <row r="1317" spans="1:16" ht="15.75">
      <c r="A1317" s="3">
        <v>69</v>
      </c>
      <c r="B1317" s="4">
        <v>46245</v>
      </c>
      <c r="C1317" s="3" t="s">
        <v>51</v>
      </c>
      <c r="D1317" s="6" t="s">
        <v>466</v>
      </c>
      <c r="E1317" s="3" t="s">
        <v>453</v>
      </c>
      <c r="F1317" s="3" t="s">
        <v>469</v>
      </c>
      <c r="G1317" s="3" t="s">
        <v>476</v>
      </c>
      <c r="H1317" s="3">
        <v>8059713208</v>
      </c>
      <c r="I1317" s="3">
        <v>1000</v>
      </c>
      <c r="J1317" s="3"/>
      <c r="K1317" s="3"/>
      <c r="L1317" s="3"/>
      <c r="M1317" s="3"/>
      <c r="N1317" s="3"/>
      <c r="O1317" s="6">
        <v>27000</v>
      </c>
      <c r="P1317" s="3"/>
    </row>
    <row r="1318" spans="1:16" ht="15.75">
      <c r="A1318" s="3">
        <v>70</v>
      </c>
      <c r="B1318" s="4">
        <v>46245</v>
      </c>
      <c r="C1318" s="3" t="s">
        <v>51</v>
      </c>
      <c r="D1318" s="6" t="s">
        <v>477</v>
      </c>
      <c r="E1318" s="3" t="s">
        <v>226</v>
      </c>
      <c r="F1318" s="3" t="s">
        <v>479</v>
      </c>
      <c r="G1318" s="3" t="s">
        <v>481</v>
      </c>
      <c r="H1318" s="3">
        <v>7056835124</v>
      </c>
      <c r="I1318" s="3">
        <v>1000</v>
      </c>
      <c r="J1318" s="3"/>
      <c r="K1318" s="3"/>
      <c r="L1318" s="3"/>
      <c r="M1318" s="3"/>
      <c r="N1318" s="3"/>
      <c r="O1318" s="6">
        <v>27000</v>
      </c>
      <c r="P1318" s="3"/>
    </row>
    <row r="1319" spans="1:16" ht="15.75">
      <c r="A1319" s="3">
        <v>71</v>
      </c>
      <c r="B1319" s="4">
        <v>46245</v>
      </c>
      <c r="C1319" s="3" t="s">
        <v>51</v>
      </c>
      <c r="D1319" s="6" t="s">
        <v>482</v>
      </c>
      <c r="E1319" s="3" t="s">
        <v>225</v>
      </c>
      <c r="F1319" s="3" t="s">
        <v>485</v>
      </c>
      <c r="G1319" s="3" t="s">
        <v>487</v>
      </c>
      <c r="H1319" s="3">
        <v>9253328570</v>
      </c>
      <c r="I1319" s="3">
        <v>1000</v>
      </c>
      <c r="J1319" s="3"/>
      <c r="K1319" s="3"/>
      <c r="L1319" s="3"/>
      <c r="M1319" s="3"/>
      <c r="N1319" s="3"/>
      <c r="O1319" s="6">
        <v>26000</v>
      </c>
      <c r="P1319" s="3"/>
    </row>
    <row r="1320" spans="1:16" ht="15.75">
      <c r="A1320" s="3">
        <v>72</v>
      </c>
      <c r="B1320" s="4">
        <v>46245</v>
      </c>
      <c r="C1320" s="3" t="s">
        <v>51</v>
      </c>
      <c r="D1320" s="6" t="s">
        <v>483</v>
      </c>
      <c r="E1320" s="3" t="s">
        <v>484</v>
      </c>
      <c r="F1320" s="3" t="s">
        <v>486</v>
      </c>
      <c r="G1320" s="3" t="s">
        <v>240</v>
      </c>
      <c r="H1320" s="3">
        <v>8955919046</v>
      </c>
      <c r="I1320" s="3">
        <v>1000</v>
      </c>
      <c r="J1320" s="3"/>
      <c r="K1320" s="3"/>
      <c r="L1320" s="3"/>
      <c r="M1320" s="3"/>
      <c r="N1320" s="3"/>
      <c r="O1320" s="6">
        <v>26000</v>
      </c>
      <c r="P1320" s="3"/>
    </row>
    <row r="1321" spans="1:16" ht="15.75">
      <c r="A1321" s="3">
        <v>73</v>
      </c>
      <c r="B1321" s="4">
        <v>46245</v>
      </c>
      <c r="C1321" s="3" t="s">
        <v>51</v>
      </c>
      <c r="D1321" s="6" t="s">
        <v>490</v>
      </c>
      <c r="E1321" s="3" t="s">
        <v>492</v>
      </c>
      <c r="F1321" s="3" t="s">
        <v>323</v>
      </c>
      <c r="G1321" s="3" t="s">
        <v>494</v>
      </c>
      <c r="H1321" s="3">
        <v>8607616916</v>
      </c>
      <c r="I1321" s="3">
        <v>810</v>
      </c>
      <c r="J1321" s="3"/>
      <c r="K1321" s="3"/>
      <c r="L1321" s="3"/>
      <c r="M1321" s="3"/>
      <c r="N1321" s="3"/>
      <c r="O1321" s="6">
        <v>20250</v>
      </c>
      <c r="P1321" s="3"/>
    </row>
    <row r="1322" spans="1:16" ht="15.75">
      <c r="A1322" s="3">
        <v>74</v>
      </c>
      <c r="B1322" s="4">
        <v>46245</v>
      </c>
      <c r="C1322" s="3" t="s">
        <v>51</v>
      </c>
      <c r="D1322" s="6" t="s">
        <v>497</v>
      </c>
      <c r="E1322" s="3" t="s">
        <v>500</v>
      </c>
      <c r="F1322" s="3" t="s">
        <v>498</v>
      </c>
      <c r="G1322" s="3" t="s">
        <v>316</v>
      </c>
      <c r="H1322" s="3">
        <v>8930736392</v>
      </c>
      <c r="I1322" s="3">
        <v>1000</v>
      </c>
      <c r="J1322" s="3"/>
      <c r="K1322" s="3"/>
      <c r="L1322" s="3"/>
      <c r="M1322" s="3"/>
      <c r="N1322" s="3"/>
      <c r="O1322" s="6">
        <v>26000</v>
      </c>
      <c r="P1322" s="3"/>
    </row>
    <row r="1323" spans="1:16" ht="15.75">
      <c r="A1323" s="3">
        <v>75</v>
      </c>
      <c r="B1323" s="4">
        <v>46245</v>
      </c>
      <c r="C1323" s="3" t="s">
        <v>51</v>
      </c>
      <c r="D1323" s="6" t="s">
        <v>503</v>
      </c>
      <c r="E1323" s="3" t="s">
        <v>505</v>
      </c>
      <c r="F1323" s="3" t="s">
        <v>83</v>
      </c>
      <c r="G1323" s="3" t="s">
        <v>443</v>
      </c>
      <c r="H1323" s="3">
        <v>8595468423</v>
      </c>
      <c r="I1323" s="3">
        <v>1000</v>
      </c>
      <c r="J1323" s="3"/>
      <c r="K1323" s="3"/>
      <c r="L1323" s="3"/>
      <c r="M1323" s="3"/>
      <c r="N1323" s="3"/>
      <c r="O1323" s="6">
        <v>26000</v>
      </c>
      <c r="P1323" s="3"/>
    </row>
    <row r="1324" spans="1:16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1:16">
      <c r="A1325" s="3"/>
      <c r="B1325" s="3"/>
      <c r="C1325" s="3"/>
      <c r="D1325" s="3"/>
      <c r="E1325" s="3"/>
      <c r="F1325" s="3"/>
      <c r="G1325" s="3"/>
      <c r="H1325" s="3"/>
      <c r="I1325" s="3">
        <f>SUM(I1249:I1324)</f>
        <v>64540</v>
      </c>
      <c r="J1325" s="3"/>
      <c r="K1325" s="3"/>
      <c r="L1325" s="3"/>
      <c r="M1325" s="3"/>
      <c r="N1325" s="3"/>
      <c r="O1325" s="3">
        <f>SUM(O1249:O1324)</f>
        <v>1366100</v>
      </c>
      <c r="P1325" s="3"/>
    </row>
    <row r="1329" spans="1:16" ht="27.75">
      <c r="A1329" s="142" t="s">
        <v>102</v>
      </c>
      <c r="B1329" s="142"/>
      <c r="C1329" s="142"/>
      <c r="D1329" s="142"/>
      <c r="E1329" s="142"/>
      <c r="F1329" s="142"/>
      <c r="G1329" s="142"/>
      <c r="H1329" s="142"/>
      <c r="I1329" s="142"/>
      <c r="J1329" s="142"/>
      <c r="K1329" s="142"/>
      <c r="L1329" s="142"/>
      <c r="M1329" s="142"/>
      <c r="N1329" s="142"/>
      <c r="O1329" s="142"/>
      <c r="P1329" s="142"/>
    </row>
    <row r="1330" spans="1:16" ht="75">
      <c r="A1330" s="1" t="s">
        <v>87</v>
      </c>
      <c r="B1330" s="1" t="s">
        <v>103</v>
      </c>
      <c r="C1330" s="1" t="s">
        <v>88</v>
      </c>
      <c r="D1330" s="1" t="s">
        <v>104</v>
      </c>
      <c r="E1330" s="1" t="s">
        <v>105</v>
      </c>
      <c r="F1330" s="1" t="s">
        <v>106</v>
      </c>
      <c r="G1330" s="1" t="s">
        <v>93</v>
      </c>
      <c r="H1330" s="1" t="s">
        <v>107</v>
      </c>
      <c r="I1330" s="1" t="s">
        <v>108</v>
      </c>
      <c r="J1330" s="1" t="s">
        <v>109</v>
      </c>
      <c r="K1330" s="1" t="s">
        <v>110</v>
      </c>
      <c r="L1330" s="1" t="s">
        <v>21</v>
      </c>
      <c r="M1330" s="1" t="s">
        <v>45</v>
      </c>
      <c r="N1330" s="1" t="s">
        <v>111</v>
      </c>
      <c r="O1330" s="2" t="s">
        <v>112</v>
      </c>
      <c r="P1330" s="1" t="s">
        <v>113</v>
      </c>
    </row>
    <row r="1331" spans="1:16" ht="15.75">
      <c r="A1331" s="97">
        <v>1</v>
      </c>
      <c r="B1331" s="98">
        <v>46246</v>
      </c>
      <c r="C1331" s="97" t="s">
        <v>51</v>
      </c>
      <c r="D1331" s="5" t="s">
        <v>56</v>
      </c>
      <c r="E1331" s="5" t="s">
        <v>49</v>
      </c>
      <c r="F1331" s="5" t="s">
        <v>53</v>
      </c>
      <c r="G1331" s="5" t="s">
        <v>54</v>
      </c>
      <c r="H1331" s="5">
        <v>9416205447</v>
      </c>
      <c r="I1331" s="5">
        <v>750</v>
      </c>
      <c r="J1331" s="97"/>
      <c r="K1331" s="97"/>
      <c r="L1331" s="97"/>
      <c r="M1331" s="97"/>
      <c r="N1331" s="97"/>
      <c r="O1331" s="5">
        <v>8250</v>
      </c>
      <c r="P1331" s="97"/>
    </row>
    <row r="1332" spans="1:16" ht="15.75">
      <c r="A1332" s="97">
        <v>2</v>
      </c>
      <c r="B1332" s="98">
        <v>46246</v>
      </c>
      <c r="C1332" s="97" t="s">
        <v>51</v>
      </c>
      <c r="D1332" s="5" t="s">
        <v>65</v>
      </c>
      <c r="E1332" s="5" t="s">
        <v>62</v>
      </c>
      <c r="F1332" s="5" t="s">
        <v>63</v>
      </c>
      <c r="G1332" s="5" t="s">
        <v>64</v>
      </c>
      <c r="H1332" s="5">
        <v>9050560127</v>
      </c>
      <c r="I1332" s="5">
        <v>750</v>
      </c>
      <c r="J1332" s="97"/>
      <c r="K1332" s="97"/>
      <c r="L1332" s="97"/>
      <c r="M1332" s="97">
        <v>750</v>
      </c>
      <c r="N1332" s="97"/>
      <c r="O1332" s="5">
        <v>8250</v>
      </c>
      <c r="P1332" s="97"/>
    </row>
    <row r="1333" spans="1:16" ht="15.75">
      <c r="A1333" s="97">
        <v>3</v>
      </c>
      <c r="B1333" s="98">
        <v>46246</v>
      </c>
      <c r="C1333" s="97" t="s">
        <v>51</v>
      </c>
      <c r="D1333" s="5" t="s">
        <v>76</v>
      </c>
      <c r="E1333" s="5" t="s">
        <v>62</v>
      </c>
      <c r="F1333" s="6" t="s">
        <v>74</v>
      </c>
      <c r="G1333" s="6" t="s">
        <v>75</v>
      </c>
      <c r="H1333" s="6">
        <v>8607782625</v>
      </c>
      <c r="I1333" s="5">
        <v>750</v>
      </c>
      <c r="J1333" s="97"/>
      <c r="K1333" s="97"/>
      <c r="L1333" s="97"/>
      <c r="M1333" s="97">
        <v>750</v>
      </c>
      <c r="N1333" s="97"/>
      <c r="O1333" s="5">
        <v>8250</v>
      </c>
      <c r="P1333" s="97"/>
    </row>
    <row r="1334" spans="1:16" ht="15.75">
      <c r="A1334" s="97">
        <v>4</v>
      </c>
      <c r="B1334" s="98">
        <v>46246</v>
      </c>
      <c r="C1334" s="97" t="s">
        <v>51</v>
      </c>
      <c r="D1334" s="5" t="s">
        <v>116</v>
      </c>
      <c r="E1334" s="10" t="s">
        <v>118</v>
      </c>
      <c r="F1334" s="10" t="s">
        <v>122</v>
      </c>
      <c r="G1334" s="10" t="s">
        <v>126</v>
      </c>
      <c r="H1334" s="10">
        <v>9971164371</v>
      </c>
      <c r="I1334" s="10">
        <v>750</v>
      </c>
      <c r="J1334" s="97"/>
      <c r="K1334" s="97"/>
      <c r="L1334" s="97"/>
      <c r="M1334" s="97"/>
      <c r="N1334" s="97"/>
      <c r="O1334" s="5">
        <v>9000</v>
      </c>
      <c r="P1334" s="97"/>
    </row>
    <row r="1335" spans="1:16" ht="15.75">
      <c r="A1335" s="97">
        <v>5</v>
      </c>
      <c r="B1335" s="98">
        <v>46246</v>
      </c>
      <c r="C1335" s="97" t="s">
        <v>51</v>
      </c>
      <c r="D1335" s="5" t="s">
        <v>117</v>
      </c>
      <c r="E1335" s="10" t="s">
        <v>119</v>
      </c>
      <c r="F1335" s="10" t="s">
        <v>123</v>
      </c>
      <c r="G1335" s="10" t="s">
        <v>127</v>
      </c>
      <c r="H1335" s="10">
        <v>8816966347</v>
      </c>
      <c r="I1335" s="10">
        <v>750</v>
      </c>
      <c r="J1335" s="97"/>
      <c r="K1335" s="97"/>
      <c r="L1335" s="97"/>
      <c r="M1335" s="97"/>
      <c r="N1335" s="97"/>
      <c r="O1335" s="5">
        <v>9000</v>
      </c>
      <c r="P1335" s="97"/>
    </row>
    <row r="1336" spans="1:16" ht="15.75">
      <c r="A1336" s="97">
        <v>6</v>
      </c>
      <c r="B1336" s="98">
        <v>46246</v>
      </c>
      <c r="C1336" s="97" t="s">
        <v>51</v>
      </c>
      <c r="D1336" s="5" t="s">
        <v>146</v>
      </c>
      <c r="E1336" s="5" t="s">
        <v>128</v>
      </c>
      <c r="F1336" s="5" t="s">
        <v>131</v>
      </c>
      <c r="G1336" s="5" t="s">
        <v>139</v>
      </c>
      <c r="H1336" s="5">
        <v>8295428639</v>
      </c>
      <c r="I1336" s="5">
        <v>800</v>
      </c>
      <c r="J1336" s="97"/>
      <c r="K1336" s="97"/>
      <c r="L1336" s="97"/>
      <c r="M1336" s="97">
        <v>800</v>
      </c>
      <c r="N1336" s="97"/>
      <c r="O1336" s="5">
        <v>16800</v>
      </c>
      <c r="P1336" s="97"/>
    </row>
    <row r="1337" spans="1:16" ht="15.75">
      <c r="A1337" s="97">
        <v>7</v>
      </c>
      <c r="B1337" s="98">
        <v>46246</v>
      </c>
      <c r="C1337" s="97" t="s">
        <v>51</v>
      </c>
      <c r="D1337" s="5" t="s">
        <v>148</v>
      </c>
      <c r="E1337" s="5" t="s">
        <v>130</v>
      </c>
      <c r="F1337" s="5" t="s">
        <v>133</v>
      </c>
      <c r="G1337" s="5" t="s">
        <v>68</v>
      </c>
      <c r="H1337" s="5">
        <v>9050180519</v>
      </c>
      <c r="I1337" s="6">
        <v>750</v>
      </c>
      <c r="J1337" s="97"/>
      <c r="K1337" s="97"/>
      <c r="L1337" s="97"/>
      <c r="M1337" s="97">
        <v>750</v>
      </c>
      <c r="N1337" s="97"/>
      <c r="O1337" s="5">
        <v>12000</v>
      </c>
      <c r="P1337" s="97"/>
    </row>
    <row r="1338" spans="1:16" ht="15.75">
      <c r="A1338" s="97">
        <v>8</v>
      </c>
      <c r="B1338" s="98">
        <v>46246</v>
      </c>
      <c r="C1338" s="97" t="s">
        <v>51</v>
      </c>
      <c r="D1338" s="5" t="s">
        <v>149</v>
      </c>
      <c r="E1338" s="5" t="s">
        <v>119</v>
      </c>
      <c r="F1338" s="5" t="s">
        <v>134</v>
      </c>
      <c r="G1338" s="5" t="s">
        <v>141</v>
      </c>
      <c r="H1338" s="5">
        <v>9671597235</v>
      </c>
      <c r="I1338" s="5">
        <v>800</v>
      </c>
      <c r="J1338" s="97"/>
      <c r="K1338" s="97"/>
      <c r="L1338" s="97"/>
      <c r="M1338" s="97"/>
      <c r="N1338" s="97"/>
      <c r="O1338" s="5">
        <v>16800</v>
      </c>
      <c r="P1338" s="97"/>
    </row>
    <row r="1339" spans="1:16" ht="15.75">
      <c r="A1339" s="97">
        <v>9</v>
      </c>
      <c r="B1339" s="98">
        <v>46246</v>
      </c>
      <c r="C1339" s="97" t="s">
        <v>51</v>
      </c>
      <c r="D1339" s="5" t="s">
        <v>150</v>
      </c>
      <c r="E1339" s="5" t="s">
        <v>119</v>
      </c>
      <c r="F1339" s="5" t="s">
        <v>135</v>
      </c>
      <c r="G1339" s="5" t="s">
        <v>142</v>
      </c>
      <c r="H1339" s="5">
        <v>9729501850</v>
      </c>
      <c r="I1339" s="5">
        <v>800</v>
      </c>
      <c r="J1339" s="97"/>
      <c r="K1339" s="97"/>
      <c r="L1339" s="97"/>
      <c r="M1339" s="97"/>
      <c r="N1339" s="97"/>
      <c r="O1339" s="5">
        <v>16800</v>
      </c>
      <c r="P1339" s="97"/>
    </row>
    <row r="1340" spans="1:16" ht="15.75">
      <c r="A1340" s="97">
        <v>10</v>
      </c>
      <c r="B1340" s="98">
        <v>46246</v>
      </c>
      <c r="C1340" s="97" t="s">
        <v>51</v>
      </c>
      <c r="D1340" s="5" t="s">
        <v>152</v>
      </c>
      <c r="E1340" s="5" t="s">
        <v>119</v>
      </c>
      <c r="F1340" s="5" t="s">
        <v>137</v>
      </c>
      <c r="G1340" s="5" t="s">
        <v>144</v>
      </c>
      <c r="H1340" s="5">
        <v>9991638771</v>
      </c>
      <c r="I1340" s="5">
        <v>800</v>
      </c>
      <c r="J1340" s="97"/>
      <c r="K1340" s="97"/>
      <c r="L1340" s="97"/>
      <c r="M1340" s="97"/>
      <c r="N1340" s="97"/>
      <c r="O1340" s="5">
        <v>16800</v>
      </c>
      <c r="P1340" s="97"/>
    </row>
    <row r="1341" spans="1:16" ht="15.75">
      <c r="A1341" s="97">
        <v>11</v>
      </c>
      <c r="B1341" s="98">
        <v>46246</v>
      </c>
      <c r="C1341" s="97" t="s">
        <v>51</v>
      </c>
      <c r="D1341" s="5" t="s">
        <v>158</v>
      </c>
      <c r="E1341" s="10" t="s">
        <v>119</v>
      </c>
      <c r="F1341" s="10" t="s">
        <v>71</v>
      </c>
      <c r="G1341" s="10" t="s">
        <v>167</v>
      </c>
      <c r="H1341" s="10">
        <v>9992401965</v>
      </c>
      <c r="I1341" s="5">
        <v>800</v>
      </c>
      <c r="J1341" s="97"/>
      <c r="K1341" s="97"/>
      <c r="L1341" s="97"/>
      <c r="M1341" s="97"/>
      <c r="N1341" s="97"/>
      <c r="O1341" s="5">
        <v>16800</v>
      </c>
      <c r="P1341" s="97"/>
    </row>
    <row r="1342" spans="1:16" ht="15.75">
      <c r="A1342" s="97">
        <v>12</v>
      </c>
      <c r="B1342" s="98">
        <v>46246</v>
      </c>
      <c r="C1342" s="97" t="s">
        <v>51</v>
      </c>
      <c r="D1342" s="5" t="s">
        <v>159</v>
      </c>
      <c r="E1342" s="10" t="s">
        <v>171</v>
      </c>
      <c r="F1342" s="10" t="s">
        <v>163</v>
      </c>
      <c r="G1342" s="10" t="s">
        <v>168</v>
      </c>
      <c r="H1342" s="10">
        <v>7404474940</v>
      </c>
      <c r="I1342" s="6">
        <v>750</v>
      </c>
      <c r="J1342" s="97"/>
      <c r="K1342" s="97"/>
      <c r="L1342" s="97"/>
      <c r="M1342" s="97">
        <v>750</v>
      </c>
      <c r="N1342" s="97"/>
      <c r="O1342" s="5">
        <v>9750</v>
      </c>
      <c r="P1342" s="97"/>
    </row>
    <row r="1343" spans="1:16" ht="15.75">
      <c r="A1343" s="97">
        <v>13</v>
      </c>
      <c r="B1343" s="98">
        <v>46246</v>
      </c>
      <c r="C1343" s="97" t="s">
        <v>51</v>
      </c>
      <c r="D1343" s="5" t="s">
        <v>160</v>
      </c>
      <c r="E1343" s="10" t="s">
        <v>172</v>
      </c>
      <c r="F1343" s="10" t="s">
        <v>164</v>
      </c>
      <c r="G1343" s="10" t="s">
        <v>169</v>
      </c>
      <c r="H1343" s="10">
        <v>9540614028</v>
      </c>
      <c r="I1343" s="5">
        <v>800</v>
      </c>
      <c r="J1343" s="97"/>
      <c r="K1343" s="97"/>
      <c r="L1343" s="97"/>
      <c r="M1343" s="97">
        <v>800</v>
      </c>
      <c r="N1343" s="97"/>
      <c r="O1343" s="5">
        <v>16800</v>
      </c>
      <c r="P1343" s="97"/>
    </row>
    <row r="1344" spans="1:16" ht="15.75">
      <c r="A1344" s="97">
        <v>14</v>
      </c>
      <c r="B1344" s="98">
        <v>46246</v>
      </c>
      <c r="C1344" s="97" t="s">
        <v>51</v>
      </c>
      <c r="D1344" s="5" t="s">
        <v>161</v>
      </c>
      <c r="E1344" s="10" t="s">
        <v>119</v>
      </c>
      <c r="F1344" s="10" t="s">
        <v>165</v>
      </c>
      <c r="G1344" s="10" t="s">
        <v>140</v>
      </c>
      <c r="H1344" s="10">
        <v>8395910861</v>
      </c>
      <c r="I1344" s="6">
        <v>750</v>
      </c>
      <c r="J1344" s="97"/>
      <c r="K1344" s="97"/>
      <c r="L1344" s="97"/>
      <c r="M1344" s="97"/>
      <c r="N1344" s="97"/>
      <c r="O1344" s="5">
        <v>9750</v>
      </c>
      <c r="P1344" s="97"/>
    </row>
    <row r="1345" spans="1:16" ht="15.75">
      <c r="A1345" s="97">
        <v>15</v>
      </c>
      <c r="B1345" s="98">
        <v>46246</v>
      </c>
      <c r="C1345" s="97" t="s">
        <v>51</v>
      </c>
      <c r="D1345" s="5" t="s">
        <v>162</v>
      </c>
      <c r="E1345" s="10" t="s">
        <v>119</v>
      </c>
      <c r="F1345" s="10" t="s">
        <v>166</v>
      </c>
      <c r="G1345" s="10" t="s">
        <v>170</v>
      </c>
      <c r="H1345" s="10">
        <v>9671227093</v>
      </c>
      <c r="I1345" s="5">
        <v>800</v>
      </c>
      <c r="J1345" s="97"/>
      <c r="K1345" s="97"/>
      <c r="L1345" s="97"/>
      <c r="M1345" s="97"/>
      <c r="N1345" s="97"/>
      <c r="O1345" s="5">
        <v>16800</v>
      </c>
      <c r="P1345" s="97"/>
    </row>
    <row r="1346" spans="1:16" ht="15.75">
      <c r="A1346" s="97">
        <v>16</v>
      </c>
      <c r="B1346" s="98">
        <v>46246</v>
      </c>
      <c r="C1346" s="97" t="s">
        <v>51</v>
      </c>
      <c r="D1346" s="5" t="s">
        <v>174</v>
      </c>
      <c r="E1346" s="5" t="s">
        <v>177</v>
      </c>
      <c r="F1346" s="10" t="s">
        <v>179</v>
      </c>
      <c r="G1346" s="10" t="s">
        <v>181</v>
      </c>
      <c r="H1346" s="10">
        <v>9991575314</v>
      </c>
      <c r="I1346" s="3">
        <v>800</v>
      </c>
      <c r="J1346" s="97"/>
      <c r="K1346" s="97"/>
      <c r="L1346" s="97"/>
      <c r="M1346" s="97"/>
      <c r="N1346" s="97"/>
      <c r="O1346" s="5">
        <v>17600</v>
      </c>
      <c r="P1346" s="97"/>
    </row>
    <row r="1347" spans="1:16" ht="15.75">
      <c r="A1347" s="97">
        <v>17</v>
      </c>
      <c r="B1347" s="98">
        <v>46246</v>
      </c>
      <c r="C1347" s="97" t="s">
        <v>51</v>
      </c>
      <c r="D1347" s="5" t="s">
        <v>175</v>
      </c>
      <c r="E1347" s="10" t="s">
        <v>171</v>
      </c>
      <c r="F1347" s="10" t="s">
        <v>180</v>
      </c>
      <c r="G1347" s="10" t="s">
        <v>182</v>
      </c>
      <c r="H1347" s="10">
        <v>8814086202</v>
      </c>
      <c r="I1347" s="3">
        <v>750</v>
      </c>
      <c r="J1347" s="97"/>
      <c r="K1347" s="97"/>
      <c r="L1347" s="97"/>
      <c r="M1347" s="97">
        <v>750</v>
      </c>
      <c r="N1347" s="97"/>
      <c r="O1347" s="5">
        <v>11250</v>
      </c>
      <c r="P1347" s="97"/>
    </row>
    <row r="1348" spans="1:16" ht="15.75">
      <c r="A1348" s="97">
        <v>18</v>
      </c>
      <c r="B1348" s="98">
        <v>46246</v>
      </c>
      <c r="C1348" s="97" t="s">
        <v>51</v>
      </c>
      <c r="D1348" s="5" t="s">
        <v>176</v>
      </c>
      <c r="E1348" s="10" t="s">
        <v>178</v>
      </c>
      <c r="F1348" s="10" t="s">
        <v>165</v>
      </c>
      <c r="G1348" s="10" t="s">
        <v>183</v>
      </c>
      <c r="H1348" s="10">
        <v>9991361344</v>
      </c>
      <c r="I1348" s="3">
        <v>750</v>
      </c>
      <c r="J1348" s="97"/>
      <c r="K1348" s="97"/>
      <c r="L1348" s="97"/>
      <c r="M1348" s="97"/>
      <c r="N1348" s="97"/>
      <c r="O1348" s="5">
        <v>10500</v>
      </c>
      <c r="P1348" s="97"/>
    </row>
    <row r="1349" spans="1:16" ht="15.75">
      <c r="A1349" s="97">
        <v>19</v>
      </c>
      <c r="B1349" s="98">
        <v>46246</v>
      </c>
      <c r="C1349" s="97" t="s">
        <v>51</v>
      </c>
      <c r="D1349" s="5" t="s">
        <v>194</v>
      </c>
      <c r="E1349" s="10" t="s">
        <v>197</v>
      </c>
      <c r="F1349" s="10" t="s">
        <v>71</v>
      </c>
      <c r="G1349" s="10" t="s">
        <v>125</v>
      </c>
      <c r="H1349" s="10">
        <v>9053156064</v>
      </c>
      <c r="I1349" s="3">
        <v>750</v>
      </c>
      <c r="J1349" s="97"/>
      <c r="K1349" s="97"/>
      <c r="L1349" s="97"/>
      <c r="M1349" s="97"/>
      <c r="N1349" s="97"/>
      <c r="O1349" s="5">
        <v>11250</v>
      </c>
      <c r="P1349" s="97"/>
    </row>
    <row r="1350" spans="1:16" ht="15.75">
      <c r="A1350" s="97">
        <v>20</v>
      </c>
      <c r="B1350" s="98">
        <v>46246</v>
      </c>
      <c r="C1350" s="97" t="s">
        <v>51</v>
      </c>
      <c r="D1350" s="5" t="s">
        <v>199</v>
      </c>
      <c r="E1350" s="10" t="s">
        <v>197</v>
      </c>
      <c r="F1350" s="51" t="s">
        <v>53</v>
      </c>
      <c r="G1350" s="10" t="s">
        <v>204</v>
      </c>
      <c r="H1350" s="10">
        <v>9813304531</v>
      </c>
      <c r="I1350" s="3">
        <v>750</v>
      </c>
      <c r="J1350" s="97"/>
      <c r="K1350" s="97"/>
      <c r="L1350" s="97"/>
      <c r="M1350" s="97"/>
      <c r="N1350" s="97"/>
      <c r="O1350" s="5">
        <v>11250</v>
      </c>
      <c r="P1350" s="97"/>
    </row>
    <row r="1351" spans="1:16" ht="15.75">
      <c r="A1351" s="97">
        <v>21</v>
      </c>
      <c r="B1351" s="98">
        <v>46246</v>
      </c>
      <c r="C1351" s="97" t="s">
        <v>51</v>
      </c>
      <c r="D1351" s="5" t="s">
        <v>200</v>
      </c>
      <c r="E1351" s="10" t="s">
        <v>197</v>
      </c>
      <c r="F1351" s="51" t="s">
        <v>121</v>
      </c>
      <c r="G1351" s="10" t="s">
        <v>140</v>
      </c>
      <c r="H1351" s="10">
        <v>8930321437</v>
      </c>
      <c r="I1351" s="3">
        <v>800</v>
      </c>
      <c r="J1351" s="97"/>
      <c r="K1351" s="97"/>
      <c r="L1351" s="97"/>
      <c r="M1351" s="97"/>
      <c r="N1351" s="97"/>
      <c r="O1351" s="5">
        <v>18400</v>
      </c>
      <c r="P1351" s="97"/>
    </row>
    <row r="1352" spans="1:16" ht="15.75">
      <c r="A1352" s="97">
        <v>22</v>
      </c>
      <c r="B1352" s="98">
        <v>46246</v>
      </c>
      <c r="C1352" s="97" t="s">
        <v>51</v>
      </c>
      <c r="D1352" s="5" t="s">
        <v>201</v>
      </c>
      <c r="E1352" s="10" t="s">
        <v>206</v>
      </c>
      <c r="F1352" s="10" t="s">
        <v>165</v>
      </c>
      <c r="G1352" s="10" t="s">
        <v>205</v>
      </c>
      <c r="H1352" s="10">
        <v>8295267191</v>
      </c>
      <c r="I1352" s="3">
        <v>800</v>
      </c>
      <c r="J1352" s="97"/>
      <c r="K1352" s="97"/>
      <c r="L1352" s="97"/>
      <c r="M1352" s="97"/>
      <c r="N1352" s="97"/>
      <c r="O1352" s="5">
        <v>18400</v>
      </c>
      <c r="P1352" s="97"/>
    </row>
    <row r="1353" spans="1:16" ht="15.75">
      <c r="A1353" s="97">
        <v>23</v>
      </c>
      <c r="B1353" s="98">
        <v>46246</v>
      </c>
      <c r="C1353" s="97" t="s">
        <v>51</v>
      </c>
      <c r="D1353" s="5" t="s">
        <v>202</v>
      </c>
      <c r="E1353" s="10" t="s">
        <v>118</v>
      </c>
      <c r="F1353" s="10" t="s">
        <v>203</v>
      </c>
      <c r="G1353" s="10" t="s">
        <v>185</v>
      </c>
      <c r="H1353" s="10">
        <v>7988050867</v>
      </c>
      <c r="I1353" s="3">
        <v>750</v>
      </c>
      <c r="J1353" s="97"/>
      <c r="K1353" s="97"/>
      <c r="L1353" s="97"/>
      <c r="M1353" s="97"/>
      <c r="N1353" s="97"/>
      <c r="O1353" s="5">
        <v>11250</v>
      </c>
      <c r="P1353" s="97"/>
    </row>
    <row r="1354" spans="1:16" ht="15.75">
      <c r="A1354" s="97">
        <v>24</v>
      </c>
      <c r="B1354" s="98">
        <v>46246</v>
      </c>
      <c r="C1354" s="97" t="s">
        <v>51</v>
      </c>
      <c r="D1354" s="5" t="s">
        <v>208</v>
      </c>
      <c r="E1354" s="10" t="s">
        <v>49</v>
      </c>
      <c r="F1354" s="10" t="s">
        <v>215</v>
      </c>
      <c r="G1354" s="10" t="s">
        <v>216</v>
      </c>
      <c r="H1354" s="10">
        <v>9812012403</v>
      </c>
      <c r="I1354" s="3">
        <v>800</v>
      </c>
      <c r="J1354" s="97"/>
      <c r="K1354" s="97"/>
      <c r="L1354" s="97"/>
      <c r="M1354" s="97">
        <v>800</v>
      </c>
      <c r="N1354" s="97"/>
      <c r="O1354" s="5">
        <v>18400</v>
      </c>
      <c r="P1354" s="97"/>
    </row>
    <row r="1355" spans="1:16" ht="15.75">
      <c r="A1355" s="97">
        <v>25</v>
      </c>
      <c r="B1355" s="98">
        <v>46246</v>
      </c>
      <c r="C1355" s="97" t="s">
        <v>51</v>
      </c>
      <c r="D1355" s="5" t="s">
        <v>262</v>
      </c>
      <c r="E1355" s="10" t="s">
        <v>197</v>
      </c>
      <c r="F1355" s="10" t="s">
        <v>247</v>
      </c>
      <c r="G1355" s="10" t="s">
        <v>267</v>
      </c>
      <c r="H1355" s="10">
        <v>7027082504</v>
      </c>
      <c r="I1355" s="3">
        <v>800</v>
      </c>
      <c r="J1355" s="97"/>
      <c r="K1355" s="97"/>
      <c r="L1355" s="97"/>
      <c r="M1355" s="97"/>
      <c r="N1355" s="97"/>
      <c r="O1355" s="5">
        <v>20000</v>
      </c>
      <c r="P1355" s="97"/>
    </row>
    <row r="1356" spans="1:16" ht="15.75">
      <c r="A1356" s="97">
        <v>26</v>
      </c>
      <c r="B1356" s="98">
        <v>46246</v>
      </c>
      <c r="C1356" s="97" t="s">
        <v>51</v>
      </c>
      <c r="D1356" s="5" t="s">
        <v>264</v>
      </c>
      <c r="E1356" s="10" t="s">
        <v>49</v>
      </c>
      <c r="F1356" s="10" t="s">
        <v>254</v>
      </c>
      <c r="G1356" s="10" t="s">
        <v>269</v>
      </c>
      <c r="H1356" s="10">
        <v>9729160317</v>
      </c>
      <c r="I1356" s="3">
        <v>750</v>
      </c>
      <c r="J1356" s="97"/>
      <c r="K1356" s="97"/>
      <c r="L1356" s="97"/>
      <c r="M1356" s="97">
        <v>750</v>
      </c>
      <c r="N1356" s="97"/>
      <c r="O1356" s="5">
        <v>12000</v>
      </c>
      <c r="P1356" s="97"/>
    </row>
    <row r="1357" spans="1:16" ht="15.75">
      <c r="A1357" s="97">
        <v>27</v>
      </c>
      <c r="B1357" s="98">
        <v>46246</v>
      </c>
      <c r="C1357" s="97" t="s">
        <v>51</v>
      </c>
      <c r="D1357" s="5" t="s">
        <v>265</v>
      </c>
      <c r="E1357" s="10" t="s">
        <v>49</v>
      </c>
      <c r="F1357" s="10" t="s">
        <v>261</v>
      </c>
      <c r="G1357" s="10" t="s">
        <v>270</v>
      </c>
      <c r="H1357" s="10">
        <v>9991081679</v>
      </c>
      <c r="I1357" s="3">
        <v>800</v>
      </c>
      <c r="J1357" s="97"/>
      <c r="K1357" s="97"/>
      <c r="L1357" s="97"/>
      <c r="M1357" s="97"/>
      <c r="N1357" s="97"/>
      <c r="O1357" s="5">
        <v>20000</v>
      </c>
      <c r="P1357" s="97"/>
    </row>
    <row r="1358" spans="1:16" ht="15.75">
      <c r="A1358" s="97">
        <v>28</v>
      </c>
      <c r="B1358" s="98">
        <v>46246</v>
      </c>
      <c r="C1358" s="97" t="s">
        <v>51</v>
      </c>
      <c r="D1358" s="5" t="s">
        <v>275</v>
      </c>
      <c r="E1358" s="10" t="s">
        <v>278</v>
      </c>
      <c r="F1358" s="10" t="s">
        <v>271</v>
      </c>
      <c r="G1358" s="10" t="s">
        <v>280</v>
      </c>
      <c r="H1358" s="10">
        <v>9466502084</v>
      </c>
      <c r="I1358" s="3">
        <v>750</v>
      </c>
      <c r="J1358" s="97"/>
      <c r="K1358" s="97"/>
      <c r="L1358" s="97"/>
      <c r="M1358" s="97"/>
      <c r="N1358" s="97"/>
      <c r="O1358" s="5">
        <v>12750</v>
      </c>
      <c r="P1358" s="97"/>
    </row>
    <row r="1359" spans="1:16" ht="15.75">
      <c r="A1359" s="97">
        <v>29</v>
      </c>
      <c r="B1359" s="98">
        <v>46246</v>
      </c>
      <c r="C1359" s="97" t="s">
        <v>51</v>
      </c>
      <c r="D1359" s="5" t="s">
        <v>276</v>
      </c>
      <c r="E1359" s="10" t="s">
        <v>279</v>
      </c>
      <c r="F1359" s="10" t="s">
        <v>272</v>
      </c>
      <c r="G1359" s="10" t="s">
        <v>281</v>
      </c>
      <c r="H1359" s="10">
        <v>8168586120</v>
      </c>
      <c r="I1359" s="3">
        <v>800</v>
      </c>
      <c r="J1359" s="97"/>
      <c r="K1359" s="97"/>
      <c r="L1359" s="97"/>
      <c r="M1359" s="97"/>
      <c r="N1359" s="97"/>
      <c r="O1359" s="5">
        <v>20000</v>
      </c>
      <c r="P1359" s="97"/>
    </row>
    <row r="1360" spans="1:16" ht="15.75">
      <c r="A1360" s="97">
        <v>30</v>
      </c>
      <c r="B1360" s="98">
        <v>46246</v>
      </c>
      <c r="C1360" s="97" t="s">
        <v>51</v>
      </c>
      <c r="D1360" s="5" t="s">
        <v>277</v>
      </c>
      <c r="E1360" s="10" t="s">
        <v>49</v>
      </c>
      <c r="F1360" s="10" t="s">
        <v>273</v>
      </c>
      <c r="G1360" s="10" t="s">
        <v>282</v>
      </c>
      <c r="H1360" s="10">
        <v>8295507421</v>
      </c>
      <c r="I1360" s="3">
        <v>800</v>
      </c>
      <c r="J1360" s="97"/>
      <c r="K1360" s="97"/>
      <c r="L1360" s="97"/>
      <c r="M1360" s="97"/>
      <c r="N1360" s="97"/>
      <c r="O1360" s="5">
        <v>20000</v>
      </c>
      <c r="P1360" s="97"/>
    </row>
    <row r="1361" spans="1:16" ht="15.75">
      <c r="A1361" s="97">
        <v>31</v>
      </c>
      <c r="B1361" s="98">
        <v>46246</v>
      </c>
      <c r="C1361" s="97" t="s">
        <v>51</v>
      </c>
      <c r="D1361" s="5" t="s">
        <v>255</v>
      </c>
      <c r="E1361" s="10" t="s">
        <v>278</v>
      </c>
      <c r="F1361" s="10" t="s">
        <v>274</v>
      </c>
      <c r="G1361" s="10" t="s">
        <v>189</v>
      </c>
      <c r="H1361" s="10">
        <v>7828359630</v>
      </c>
      <c r="I1361" s="3">
        <v>750</v>
      </c>
      <c r="J1361" s="97"/>
      <c r="K1361" s="97"/>
      <c r="L1361" s="97"/>
      <c r="M1361" s="97"/>
      <c r="N1361" s="97"/>
      <c r="O1361" s="5">
        <v>12750</v>
      </c>
      <c r="P1361" s="97"/>
    </row>
    <row r="1362" spans="1:16" ht="15.75">
      <c r="A1362" s="97">
        <v>32</v>
      </c>
      <c r="B1362" s="98">
        <v>46246</v>
      </c>
      <c r="C1362" s="97" t="s">
        <v>51</v>
      </c>
      <c r="D1362" s="5" t="s">
        <v>286</v>
      </c>
      <c r="E1362" s="3" t="s">
        <v>49</v>
      </c>
      <c r="F1362" s="3" t="s">
        <v>285</v>
      </c>
      <c r="G1362" s="3" t="s">
        <v>293</v>
      </c>
      <c r="H1362" s="3">
        <v>9671634311</v>
      </c>
      <c r="I1362" s="3">
        <v>800</v>
      </c>
      <c r="J1362" s="97"/>
      <c r="K1362" s="97"/>
      <c r="L1362" s="97"/>
      <c r="M1362" s="97"/>
      <c r="N1362" s="97"/>
      <c r="O1362" s="5">
        <v>20800</v>
      </c>
      <c r="P1362" s="97"/>
    </row>
    <row r="1363" spans="1:16" ht="15.75">
      <c r="A1363" s="97">
        <v>33</v>
      </c>
      <c r="B1363" s="98">
        <v>46246</v>
      </c>
      <c r="C1363" s="97" t="s">
        <v>51</v>
      </c>
      <c r="D1363" s="5" t="s">
        <v>287</v>
      </c>
      <c r="E1363" s="3" t="s">
        <v>130</v>
      </c>
      <c r="F1363" s="3" t="s">
        <v>284</v>
      </c>
      <c r="G1363" s="3" t="s">
        <v>294</v>
      </c>
      <c r="H1363" s="3">
        <v>9671393271</v>
      </c>
      <c r="I1363" s="3">
        <v>800</v>
      </c>
      <c r="J1363" s="97"/>
      <c r="K1363" s="97"/>
      <c r="L1363" s="97"/>
      <c r="M1363" s="97"/>
      <c r="N1363" s="97"/>
      <c r="O1363" s="5">
        <v>20800</v>
      </c>
      <c r="P1363" s="97"/>
    </row>
    <row r="1364" spans="1:16" ht="15.75">
      <c r="A1364" s="97">
        <v>34</v>
      </c>
      <c r="B1364" s="98">
        <v>46246</v>
      </c>
      <c r="C1364" s="97" t="s">
        <v>51</v>
      </c>
      <c r="D1364" s="6" t="s">
        <v>299</v>
      </c>
      <c r="E1364" s="3" t="s">
        <v>130</v>
      </c>
      <c r="F1364" s="3" t="s">
        <v>301</v>
      </c>
      <c r="G1364" s="3" t="s">
        <v>303</v>
      </c>
      <c r="H1364" s="3">
        <v>8397097184</v>
      </c>
      <c r="I1364" s="3">
        <v>800</v>
      </c>
      <c r="J1364" s="97"/>
      <c r="K1364" s="97"/>
      <c r="L1364" s="97"/>
      <c r="M1364" s="97">
        <v>800</v>
      </c>
      <c r="N1364" s="97"/>
      <c r="O1364" s="6">
        <v>20800</v>
      </c>
      <c r="P1364" s="97"/>
    </row>
    <row r="1365" spans="1:16" ht="15.75">
      <c r="A1365" s="97">
        <v>35</v>
      </c>
      <c r="B1365" s="98">
        <v>46246</v>
      </c>
      <c r="C1365" s="97" t="s">
        <v>51</v>
      </c>
      <c r="D1365" s="5" t="s">
        <v>312</v>
      </c>
      <c r="E1365" s="3" t="s">
        <v>197</v>
      </c>
      <c r="F1365" s="3" t="s">
        <v>121</v>
      </c>
      <c r="G1365" s="3" t="s">
        <v>315</v>
      </c>
      <c r="H1365" s="3">
        <v>8059882196</v>
      </c>
      <c r="I1365" s="3">
        <v>800</v>
      </c>
      <c r="J1365" s="97"/>
      <c r="K1365" s="97"/>
      <c r="L1365" s="97"/>
      <c r="M1365" s="97"/>
      <c r="N1365" s="97"/>
      <c r="O1365" s="6">
        <v>20800</v>
      </c>
      <c r="P1365" s="97"/>
    </row>
    <row r="1366" spans="1:16" ht="15.75">
      <c r="A1366" s="97">
        <v>36</v>
      </c>
      <c r="B1366" s="98">
        <v>46246</v>
      </c>
      <c r="C1366" s="97" t="s">
        <v>51</v>
      </c>
      <c r="D1366" s="5" t="s">
        <v>332</v>
      </c>
      <c r="E1366" s="3" t="s">
        <v>206</v>
      </c>
      <c r="F1366" s="95" t="s">
        <v>330</v>
      </c>
      <c r="G1366" s="3" t="s">
        <v>331</v>
      </c>
      <c r="H1366" s="3">
        <v>7015840262</v>
      </c>
      <c r="I1366" s="3">
        <v>800</v>
      </c>
      <c r="J1366" s="97"/>
      <c r="K1366" s="97"/>
      <c r="L1366" s="97"/>
      <c r="M1366" s="97"/>
      <c r="N1366" s="97"/>
      <c r="O1366" s="6">
        <v>21600</v>
      </c>
      <c r="P1366" s="97"/>
    </row>
    <row r="1367" spans="1:16" ht="15.75">
      <c r="A1367" s="97">
        <v>37</v>
      </c>
      <c r="B1367" s="98">
        <v>46246</v>
      </c>
      <c r="C1367" s="97" t="s">
        <v>51</v>
      </c>
      <c r="D1367" s="5" t="s">
        <v>343</v>
      </c>
      <c r="E1367" s="3" t="s">
        <v>348</v>
      </c>
      <c r="F1367" s="3" t="s">
        <v>333</v>
      </c>
      <c r="G1367" s="3" t="s">
        <v>334</v>
      </c>
      <c r="H1367" s="3">
        <v>8708050493</v>
      </c>
      <c r="I1367" s="3">
        <v>1000</v>
      </c>
      <c r="J1367" s="97"/>
      <c r="K1367" s="97"/>
      <c r="L1367" s="97"/>
      <c r="M1367" s="97"/>
      <c r="N1367" s="97"/>
      <c r="O1367" s="6">
        <v>21000</v>
      </c>
      <c r="P1367" s="97"/>
    </row>
    <row r="1368" spans="1:16" ht="15.75">
      <c r="A1368" s="97">
        <v>38</v>
      </c>
      <c r="B1368" s="98">
        <v>46246</v>
      </c>
      <c r="C1368" s="97" t="s">
        <v>51</v>
      </c>
      <c r="D1368" s="5" t="s">
        <v>344</v>
      </c>
      <c r="E1368" s="3" t="s">
        <v>348</v>
      </c>
      <c r="F1368" s="3" t="s">
        <v>335</v>
      </c>
      <c r="G1368" s="3" t="s">
        <v>336</v>
      </c>
      <c r="H1368" s="3">
        <v>8708050493</v>
      </c>
      <c r="I1368" s="3">
        <v>1000</v>
      </c>
      <c r="J1368" s="97"/>
      <c r="K1368" s="97"/>
      <c r="L1368" s="97"/>
      <c r="M1368" s="97"/>
      <c r="N1368" s="97"/>
      <c r="O1368" s="6">
        <v>21000</v>
      </c>
      <c r="P1368" s="97"/>
    </row>
    <row r="1369" spans="1:16" ht="15.75">
      <c r="A1369" s="97">
        <v>39</v>
      </c>
      <c r="B1369" s="98">
        <v>46246</v>
      </c>
      <c r="C1369" s="97" t="s">
        <v>51</v>
      </c>
      <c r="D1369" s="5" t="s">
        <v>346</v>
      </c>
      <c r="E1369" s="3" t="s">
        <v>49</v>
      </c>
      <c r="F1369" s="3" t="s">
        <v>339</v>
      </c>
      <c r="G1369" s="3" t="s">
        <v>340</v>
      </c>
      <c r="H1369" s="3">
        <v>7496866457</v>
      </c>
      <c r="I1369" s="3">
        <v>810</v>
      </c>
      <c r="J1369" s="97"/>
      <c r="K1369" s="97"/>
      <c r="L1369" s="97"/>
      <c r="M1369" s="97"/>
      <c r="N1369" s="97"/>
      <c r="O1369" s="6">
        <v>15390</v>
      </c>
      <c r="P1369" s="97"/>
    </row>
    <row r="1370" spans="1:16" ht="15.75">
      <c r="A1370" s="97">
        <v>40</v>
      </c>
      <c r="B1370" s="98">
        <v>46246</v>
      </c>
      <c r="C1370" s="97" t="s">
        <v>51</v>
      </c>
      <c r="D1370" s="5" t="s">
        <v>347</v>
      </c>
      <c r="E1370" s="3" t="s">
        <v>49</v>
      </c>
      <c r="F1370" s="3" t="s">
        <v>341</v>
      </c>
      <c r="G1370" s="3" t="s">
        <v>342</v>
      </c>
      <c r="H1370" s="3">
        <v>7496866457</v>
      </c>
      <c r="I1370" s="3">
        <v>1000</v>
      </c>
      <c r="J1370" s="97"/>
      <c r="K1370" s="97"/>
      <c r="L1370" s="97"/>
      <c r="M1370" s="97"/>
      <c r="N1370" s="97"/>
      <c r="O1370" s="6">
        <v>21000</v>
      </c>
      <c r="P1370" s="97"/>
    </row>
    <row r="1371" spans="1:16" ht="15.75">
      <c r="A1371" s="97">
        <v>41</v>
      </c>
      <c r="B1371" s="98">
        <v>46246</v>
      </c>
      <c r="C1371" s="97" t="s">
        <v>51</v>
      </c>
      <c r="D1371" s="5" t="s">
        <v>381</v>
      </c>
      <c r="E1371" s="3" t="s">
        <v>118</v>
      </c>
      <c r="F1371" s="3" t="s">
        <v>387</v>
      </c>
      <c r="G1371" s="3" t="s">
        <v>388</v>
      </c>
      <c r="H1371" s="3">
        <v>8307074126</v>
      </c>
      <c r="I1371" s="3">
        <v>810</v>
      </c>
      <c r="J1371" s="97"/>
      <c r="K1371" s="97"/>
      <c r="L1371" s="97"/>
      <c r="M1371" s="97">
        <v>810</v>
      </c>
      <c r="N1371" s="97"/>
      <c r="O1371" s="6">
        <v>16200</v>
      </c>
      <c r="P1371" s="97"/>
    </row>
    <row r="1372" spans="1:16" ht="15.75">
      <c r="A1372" s="97">
        <v>42</v>
      </c>
      <c r="B1372" s="98">
        <v>46246</v>
      </c>
      <c r="C1372" s="97" t="s">
        <v>51</v>
      </c>
      <c r="D1372" s="5" t="s">
        <v>382</v>
      </c>
      <c r="E1372" s="3" t="s">
        <v>383</v>
      </c>
      <c r="F1372" s="3" t="s">
        <v>215</v>
      </c>
      <c r="G1372" s="3" t="s">
        <v>375</v>
      </c>
      <c r="H1372" s="3">
        <v>9813268064</v>
      </c>
      <c r="I1372" s="3">
        <v>1000</v>
      </c>
      <c r="J1372" s="97"/>
      <c r="K1372" s="97"/>
      <c r="L1372" s="97"/>
      <c r="M1372" s="97"/>
      <c r="N1372" s="97"/>
      <c r="O1372" s="6">
        <v>22000</v>
      </c>
      <c r="P1372" s="97"/>
    </row>
    <row r="1373" spans="1:16" ht="15.75">
      <c r="A1373" s="97">
        <v>43</v>
      </c>
      <c r="B1373" s="98">
        <v>46246</v>
      </c>
      <c r="C1373" s="97" t="s">
        <v>51</v>
      </c>
      <c r="D1373" s="5" t="s">
        <v>392</v>
      </c>
      <c r="E1373" s="3" t="s">
        <v>394</v>
      </c>
      <c r="F1373" s="3" t="s">
        <v>71</v>
      </c>
      <c r="G1373" s="3" t="s">
        <v>393</v>
      </c>
      <c r="H1373" s="3">
        <v>8505872401</v>
      </c>
      <c r="I1373" s="3">
        <v>1000</v>
      </c>
      <c r="J1373" s="97"/>
      <c r="K1373" s="97"/>
      <c r="L1373" s="97"/>
      <c r="M1373" s="97"/>
      <c r="N1373" s="97"/>
      <c r="O1373" s="6">
        <v>23000</v>
      </c>
      <c r="P1373" s="97"/>
    </row>
    <row r="1374" spans="1:16" ht="15.75">
      <c r="A1374" s="97">
        <v>44</v>
      </c>
      <c r="B1374" s="98">
        <v>46246</v>
      </c>
      <c r="C1374" s="97" t="s">
        <v>51</v>
      </c>
      <c r="D1374" s="5" t="s">
        <v>397</v>
      </c>
      <c r="E1374" s="3" t="s">
        <v>49</v>
      </c>
      <c r="F1374" s="3" t="s">
        <v>398</v>
      </c>
      <c r="G1374" s="3" t="s">
        <v>140</v>
      </c>
      <c r="H1374" s="3">
        <v>9671465494</v>
      </c>
      <c r="I1374" s="3">
        <v>1000</v>
      </c>
      <c r="J1374" s="97"/>
      <c r="K1374" s="97"/>
      <c r="L1374" s="97"/>
      <c r="M1374" s="97"/>
      <c r="N1374" s="97"/>
      <c r="O1374" s="6">
        <v>24000</v>
      </c>
      <c r="P1374" s="97"/>
    </row>
    <row r="1375" spans="1:16" ht="15.75">
      <c r="A1375" s="97">
        <v>45</v>
      </c>
      <c r="B1375" s="98">
        <v>46246</v>
      </c>
      <c r="C1375" s="97" t="s">
        <v>51</v>
      </c>
      <c r="D1375" s="5" t="s">
        <v>423</v>
      </c>
      <c r="E1375" s="3" t="s">
        <v>430</v>
      </c>
      <c r="F1375" s="3" t="s">
        <v>301</v>
      </c>
      <c r="G1375" s="3" t="s">
        <v>127</v>
      </c>
      <c r="H1375" s="3">
        <v>8685920499</v>
      </c>
      <c r="I1375" s="3">
        <v>810</v>
      </c>
      <c r="J1375" s="97"/>
      <c r="K1375" s="97"/>
      <c r="L1375" s="97"/>
      <c r="M1375" s="97"/>
      <c r="N1375" s="97"/>
      <c r="O1375" s="6">
        <v>17820</v>
      </c>
      <c r="P1375" s="97"/>
    </row>
    <row r="1376" spans="1:16" ht="15.75">
      <c r="A1376" s="97">
        <v>46</v>
      </c>
      <c r="B1376" s="98">
        <v>46246</v>
      </c>
      <c r="C1376" s="97" t="s">
        <v>51</v>
      </c>
      <c r="D1376" s="5" t="s">
        <v>428</v>
      </c>
      <c r="E1376" s="3" t="s">
        <v>118</v>
      </c>
      <c r="F1376" s="3" t="s">
        <v>438</v>
      </c>
      <c r="G1376" s="3" t="s">
        <v>375</v>
      </c>
      <c r="H1376" s="3">
        <v>9996197698</v>
      </c>
      <c r="I1376" s="3">
        <v>1000</v>
      </c>
      <c r="J1376" s="97"/>
      <c r="K1376" s="97"/>
      <c r="L1376" s="97"/>
      <c r="M1376" s="97"/>
      <c r="N1376" s="97"/>
      <c r="O1376" s="6">
        <v>24000</v>
      </c>
      <c r="P1376" s="97"/>
    </row>
    <row r="1377" spans="1:16" ht="15.75">
      <c r="A1377" s="97">
        <v>47</v>
      </c>
      <c r="B1377" s="98">
        <v>46246</v>
      </c>
      <c r="C1377" s="97" t="s">
        <v>51</v>
      </c>
      <c r="D1377" s="5" t="s">
        <v>429</v>
      </c>
      <c r="E1377" s="3" t="s">
        <v>197</v>
      </c>
      <c r="F1377" s="3" t="s">
        <v>323</v>
      </c>
      <c r="G1377" s="3" t="s">
        <v>295</v>
      </c>
      <c r="H1377" s="3">
        <v>8708979195</v>
      </c>
      <c r="I1377" s="3">
        <v>1000</v>
      </c>
      <c r="J1377" s="97"/>
      <c r="K1377" s="97"/>
      <c r="L1377" s="97"/>
      <c r="M1377" s="97"/>
      <c r="N1377" s="97"/>
      <c r="O1377" s="6">
        <v>24000</v>
      </c>
      <c r="P1377" s="97"/>
    </row>
    <row r="1378" spans="1:16" ht="15.75">
      <c r="A1378" s="97">
        <v>48</v>
      </c>
      <c r="B1378" s="98">
        <v>46246</v>
      </c>
      <c r="C1378" s="97" t="s">
        <v>51</v>
      </c>
      <c r="D1378" s="5" t="s">
        <v>445</v>
      </c>
      <c r="E1378" s="3" t="s">
        <v>447</v>
      </c>
      <c r="F1378" s="3" t="s">
        <v>441</v>
      </c>
      <c r="G1378" s="3" t="s">
        <v>443</v>
      </c>
      <c r="H1378" s="3">
        <v>8397095261</v>
      </c>
      <c r="I1378" s="3">
        <v>675</v>
      </c>
      <c r="J1378" s="97"/>
      <c r="K1378" s="97"/>
      <c r="L1378" s="97"/>
      <c r="M1378" s="97"/>
      <c r="N1378" s="97"/>
      <c r="O1378" s="6">
        <v>12150</v>
      </c>
      <c r="P1378" s="97"/>
    </row>
    <row r="1379" spans="1:16" ht="15.75">
      <c r="A1379" s="97">
        <v>49</v>
      </c>
      <c r="B1379" s="98">
        <v>46246</v>
      </c>
      <c r="C1379" s="97" t="s">
        <v>51</v>
      </c>
      <c r="D1379" s="5" t="s">
        <v>446</v>
      </c>
      <c r="E1379" s="3" t="s">
        <v>49</v>
      </c>
      <c r="F1379" s="3" t="s">
        <v>442</v>
      </c>
      <c r="G1379" s="3" t="s">
        <v>444</v>
      </c>
      <c r="H1379" s="3">
        <v>9728061518</v>
      </c>
      <c r="I1379" s="3">
        <v>1000</v>
      </c>
      <c r="J1379" s="97"/>
      <c r="K1379" s="97"/>
      <c r="L1379" s="97"/>
      <c r="M1379" s="97">
        <v>1000</v>
      </c>
      <c r="N1379" s="97"/>
      <c r="O1379" s="6">
        <v>25000</v>
      </c>
      <c r="P1379" s="97"/>
    </row>
    <row r="1380" spans="1:16" ht="15.75">
      <c r="A1380" s="97">
        <v>50</v>
      </c>
      <c r="B1380" s="98">
        <v>46246</v>
      </c>
      <c r="C1380" s="97" t="s">
        <v>51</v>
      </c>
      <c r="D1380" s="6" t="s">
        <v>460</v>
      </c>
      <c r="E1380" s="3" t="s">
        <v>206</v>
      </c>
      <c r="F1380" s="3" t="s">
        <v>467</v>
      </c>
      <c r="G1380" s="3" t="s">
        <v>470</v>
      </c>
      <c r="H1380" s="3">
        <v>7027812889</v>
      </c>
      <c r="I1380" s="3">
        <v>1000</v>
      </c>
      <c r="J1380" s="97"/>
      <c r="K1380" s="97"/>
      <c r="L1380" s="97"/>
      <c r="M1380" s="97"/>
      <c r="N1380" s="97"/>
      <c r="O1380" s="6">
        <v>27000</v>
      </c>
      <c r="P1380" s="97"/>
    </row>
    <row r="1381" spans="1:16" ht="15.75">
      <c r="A1381" s="97">
        <v>51</v>
      </c>
      <c r="B1381" s="98">
        <v>46246</v>
      </c>
      <c r="C1381" s="97" t="s">
        <v>51</v>
      </c>
      <c r="D1381" s="6" t="s">
        <v>478</v>
      </c>
      <c r="E1381" s="3" t="s">
        <v>430</v>
      </c>
      <c r="F1381" s="3" t="s">
        <v>480</v>
      </c>
      <c r="G1381" s="3" t="s">
        <v>316</v>
      </c>
      <c r="H1381" s="3">
        <v>9996807585</v>
      </c>
      <c r="I1381" s="3">
        <v>810</v>
      </c>
      <c r="J1381" s="97"/>
      <c r="K1381" s="97"/>
      <c r="L1381" s="97"/>
      <c r="M1381" s="97"/>
      <c r="N1381" s="97"/>
      <c r="O1381" s="6">
        <v>20250</v>
      </c>
      <c r="P1381" s="97"/>
    </row>
    <row r="1382" spans="1:16" ht="15.75">
      <c r="A1382" s="97">
        <v>52</v>
      </c>
      <c r="B1382" s="98">
        <v>46246</v>
      </c>
      <c r="C1382" s="97" t="s">
        <v>51</v>
      </c>
      <c r="D1382" s="6" t="s">
        <v>489</v>
      </c>
      <c r="E1382" s="3" t="s">
        <v>206</v>
      </c>
      <c r="F1382" s="3" t="s">
        <v>121</v>
      </c>
      <c r="G1382" s="3" t="s">
        <v>182</v>
      </c>
      <c r="H1382" s="3">
        <v>9812689027</v>
      </c>
      <c r="I1382" s="3">
        <v>1000</v>
      </c>
      <c r="J1382" s="97"/>
      <c r="K1382" s="97"/>
      <c r="L1382" s="97"/>
      <c r="M1382" s="97"/>
      <c r="N1382" s="97"/>
      <c r="O1382" s="6">
        <v>26000</v>
      </c>
      <c r="P1382" s="97"/>
    </row>
    <row r="1383" spans="1:16" ht="15.75">
      <c r="A1383" s="97">
        <v>53</v>
      </c>
      <c r="B1383" s="98">
        <v>46246</v>
      </c>
      <c r="C1383" s="97" t="s">
        <v>51</v>
      </c>
      <c r="D1383" s="6" t="s">
        <v>491</v>
      </c>
      <c r="E1383" s="3" t="s">
        <v>197</v>
      </c>
      <c r="F1383" s="3" t="s">
        <v>493</v>
      </c>
      <c r="G1383" s="3" t="s">
        <v>495</v>
      </c>
      <c r="H1383" s="3">
        <v>9991020938</v>
      </c>
      <c r="I1383" s="3">
        <v>1000</v>
      </c>
      <c r="J1383" s="97"/>
      <c r="K1383" s="97"/>
      <c r="L1383" s="97"/>
      <c r="M1383" s="97"/>
      <c r="N1383" s="97"/>
      <c r="O1383" s="6">
        <v>26000</v>
      </c>
      <c r="P1383" s="97"/>
    </row>
    <row r="1384" spans="1:16" ht="15.75">
      <c r="A1384" s="97">
        <v>54</v>
      </c>
      <c r="B1384" s="98">
        <v>46246</v>
      </c>
      <c r="C1384" s="97" t="s">
        <v>51</v>
      </c>
      <c r="D1384" s="6" t="s">
        <v>496</v>
      </c>
      <c r="E1384" s="3" t="s">
        <v>499</v>
      </c>
      <c r="F1384" s="3" t="s">
        <v>485</v>
      </c>
      <c r="G1384" s="3" t="s">
        <v>393</v>
      </c>
      <c r="H1384" s="3">
        <v>9350967898</v>
      </c>
      <c r="I1384" s="3">
        <v>1000</v>
      </c>
      <c r="J1384" s="97"/>
      <c r="K1384" s="97"/>
      <c r="L1384" s="97"/>
      <c r="M1384" s="97"/>
      <c r="N1384" s="97"/>
      <c r="O1384" s="6">
        <v>26000</v>
      </c>
      <c r="P1384" s="97"/>
    </row>
    <row r="1385" spans="1:16">
      <c r="A1385" s="97"/>
      <c r="B1385" s="97"/>
      <c r="C1385" s="97"/>
      <c r="D1385" s="97"/>
      <c r="E1385" s="97"/>
      <c r="F1385" s="97"/>
      <c r="G1385" s="97"/>
      <c r="H1385" s="97"/>
      <c r="I1385" s="97"/>
      <c r="J1385" s="97"/>
      <c r="K1385" s="97"/>
      <c r="L1385" s="97"/>
      <c r="M1385" s="97"/>
      <c r="N1385" s="97"/>
      <c r="O1385" s="97"/>
      <c r="P1385" s="97"/>
    </row>
    <row r="1386" spans="1:16">
      <c r="A1386" s="97"/>
      <c r="B1386" s="97"/>
      <c r="C1386" s="97"/>
      <c r="D1386" s="97"/>
      <c r="E1386" s="97"/>
      <c r="F1386" s="97"/>
      <c r="G1386" s="97"/>
      <c r="H1386" s="97"/>
      <c r="I1386" s="97">
        <f>SUM(I1331:I1385)</f>
        <v>44915</v>
      </c>
      <c r="J1386" s="97"/>
      <c r="K1386" s="97">
        <f>SUM(K1331:K1385)</f>
        <v>0</v>
      </c>
      <c r="L1386" s="97">
        <f>SUM(L1331:L1385)</f>
        <v>0</v>
      </c>
      <c r="M1386" s="97">
        <f>SUM(M1331:M1385)</f>
        <v>9510</v>
      </c>
      <c r="N1386" s="97">
        <f>SUM(N1331:N1385)</f>
        <v>0</v>
      </c>
      <c r="O1386" s="97">
        <f>SUM(O1331:O1385)</f>
        <v>934260</v>
      </c>
      <c r="P1386" s="97"/>
    </row>
    <row r="1391" spans="1:16" ht="27.75">
      <c r="A1391" s="142" t="s">
        <v>155</v>
      </c>
      <c r="B1391" s="142"/>
      <c r="C1391" s="142"/>
      <c r="D1391" s="142"/>
      <c r="E1391" s="142"/>
      <c r="F1391" s="142"/>
      <c r="G1391" s="142"/>
      <c r="H1391" s="142"/>
      <c r="I1391" s="142"/>
      <c r="J1391" s="142"/>
      <c r="K1391" s="142"/>
      <c r="L1391" s="142"/>
      <c r="M1391" s="142"/>
      <c r="N1391" s="142"/>
      <c r="O1391" s="142"/>
      <c r="P1391" s="142"/>
    </row>
    <row r="1392" spans="1:16" ht="75">
      <c r="A1392" s="1" t="s">
        <v>87</v>
      </c>
      <c r="B1392" s="1" t="s">
        <v>103</v>
      </c>
      <c r="C1392" s="1" t="s">
        <v>88</v>
      </c>
      <c r="D1392" s="1" t="s">
        <v>104</v>
      </c>
      <c r="E1392" s="1" t="s">
        <v>105</v>
      </c>
      <c r="F1392" s="1" t="s">
        <v>106</v>
      </c>
      <c r="G1392" s="1" t="s">
        <v>93</v>
      </c>
      <c r="H1392" s="1" t="s">
        <v>107</v>
      </c>
      <c r="I1392" s="1" t="s">
        <v>108</v>
      </c>
      <c r="J1392" s="1" t="s">
        <v>109</v>
      </c>
      <c r="K1392" s="1" t="s">
        <v>110</v>
      </c>
      <c r="L1392" s="1" t="s">
        <v>21</v>
      </c>
      <c r="M1392" s="1" t="s">
        <v>45</v>
      </c>
      <c r="N1392" s="1" t="s">
        <v>111</v>
      </c>
      <c r="O1392" s="2" t="s">
        <v>112</v>
      </c>
      <c r="P1392" s="1" t="s">
        <v>113</v>
      </c>
    </row>
    <row r="1393" spans="1:16" ht="15.75">
      <c r="A1393" s="97">
        <v>1</v>
      </c>
      <c r="B1393" s="98">
        <v>46252</v>
      </c>
      <c r="C1393" s="97" t="s">
        <v>51</v>
      </c>
      <c r="D1393" s="5" t="s">
        <v>70</v>
      </c>
      <c r="E1393" s="5" t="s">
        <v>66</v>
      </c>
      <c r="F1393" s="5" t="s">
        <v>67</v>
      </c>
      <c r="G1393" s="5" t="s">
        <v>68</v>
      </c>
      <c r="H1393" s="5">
        <v>8395916139</v>
      </c>
      <c r="I1393" s="5">
        <v>800</v>
      </c>
      <c r="J1393" s="97"/>
      <c r="K1393" s="97"/>
      <c r="L1393" s="97"/>
      <c r="M1393" s="97"/>
      <c r="N1393" s="97"/>
      <c r="O1393" s="5">
        <v>15200</v>
      </c>
      <c r="P1393" s="97"/>
    </row>
    <row r="1394" spans="1:16" ht="15.75">
      <c r="A1394" s="97">
        <v>2</v>
      </c>
      <c r="B1394" s="98">
        <v>46252</v>
      </c>
      <c r="C1394" s="97" t="s">
        <v>51</v>
      </c>
      <c r="D1394" s="5" t="s">
        <v>73</v>
      </c>
      <c r="E1394" s="5" t="s">
        <v>66</v>
      </c>
      <c r="F1394" s="5" t="s">
        <v>71</v>
      </c>
      <c r="G1394" s="5" t="s">
        <v>72</v>
      </c>
      <c r="H1394" s="5">
        <v>7289049720</v>
      </c>
      <c r="I1394" s="5">
        <v>750</v>
      </c>
      <c r="J1394" s="97"/>
      <c r="K1394" s="97"/>
      <c r="L1394" s="97"/>
      <c r="M1394" s="97"/>
      <c r="N1394" s="97"/>
      <c r="O1394" s="5">
        <v>8250</v>
      </c>
      <c r="P1394" s="97"/>
    </row>
    <row r="1395" spans="1:16" ht="15.75">
      <c r="A1395" s="97">
        <v>3</v>
      </c>
      <c r="B1395" s="98">
        <v>46252</v>
      </c>
      <c r="C1395" s="97" t="s">
        <v>51</v>
      </c>
      <c r="D1395" s="5" t="s">
        <v>79</v>
      </c>
      <c r="E1395" s="5" t="s">
        <v>66</v>
      </c>
      <c r="F1395" s="6" t="s">
        <v>77</v>
      </c>
      <c r="G1395" s="6" t="s">
        <v>78</v>
      </c>
      <c r="H1395" s="6">
        <v>7355817478</v>
      </c>
      <c r="I1395" s="5">
        <v>750</v>
      </c>
      <c r="J1395" s="97"/>
      <c r="K1395" s="97"/>
      <c r="L1395" s="97"/>
      <c r="M1395" s="97"/>
      <c r="N1395" s="97"/>
      <c r="O1395" s="5">
        <v>8250</v>
      </c>
      <c r="P1395" s="97"/>
    </row>
    <row r="1396" spans="1:16" ht="15.75">
      <c r="A1396" s="97">
        <v>4</v>
      </c>
      <c r="B1396" s="98">
        <v>46252</v>
      </c>
      <c r="C1396" s="97" t="s">
        <v>51</v>
      </c>
      <c r="D1396" s="5" t="s">
        <v>85</v>
      </c>
      <c r="E1396" s="6" t="s">
        <v>66</v>
      </c>
      <c r="F1396" s="5" t="s">
        <v>83</v>
      </c>
      <c r="G1396" s="5" t="s">
        <v>84</v>
      </c>
      <c r="H1396" s="5">
        <v>9992825464</v>
      </c>
      <c r="I1396" s="5">
        <v>800</v>
      </c>
      <c r="J1396" s="97"/>
      <c r="K1396" s="97"/>
      <c r="L1396" s="97"/>
      <c r="M1396" s="97"/>
      <c r="N1396" s="97"/>
      <c r="O1396" s="5">
        <v>15200</v>
      </c>
      <c r="P1396" s="97"/>
    </row>
    <row r="1397" spans="1:16" ht="15.75">
      <c r="A1397" s="97">
        <v>5</v>
      </c>
      <c r="B1397" s="98">
        <v>46252</v>
      </c>
      <c r="C1397" s="97" t="s">
        <v>51</v>
      </c>
      <c r="D1397" s="5" t="s">
        <v>147</v>
      </c>
      <c r="E1397" s="5" t="s">
        <v>129</v>
      </c>
      <c r="F1397" s="5" t="s">
        <v>132</v>
      </c>
      <c r="G1397" s="5" t="s">
        <v>140</v>
      </c>
      <c r="H1397" s="5">
        <v>8397037924</v>
      </c>
      <c r="I1397" s="5">
        <v>800</v>
      </c>
      <c r="J1397" s="97"/>
      <c r="K1397" s="97"/>
      <c r="L1397" s="97"/>
      <c r="M1397" s="97"/>
      <c r="N1397" s="97"/>
      <c r="O1397" s="5">
        <v>16000</v>
      </c>
      <c r="P1397" s="97"/>
    </row>
    <row r="1398" spans="1:16" ht="15.75">
      <c r="A1398" s="97">
        <v>6</v>
      </c>
      <c r="B1398" s="98">
        <v>46252</v>
      </c>
      <c r="C1398" s="97" t="s">
        <v>51</v>
      </c>
      <c r="D1398" s="5" t="s">
        <v>151</v>
      </c>
      <c r="E1398" s="5" t="s">
        <v>66</v>
      </c>
      <c r="F1398" s="5" t="s">
        <v>136</v>
      </c>
      <c r="G1398" s="5" t="s">
        <v>143</v>
      </c>
      <c r="H1398" s="5">
        <v>9992969785</v>
      </c>
      <c r="I1398" s="5">
        <v>800</v>
      </c>
      <c r="J1398" s="97"/>
      <c r="K1398" s="97"/>
      <c r="L1398" s="97"/>
      <c r="M1398" s="97"/>
      <c r="N1398" s="97"/>
      <c r="O1398" s="5">
        <v>16000</v>
      </c>
      <c r="P1398" s="97"/>
    </row>
    <row r="1399" spans="1:16" ht="15.75">
      <c r="A1399" s="97">
        <v>7</v>
      </c>
      <c r="B1399" s="98">
        <v>46252</v>
      </c>
      <c r="C1399" s="97" t="s">
        <v>51</v>
      </c>
      <c r="D1399" s="5" t="s">
        <v>190</v>
      </c>
      <c r="E1399" s="10" t="s">
        <v>195</v>
      </c>
      <c r="F1399" s="10" t="s">
        <v>184</v>
      </c>
      <c r="G1399" s="10" t="s">
        <v>185</v>
      </c>
      <c r="H1399" s="10">
        <v>9728976039</v>
      </c>
      <c r="I1399" s="3">
        <v>750</v>
      </c>
      <c r="J1399" s="97"/>
      <c r="K1399" s="97"/>
      <c r="L1399" s="97"/>
      <c r="M1399" s="97"/>
      <c r="N1399" s="97"/>
      <c r="O1399" s="5">
        <v>10500</v>
      </c>
      <c r="P1399" s="97"/>
    </row>
    <row r="1400" spans="1:16" ht="15.75">
      <c r="A1400" s="97">
        <v>8</v>
      </c>
      <c r="B1400" s="98">
        <v>46252</v>
      </c>
      <c r="C1400" s="97" t="s">
        <v>51</v>
      </c>
      <c r="D1400" s="5" t="s">
        <v>191</v>
      </c>
      <c r="E1400" s="10" t="s">
        <v>196</v>
      </c>
      <c r="F1400" s="10" t="s">
        <v>186</v>
      </c>
      <c r="G1400" s="10" t="s">
        <v>187</v>
      </c>
      <c r="H1400" s="10">
        <v>9991073613</v>
      </c>
      <c r="I1400" s="3">
        <v>750</v>
      </c>
      <c r="J1400" s="97"/>
      <c r="K1400" s="97"/>
      <c r="L1400" s="97"/>
      <c r="M1400" s="97"/>
      <c r="N1400" s="97"/>
      <c r="O1400" s="5">
        <v>10500</v>
      </c>
      <c r="P1400" s="97"/>
    </row>
    <row r="1401" spans="1:16" ht="15.75">
      <c r="A1401" s="97">
        <v>9</v>
      </c>
      <c r="B1401" s="98">
        <v>46252</v>
      </c>
      <c r="C1401" s="97" t="s">
        <v>51</v>
      </c>
      <c r="D1401" s="5" t="s">
        <v>192</v>
      </c>
      <c r="E1401" s="10" t="s">
        <v>195</v>
      </c>
      <c r="F1401" s="10" t="s">
        <v>188</v>
      </c>
      <c r="G1401" s="10" t="s">
        <v>198</v>
      </c>
      <c r="H1401" s="10">
        <v>8047377476</v>
      </c>
      <c r="I1401" s="5">
        <v>800</v>
      </c>
      <c r="J1401" s="97"/>
      <c r="K1401" s="97"/>
      <c r="L1401" s="97"/>
      <c r="M1401" s="97"/>
      <c r="N1401" s="97"/>
      <c r="O1401" s="5">
        <v>17600</v>
      </c>
      <c r="P1401" s="97"/>
    </row>
    <row r="1402" spans="1:16" ht="15.75">
      <c r="A1402" s="97">
        <v>10</v>
      </c>
      <c r="B1402" s="98">
        <v>46252</v>
      </c>
      <c r="C1402" s="97" t="s">
        <v>51</v>
      </c>
      <c r="D1402" s="5" t="s">
        <v>193</v>
      </c>
      <c r="E1402" s="10" t="s">
        <v>195</v>
      </c>
      <c r="F1402" s="10" t="s">
        <v>83</v>
      </c>
      <c r="G1402" s="10" t="s">
        <v>189</v>
      </c>
      <c r="H1402" s="10">
        <v>8396804752</v>
      </c>
      <c r="I1402" s="3">
        <v>750</v>
      </c>
      <c r="J1402" s="97"/>
      <c r="K1402" s="97"/>
      <c r="L1402" s="97"/>
      <c r="M1402" s="97"/>
      <c r="N1402" s="97"/>
      <c r="O1402" s="5">
        <v>10500</v>
      </c>
      <c r="P1402" s="97"/>
    </row>
    <row r="1403" spans="1:16" ht="15.75">
      <c r="A1403" s="97">
        <v>11</v>
      </c>
      <c r="B1403" s="98">
        <v>46252</v>
      </c>
      <c r="C1403" s="97" t="s">
        <v>51</v>
      </c>
      <c r="D1403" s="5" t="s">
        <v>207</v>
      </c>
      <c r="E1403" s="10" t="s">
        <v>225</v>
      </c>
      <c r="F1403" s="10" t="s">
        <v>213</v>
      </c>
      <c r="G1403" s="10" t="s">
        <v>214</v>
      </c>
      <c r="H1403" s="10">
        <v>9034419162</v>
      </c>
      <c r="I1403" s="3">
        <v>750</v>
      </c>
      <c r="J1403" s="97"/>
      <c r="K1403" s="97"/>
      <c r="L1403" s="97"/>
      <c r="M1403" s="97"/>
      <c r="N1403" s="97"/>
      <c r="O1403" s="5">
        <v>12000</v>
      </c>
      <c r="P1403" s="97"/>
    </row>
    <row r="1404" spans="1:16" ht="15.75">
      <c r="A1404" s="97">
        <v>12</v>
      </c>
      <c r="B1404" s="98">
        <v>46252</v>
      </c>
      <c r="C1404" s="97" t="s">
        <v>51</v>
      </c>
      <c r="D1404" s="5" t="s">
        <v>209</v>
      </c>
      <c r="E1404" s="10" t="s">
        <v>226</v>
      </c>
      <c r="F1404" s="10" t="s">
        <v>217</v>
      </c>
      <c r="G1404" s="10" t="s">
        <v>218</v>
      </c>
      <c r="H1404" s="10">
        <v>9671740481</v>
      </c>
      <c r="I1404" s="3">
        <v>750</v>
      </c>
      <c r="J1404" s="97"/>
      <c r="K1404" s="97"/>
      <c r="L1404" s="97"/>
      <c r="M1404" s="97"/>
      <c r="N1404" s="97"/>
      <c r="O1404" s="5">
        <v>10500</v>
      </c>
      <c r="P1404" s="97"/>
    </row>
    <row r="1405" spans="1:16" ht="15.75">
      <c r="A1405" s="97">
        <v>13</v>
      </c>
      <c r="B1405" s="98">
        <v>46252</v>
      </c>
      <c r="C1405" s="97" t="s">
        <v>51</v>
      </c>
      <c r="D1405" s="5" t="s">
        <v>210</v>
      </c>
      <c r="E1405" s="10" t="s">
        <v>227</v>
      </c>
      <c r="F1405" s="10" t="s">
        <v>219</v>
      </c>
      <c r="G1405" s="10" t="s">
        <v>220</v>
      </c>
      <c r="H1405" s="10">
        <v>9311797101</v>
      </c>
      <c r="I1405" s="3">
        <v>750</v>
      </c>
      <c r="J1405" s="97"/>
      <c r="K1405" s="97"/>
      <c r="L1405" s="97"/>
      <c r="M1405" s="97"/>
      <c r="N1405" s="97"/>
      <c r="O1405" s="5">
        <v>10500</v>
      </c>
      <c r="P1405" s="97"/>
    </row>
    <row r="1406" spans="1:16" ht="15.75">
      <c r="A1406" s="97">
        <v>14</v>
      </c>
      <c r="B1406" s="98">
        <v>46252</v>
      </c>
      <c r="C1406" s="97" t="s">
        <v>51</v>
      </c>
      <c r="D1406" s="5" t="s">
        <v>211</v>
      </c>
      <c r="E1406" s="10" t="s">
        <v>226</v>
      </c>
      <c r="F1406" s="10" t="s">
        <v>221</v>
      </c>
      <c r="G1406" s="10" t="s">
        <v>222</v>
      </c>
      <c r="H1406" s="10">
        <v>7206610781</v>
      </c>
      <c r="I1406" s="3">
        <v>750</v>
      </c>
      <c r="J1406" s="97"/>
      <c r="K1406" s="97"/>
      <c r="L1406" s="97"/>
      <c r="M1406" s="97"/>
      <c r="N1406" s="97"/>
      <c r="O1406" s="5">
        <v>10500</v>
      </c>
      <c r="P1406" s="97"/>
    </row>
    <row r="1407" spans="1:16" ht="15.75">
      <c r="A1407" s="97">
        <v>15</v>
      </c>
      <c r="B1407" s="98">
        <v>46252</v>
      </c>
      <c r="C1407" s="97" t="s">
        <v>51</v>
      </c>
      <c r="D1407" s="5" t="s">
        <v>212</v>
      </c>
      <c r="E1407" s="10" t="s">
        <v>226</v>
      </c>
      <c r="F1407" s="10" t="s">
        <v>223</v>
      </c>
      <c r="G1407" s="10" t="s">
        <v>224</v>
      </c>
      <c r="H1407" s="10">
        <v>8814045633</v>
      </c>
      <c r="I1407" s="3">
        <v>750</v>
      </c>
      <c r="J1407" s="97"/>
      <c r="K1407" s="97"/>
      <c r="L1407" s="97"/>
      <c r="M1407" s="97"/>
      <c r="N1407" s="97"/>
      <c r="O1407" s="5">
        <v>10500</v>
      </c>
      <c r="P1407" s="97"/>
    </row>
    <row r="1408" spans="1:16" ht="15.75">
      <c r="A1408" s="97">
        <v>16</v>
      </c>
      <c r="B1408" s="98">
        <v>46252</v>
      </c>
      <c r="C1408" s="97" t="s">
        <v>51</v>
      </c>
      <c r="D1408" s="5" t="s">
        <v>228</v>
      </c>
      <c r="E1408" s="3" t="s">
        <v>229</v>
      </c>
      <c r="F1408" s="10" t="s">
        <v>165</v>
      </c>
      <c r="G1408" s="10" t="s">
        <v>198</v>
      </c>
      <c r="H1408" s="10">
        <v>9588783317</v>
      </c>
      <c r="I1408" s="3">
        <v>750</v>
      </c>
      <c r="J1408" s="97"/>
      <c r="K1408" s="97"/>
      <c r="L1408" s="97"/>
      <c r="M1408" s="97"/>
      <c r="N1408" s="97"/>
      <c r="O1408" s="5">
        <v>10500</v>
      </c>
      <c r="P1408" s="97"/>
    </row>
    <row r="1409" spans="1:16" ht="15.75">
      <c r="A1409" s="97">
        <v>17</v>
      </c>
      <c r="B1409" s="98">
        <v>46252</v>
      </c>
      <c r="C1409" s="97" t="s">
        <v>51</v>
      </c>
      <c r="D1409" s="5" t="s">
        <v>233</v>
      </c>
      <c r="E1409" s="10" t="s">
        <v>49</v>
      </c>
      <c r="F1409" s="10" t="s">
        <v>231</v>
      </c>
      <c r="G1409" s="10" t="s">
        <v>142</v>
      </c>
      <c r="H1409" s="10">
        <v>7497855174</v>
      </c>
      <c r="I1409" s="3">
        <v>750</v>
      </c>
      <c r="J1409" s="97"/>
      <c r="K1409" s="97"/>
      <c r="L1409" s="97"/>
      <c r="M1409" s="97"/>
      <c r="N1409" s="97"/>
      <c r="O1409" s="5">
        <v>11250</v>
      </c>
      <c r="P1409" s="97"/>
    </row>
    <row r="1410" spans="1:16" ht="15.75">
      <c r="A1410" s="97">
        <v>18</v>
      </c>
      <c r="B1410" s="98">
        <v>46252</v>
      </c>
      <c r="C1410" s="97" t="s">
        <v>51</v>
      </c>
      <c r="D1410" s="5" t="s">
        <v>234</v>
      </c>
      <c r="E1410" s="10" t="s">
        <v>196</v>
      </c>
      <c r="F1410" s="10" t="s">
        <v>232</v>
      </c>
      <c r="G1410" s="10" t="s">
        <v>235</v>
      </c>
      <c r="H1410" s="10">
        <v>9817633128</v>
      </c>
      <c r="I1410" s="3">
        <v>800</v>
      </c>
      <c r="J1410" s="97"/>
      <c r="K1410" s="97"/>
      <c r="L1410" s="97"/>
      <c r="M1410" s="97"/>
      <c r="N1410" s="97"/>
      <c r="O1410" s="5">
        <v>18400</v>
      </c>
      <c r="P1410" s="97"/>
    </row>
    <row r="1411" spans="1:16" ht="15.75">
      <c r="A1411" s="97">
        <v>19</v>
      </c>
      <c r="B1411" s="98">
        <v>46252</v>
      </c>
      <c r="C1411" s="97" t="s">
        <v>51</v>
      </c>
      <c r="D1411" s="5" t="s">
        <v>236</v>
      </c>
      <c r="E1411" s="10" t="s">
        <v>238</v>
      </c>
      <c r="F1411" s="10" t="s">
        <v>180</v>
      </c>
      <c r="G1411" s="10" t="s">
        <v>240</v>
      </c>
      <c r="H1411" s="10">
        <v>9728727855</v>
      </c>
      <c r="I1411" s="3">
        <v>750</v>
      </c>
      <c r="J1411" s="97"/>
      <c r="K1411" s="97"/>
      <c r="L1411" s="97"/>
      <c r="M1411" s="97"/>
      <c r="N1411" s="97"/>
      <c r="O1411" s="5">
        <v>11250</v>
      </c>
      <c r="P1411" s="97"/>
    </row>
    <row r="1412" spans="1:16" ht="15.75">
      <c r="A1412" s="97">
        <v>20</v>
      </c>
      <c r="B1412" s="98">
        <v>46252</v>
      </c>
      <c r="C1412" s="97" t="s">
        <v>51</v>
      </c>
      <c r="D1412" s="5" t="s">
        <v>237</v>
      </c>
      <c r="E1412" s="10" t="s">
        <v>238</v>
      </c>
      <c r="F1412" s="10" t="s">
        <v>239</v>
      </c>
      <c r="G1412" s="10" t="s">
        <v>241</v>
      </c>
      <c r="H1412" s="10">
        <v>9813575389</v>
      </c>
      <c r="I1412" s="3">
        <v>800</v>
      </c>
      <c r="J1412" s="97"/>
      <c r="K1412" s="97"/>
      <c r="L1412" s="97"/>
      <c r="M1412" s="97"/>
      <c r="N1412" s="97"/>
      <c r="O1412" s="5">
        <v>18400</v>
      </c>
      <c r="P1412" s="97"/>
    </row>
    <row r="1413" spans="1:16" ht="15.75">
      <c r="A1413" s="97">
        <v>21</v>
      </c>
      <c r="B1413" s="98">
        <v>46252</v>
      </c>
      <c r="C1413" s="97" t="s">
        <v>51</v>
      </c>
      <c r="D1413" s="5" t="s">
        <v>242</v>
      </c>
      <c r="E1413" s="10" t="s">
        <v>226</v>
      </c>
      <c r="F1413" s="10" t="s">
        <v>246</v>
      </c>
      <c r="G1413" s="10" t="s">
        <v>249</v>
      </c>
      <c r="H1413" s="10">
        <v>9997650988</v>
      </c>
      <c r="I1413" s="3">
        <v>750</v>
      </c>
      <c r="J1413" s="97"/>
      <c r="K1413" s="97"/>
      <c r="L1413" s="97"/>
      <c r="M1413" s="97"/>
      <c r="N1413" s="97"/>
      <c r="O1413" s="5">
        <v>11250</v>
      </c>
      <c r="P1413" s="97"/>
    </row>
    <row r="1414" spans="1:16" ht="15.75">
      <c r="A1414" s="97">
        <v>22</v>
      </c>
      <c r="B1414" s="98">
        <v>46252</v>
      </c>
      <c r="C1414" s="97" t="s">
        <v>51</v>
      </c>
      <c r="D1414" s="5" t="s">
        <v>243</v>
      </c>
      <c r="E1414" s="10" t="s">
        <v>225</v>
      </c>
      <c r="F1414" s="10" t="s">
        <v>247</v>
      </c>
      <c r="G1414" s="10" t="s">
        <v>250</v>
      </c>
      <c r="H1414" s="10">
        <v>8607470754</v>
      </c>
      <c r="I1414" s="3">
        <v>800</v>
      </c>
      <c r="J1414" s="97"/>
      <c r="K1414" s="97"/>
      <c r="L1414" s="97"/>
      <c r="M1414" s="97"/>
      <c r="N1414" s="97"/>
      <c r="O1414" s="5">
        <v>18400</v>
      </c>
      <c r="P1414" s="97"/>
    </row>
    <row r="1415" spans="1:16" ht="15.75">
      <c r="A1415" s="97">
        <v>23</v>
      </c>
      <c r="B1415" s="98">
        <v>46252</v>
      </c>
      <c r="C1415" s="97" t="s">
        <v>51</v>
      </c>
      <c r="D1415" s="5" t="s">
        <v>244</v>
      </c>
      <c r="E1415" s="10" t="s">
        <v>226</v>
      </c>
      <c r="F1415" s="10" t="s">
        <v>248</v>
      </c>
      <c r="G1415" s="10" t="s">
        <v>251</v>
      </c>
      <c r="H1415" s="10">
        <v>8929903323</v>
      </c>
      <c r="I1415" s="3">
        <v>800</v>
      </c>
      <c r="J1415" s="97"/>
      <c r="K1415" s="97"/>
      <c r="L1415" s="97"/>
      <c r="M1415" s="97"/>
      <c r="N1415" s="97"/>
      <c r="O1415" s="5">
        <v>18400</v>
      </c>
      <c r="P1415" s="97"/>
    </row>
    <row r="1416" spans="1:16" ht="15.75">
      <c r="A1416" s="97">
        <v>24</v>
      </c>
      <c r="B1416" s="98">
        <v>46252</v>
      </c>
      <c r="C1416" s="97" t="s">
        <v>51</v>
      </c>
      <c r="D1416" s="5" t="s">
        <v>252</v>
      </c>
      <c r="E1416" s="10" t="s">
        <v>226</v>
      </c>
      <c r="F1416" s="10" t="s">
        <v>120</v>
      </c>
      <c r="G1416" s="10" t="s">
        <v>253</v>
      </c>
      <c r="H1416" s="10">
        <v>8930304731</v>
      </c>
      <c r="I1416" s="3">
        <v>800</v>
      </c>
      <c r="J1416" s="97"/>
      <c r="K1416" s="97"/>
      <c r="L1416" s="97"/>
      <c r="M1416" s="97"/>
      <c r="N1416" s="97"/>
      <c r="O1416" s="5">
        <v>18400</v>
      </c>
      <c r="P1416" s="97"/>
    </row>
    <row r="1417" spans="1:16" ht="15.75">
      <c r="A1417" s="97">
        <v>25</v>
      </c>
      <c r="B1417" s="98">
        <v>46252</v>
      </c>
      <c r="C1417" s="97" t="s">
        <v>51</v>
      </c>
      <c r="D1417" s="5" t="s">
        <v>256</v>
      </c>
      <c r="E1417" s="10" t="s">
        <v>257</v>
      </c>
      <c r="F1417" s="10" t="s">
        <v>258</v>
      </c>
      <c r="G1417" s="10" t="s">
        <v>259</v>
      </c>
      <c r="H1417" s="10">
        <v>7355860393</v>
      </c>
      <c r="I1417" s="3">
        <v>750</v>
      </c>
      <c r="J1417" s="97"/>
      <c r="K1417" s="97"/>
      <c r="L1417" s="97"/>
      <c r="M1417" s="97"/>
      <c r="N1417" s="97"/>
      <c r="O1417" s="5">
        <v>11250</v>
      </c>
      <c r="P1417" s="97"/>
    </row>
    <row r="1418" spans="1:16" ht="15.75">
      <c r="A1418" s="97">
        <v>26</v>
      </c>
      <c r="B1418" s="98">
        <v>46252</v>
      </c>
      <c r="C1418" s="97" t="s">
        <v>51</v>
      </c>
      <c r="D1418" s="5" t="s">
        <v>263</v>
      </c>
      <c r="E1418" s="10" t="s">
        <v>196</v>
      </c>
      <c r="F1418" s="147" t="s">
        <v>260</v>
      </c>
      <c r="G1418" s="10" t="s">
        <v>268</v>
      </c>
      <c r="H1418" s="10">
        <v>8936838477</v>
      </c>
      <c r="I1418" s="3">
        <v>750</v>
      </c>
      <c r="J1418" s="97"/>
      <c r="K1418" s="97"/>
      <c r="L1418" s="97"/>
      <c r="M1418" s="97"/>
      <c r="N1418" s="97"/>
      <c r="O1418" s="5">
        <v>12000</v>
      </c>
      <c r="P1418" s="97"/>
    </row>
    <row r="1419" spans="1:16" ht="15.75">
      <c r="A1419" s="97">
        <v>27</v>
      </c>
      <c r="B1419" s="98">
        <v>46252</v>
      </c>
      <c r="C1419" s="97" t="s">
        <v>51</v>
      </c>
      <c r="D1419" s="5" t="s">
        <v>266</v>
      </c>
      <c r="E1419" s="10" t="s">
        <v>196</v>
      </c>
      <c r="F1419" s="147" t="s">
        <v>239</v>
      </c>
      <c r="G1419" s="10" t="s">
        <v>235</v>
      </c>
      <c r="H1419" s="10">
        <v>9728139162</v>
      </c>
      <c r="I1419" s="3">
        <v>750</v>
      </c>
      <c r="J1419" s="97"/>
      <c r="K1419" s="97"/>
      <c r="L1419" s="97"/>
      <c r="M1419" s="97"/>
      <c r="N1419" s="97"/>
      <c r="O1419" s="5">
        <v>12000</v>
      </c>
      <c r="P1419" s="97"/>
    </row>
    <row r="1420" spans="1:16" ht="15.75">
      <c r="A1420" s="97">
        <v>28</v>
      </c>
      <c r="B1420" s="98">
        <v>46252</v>
      </c>
      <c r="C1420" s="97" t="s">
        <v>51</v>
      </c>
      <c r="D1420" s="5" t="s">
        <v>288</v>
      </c>
      <c r="E1420" s="3" t="s">
        <v>290</v>
      </c>
      <c r="F1420" s="148" t="s">
        <v>180</v>
      </c>
      <c r="G1420" s="3" t="s">
        <v>295</v>
      </c>
      <c r="H1420" s="3">
        <v>9671443722</v>
      </c>
      <c r="I1420" s="3">
        <v>800</v>
      </c>
      <c r="J1420" s="97"/>
      <c r="K1420" s="97"/>
      <c r="L1420" s="97"/>
      <c r="M1420" s="97"/>
      <c r="N1420" s="97"/>
      <c r="O1420" s="5">
        <v>20800</v>
      </c>
      <c r="P1420" s="97"/>
    </row>
    <row r="1421" spans="1:16" ht="15.75">
      <c r="A1421" s="97">
        <v>29</v>
      </c>
      <c r="B1421" s="98">
        <v>46252</v>
      </c>
      <c r="C1421" s="97" t="s">
        <v>51</v>
      </c>
      <c r="D1421" s="5" t="s">
        <v>289</v>
      </c>
      <c r="E1421" s="3" t="s">
        <v>291</v>
      </c>
      <c r="F1421" s="148" t="s">
        <v>292</v>
      </c>
      <c r="G1421" s="3" t="s">
        <v>296</v>
      </c>
      <c r="H1421" s="3">
        <v>9343799675</v>
      </c>
      <c r="I1421" s="3">
        <v>800</v>
      </c>
      <c r="J1421" s="97"/>
      <c r="K1421" s="97"/>
      <c r="L1421" s="97"/>
      <c r="M1421" s="97"/>
      <c r="N1421" s="97"/>
      <c r="O1421" s="5">
        <v>20000</v>
      </c>
      <c r="P1421" s="97"/>
    </row>
    <row r="1422" spans="1:16" ht="15.75">
      <c r="A1422" s="97">
        <v>30</v>
      </c>
      <c r="B1422" s="98">
        <v>46252</v>
      </c>
      <c r="C1422" s="97" t="s">
        <v>51</v>
      </c>
      <c r="D1422" s="5" t="s">
        <v>298</v>
      </c>
      <c r="E1422" s="3" t="s">
        <v>300</v>
      </c>
      <c r="F1422" s="148" t="s">
        <v>71</v>
      </c>
      <c r="G1422" s="3" t="s">
        <v>302</v>
      </c>
      <c r="H1422" s="3">
        <v>7056212672</v>
      </c>
      <c r="I1422" s="3">
        <v>750</v>
      </c>
      <c r="J1422" s="97"/>
      <c r="K1422" s="97"/>
      <c r="L1422" s="97"/>
      <c r="M1422" s="97"/>
      <c r="N1422" s="97"/>
      <c r="O1422" s="5">
        <v>12750</v>
      </c>
      <c r="P1422" s="97"/>
    </row>
    <row r="1423" spans="1:16" ht="15.75">
      <c r="A1423" s="97">
        <v>31</v>
      </c>
      <c r="B1423" s="98">
        <v>46252</v>
      </c>
      <c r="C1423" s="97" t="s">
        <v>51</v>
      </c>
      <c r="D1423" s="5" t="s">
        <v>306</v>
      </c>
      <c r="E1423" s="3" t="s">
        <v>308</v>
      </c>
      <c r="F1423" s="148" t="s">
        <v>165</v>
      </c>
      <c r="G1423" s="3" t="s">
        <v>310</v>
      </c>
      <c r="H1423" s="3">
        <v>9971836202</v>
      </c>
      <c r="I1423" s="3">
        <v>800</v>
      </c>
      <c r="J1423" s="97"/>
      <c r="K1423" s="97"/>
      <c r="L1423" s="97"/>
      <c r="M1423" s="97"/>
      <c r="N1423" s="97"/>
      <c r="O1423" s="6">
        <v>20800</v>
      </c>
      <c r="P1423" s="97"/>
    </row>
    <row r="1424" spans="1:16" ht="15.75">
      <c r="A1424" s="97">
        <v>32</v>
      </c>
      <c r="B1424" s="98">
        <v>46252</v>
      </c>
      <c r="C1424" s="97" t="s">
        <v>51</v>
      </c>
      <c r="D1424" s="5" t="s">
        <v>307</v>
      </c>
      <c r="E1424" s="3" t="s">
        <v>309</v>
      </c>
      <c r="F1424" s="148" t="s">
        <v>305</v>
      </c>
      <c r="G1424" s="3" t="s">
        <v>54</v>
      </c>
      <c r="H1424" s="3">
        <v>8307951615</v>
      </c>
      <c r="I1424" s="3">
        <v>1000</v>
      </c>
      <c r="J1424" s="97"/>
      <c r="K1424" s="97"/>
      <c r="L1424" s="97"/>
      <c r="M1424" s="97"/>
      <c r="N1424" s="97"/>
      <c r="O1424" s="6">
        <v>19000</v>
      </c>
      <c r="P1424" s="97"/>
    </row>
    <row r="1425" spans="1:16" ht="15.75">
      <c r="A1425" s="97">
        <v>33</v>
      </c>
      <c r="B1425" s="98">
        <v>46252</v>
      </c>
      <c r="C1425" s="97" t="s">
        <v>51</v>
      </c>
      <c r="D1425" s="5" t="s">
        <v>313</v>
      </c>
      <c r="E1425" s="3" t="s">
        <v>314</v>
      </c>
      <c r="F1425" s="148" t="s">
        <v>311</v>
      </c>
      <c r="G1425" s="3" t="s">
        <v>316</v>
      </c>
      <c r="H1425" s="3">
        <v>8053115922</v>
      </c>
      <c r="I1425" s="3">
        <v>1000</v>
      </c>
      <c r="J1425" s="97"/>
      <c r="K1425" s="97"/>
      <c r="L1425" s="97"/>
      <c r="M1425" s="97"/>
      <c r="N1425" s="97"/>
      <c r="O1425" s="6">
        <v>19000</v>
      </c>
      <c r="P1425" s="97"/>
    </row>
    <row r="1426" spans="1:16" ht="15.75">
      <c r="A1426" s="97">
        <v>34</v>
      </c>
      <c r="B1426" s="98">
        <v>46252</v>
      </c>
      <c r="C1426" s="97" t="s">
        <v>51</v>
      </c>
      <c r="D1426" s="5" t="s">
        <v>324</v>
      </c>
      <c r="E1426" s="3" t="s">
        <v>130</v>
      </c>
      <c r="F1426" s="3" t="s">
        <v>317</v>
      </c>
      <c r="G1426" s="3" t="s">
        <v>318</v>
      </c>
      <c r="H1426" s="3">
        <v>9034416529</v>
      </c>
      <c r="I1426" s="3">
        <v>1000</v>
      </c>
      <c r="J1426" s="97"/>
      <c r="K1426" s="97"/>
      <c r="L1426" s="97"/>
      <c r="M1426" s="97"/>
      <c r="N1426" s="97"/>
      <c r="O1426" s="6">
        <v>19000</v>
      </c>
      <c r="P1426" s="97"/>
    </row>
    <row r="1427" spans="1:16" ht="15.75">
      <c r="A1427" s="97">
        <v>35</v>
      </c>
      <c r="B1427" s="98">
        <v>46252</v>
      </c>
      <c r="C1427" s="97" t="s">
        <v>51</v>
      </c>
      <c r="D1427" s="5" t="s">
        <v>325</v>
      </c>
      <c r="E1427" s="3" t="s">
        <v>130</v>
      </c>
      <c r="F1427" s="3" t="s">
        <v>319</v>
      </c>
      <c r="G1427" s="3" t="s">
        <v>320</v>
      </c>
      <c r="H1427" s="3">
        <v>9728411675</v>
      </c>
      <c r="I1427" s="3">
        <v>1000</v>
      </c>
      <c r="J1427" s="97"/>
      <c r="K1427" s="97"/>
      <c r="L1427" s="97"/>
      <c r="M1427" s="97"/>
      <c r="N1427" s="97"/>
      <c r="O1427" s="6">
        <v>19000</v>
      </c>
      <c r="P1427" s="97"/>
    </row>
    <row r="1428" spans="1:16" ht="15.75">
      <c r="A1428" s="97">
        <v>36</v>
      </c>
      <c r="B1428" s="98">
        <v>46252</v>
      </c>
      <c r="C1428" s="97" t="s">
        <v>51</v>
      </c>
      <c r="D1428" s="5" t="s">
        <v>326</v>
      </c>
      <c r="E1428" s="3" t="s">
        <v>130</v>
      </c>
      <c r="F1428" s="3" t="s">
        <v>321</v>
      </c>
      <c r="G1428" s="3" t="s">
        <v>322</v>
      </c>
      <c r="H1428" s="3">
        <v>9034416529</v>
      </c>
      <c r="I1428" s="3">
        <v>1000</v>
      </c>
      <c r="J1428" s="97"/>
      <c r="K1428" s="97"/>
      <c r="L1428" s="97"/>
      <c r="M1428" s="97"/>
      <c r="N1428" s="97"/>
      <c r="O1428" s="6">
        <v>19000</v>
      </c>
      <c r="P1428" s="97"/>
    </row>
    <row r="1429" spans="1:16" ht="15.75">
      <c r="A1429" s="97">
        <v>37</v>
      </c>
      <c r="B1429" s="98">
        <v>46252</v>
      </c>
      <c r="C1429" s="97" t="s">
        <v>51</v>
      </c>
      <c r="D1429" s="5" t="s">
        <v>327</v>
      </c>
      <c r="E1429" s="3" t="s">
        <v>300</v>
      </c>
      <c r="F1429" s="3" t="s">
        <v>180</v>
      </c>
      <c r="G1429" s="3" t="s">
        <v>78</v>
      </c>
      <c r="H1429" s="3">
        <v>7027786391</v>
      </c>
      <c r="I1429" s="3">
        <v>1000</v>
      </c>
      <c r="J1429" s="97"/>
      <c r="K1429" s="97"/>
      <c r="L1429" s="97"/>
      <c r="M1429" s="97"/>
      <c r="N1429" s="97"/>
      <c r="O1429" s="6">
        <v>21000</v>
      </c>
      <c r="P1429" s="97"/>
    </row>
    <row r="1430" spans="1:16" ht="15.75">
      <c r="A1430" s="97">
        <v>38</v>
      </c>
      <c r="B1430" s="98">
        <v>46252</v>
      </c>
      <c r="C1430" s="97" t="s">
        <v>51</v>
      </c>
      <c r="D1430" s="5" t="s">
        <v>328</v>
      </c>
      <c r="E1430" s="3" t="s">
        <v>130</v>
      </c>
      <c r="F1430" s="3" t="s">
        <v>323</v>
      </c>
      <c r="G1430" s="3" t="s">
        <v>126</v>
      </c>
      <c r="H1430" s="3">
        <v>9996695743</v>
      </c>
      <c r="I1430" s="3">
        <v>1000</v>
      </c>
      <c r="J1430" s="97"/>
      <c r="K1430" s="97"/>
      <c r="L1430" s="97"/>
      <c r="M1430" s="97"/>
      <c r="N1430" s="97"/>
      <c r="O1430" s="6">
        <v>19000</v>
      </c>
      <c r="P1430" s="97"/>
    </row>
    <row r="1431" spans="1:16" ht="15.75">
      <c r="A1431" s="97">
        <v>39</v>
      </c>
      <c r="B1431" s="98">
        <v>46252</v>
      </c>
      <c r="C1431" s="97" t="s">
        <v>51</v>
      </c>
      <c r="D1431" s="5" t="s">
        <v>345</v>
      </c>
      <c r="E1431" s="3" t="s">
        <v>349</v>
      </c>
      <c r="F1431" s="3" t="s">
        <v>337</v>
      </c>
      <c r="G1431" s="3" t="s">
        <v>338</v>
      </c>
      <c r="H1431" s="3">
        <v>9306916119</v>
      </c>
      <c r="I1431" s="3">
        <v>810</v>
      </c>
      <c r="J1431" s="97"/>
      <c r="K1431" s="97"/>
      <c r="L1431" s="97"/>
      <c r="M1431" s="97"/>
      <c r="N1431" s="97"/>
      <c r="O1431" s="6">
        <v>15390</v>
      </c>
      <c r="P1431" s="97"/>
    </row>
    <row r="1432" spans="1:16" ht="15.75">
      <c r="A1432" s="97">
        <v>40</v>
      </c>
      <c r="B1432" s="98">
        <v>46252</v>
      </c>
      <c r="C1432" s="97" t="s">
        <v>51</v>
      </c>
      <c r="D1432" s="5" t="s">
        <v>350</v>
      </c>
      <c r="E1432" s="3" t="s">
        <v>197</v>
      </c>
      <c r="F1432" s="3" t="s">
        <v>358</v>
      </c>
      <c r="G1432" s="3" t="s">
        <v>364</v>
      </c>
      <c r="H1432" s="3">
        <v>9319598592</v>
      </c>
      <c r="I1432" s="3">
        <v>1000</v>
      </c>
      <c r="J1432" s="97"/>
      <c r="K1432" s="97"/>
      <c r="L1432" s="97"/>
      <c r="M1432" s="97"/>
      <c r="N1432" s="97"/>
      <c r="O1432" s="6">
        <v>21000</v>
      </c>
      <c r="P1432" s="97"/>
    </row>
    <row r="1433" spans="1:16" ht="15.75">
      <c r="A1433" s="97">
        <v>41</v>
      </c>
      <c r="B1433" s="98">
        <v>46252</v>
      </c>
      <c r="C1433" s="97" t="s">
        <v>51</v>
      </c>
      <c r="D1433" s="5" t="s">
        <v>351</v>
      </c>
      <c r="E1433" s="3" t="s">
        <v>308</v>
      </c>
      <c r="F1433" s="3" t="s">
        <v>360</v>
      </c>
      <c r="G1433" s="3" t="s">
        <v>365</v>
      </c>
      <c r="H1433" s="3">
        <v>9582305438</v>
      </c>
      <c r="I1433" s="3">
        <v>810</v>
      </c>
      <c r="J1433" s="97"/>
      <c r="K1433" s="97"/>
      <c r="L1433" s="97"/>
      <c r="M1433" s="97"/>
      <c r="N1433" s="97"/>
      <c r="O1433" s="6">
        <v>15390</v>
      </c>
      <c r="P1433" s="97"/>
    </row>
    <row r="1434" spans="1:16" ht="15.75">
      <c r="A1434" s="97">
        <v>42</v>
      </c>
      <c r="B1434" s="98">
        <v>46252</v>
      </c>
      <c r="C1434" s="97" t="s">
        <v>51</v>
      </c>
      <c r="D1434" s="5" t="s">
        <v>352</v>
      </c>
      <c r="E1434" s="3" t="s">
        <v>300</v>
      </c>
      <c r="F1434" s="3" t="s">
        <v>359</v>
      </c>
      <c r="G1434" s="3" t="s">
        <v>366</v>
      </c>
      <c r="H1434" s="3">
        <v>9813880978</v>
      </c>
      <c r="I1434" s="3">
        <v>810</v>
      </c>
      <c r="J1434" s="97"/>
      <c r="K1434" s="97"/>
      <c r="L1434" s="97"/>
      <c r="M1434" s="97"/>
      <c r="N1434" s="97"/>
      <c r="O1434" s="6">
        <v>15390</v>
      </c>
      <c r="P1434" s="97"/>
    </row>
    <row r="1435" spans="1:16" ht="15.75">
      <c r="A1435" s="97">
        <v>43</v>
      </c>
      <c r="B1435" s="98">
        <v>46252</v>
      </c>
      <c r="C1435" s="97" t="s">
        <v>51</v>
      </c>
      <c r="D1435" s="5" t="s">
        <v>353</v>
      </c>
      <c r="E1435" s="3" t="s">
        <v>308</v>
      </c>
      <c r="F1435" s="3" t="s">
        <v>361</v>
      </c>
      <c r="G1435" s="3" t="s">
        <v>367</v>
      </c>
      <c r="H1435" s="3">
        <v>9319848440</v>
      </c>
      <c r="I1435" s="3">
        <v>1000</v>
      </c>
      <c r="J1435" s="97"/>
      <c r="K1435" s="97"/>
      <c r="L1435" s="97"/>
      <c r="M1435" s="97"/>
      <c r="N1435" s="97"/>
      <c r="O1435" s="6">
        <v>21000</v>
      </c>
      <c r="P1435" s="97"/>
    </row>
    <row r="1436" spans="1:16" ht="15.75">
      <c r="A1436" s="97">
        <v>44</v>
      </c>
      <c r="B1436" s="98">
        <v>46252</v>
      </c>
      <c r="C1436" s="97" t="s">
        <v>51</v>
      </c>
      <c r="D1436" s="5" t="s">
        <v>354</v>
      </c>
      <c r="E1436" s="3" t="s">
        <v>308</v>
      </c>
      <c r="F1436" s="3" t="s">
        <v>203</v>
      </c>
      <c r="G1436" s="3" t="s">
        <v>368</v>
      </c>
      <c r="H1436" s="3">
        <v>9389488234</v>
      </c>
      <c r="I1436" s="3">
        <v>1000</v>
      </c>
      <c r="J1436" s="97"/>
      <c r="K1436" s="97"/>
      <c r="L1436" s="97"/>
      <c r="M1436" s="97"/>
      <c r="N1436" s="97"/>
      <c r="O1436" s="6">
        <v>21000</v>
      </c>
      <c r="P1436" s="97"/>
    </row>
    <row r="1437" spans="1:16" ht="15.75">
      <c r="A1437" s="97">
        <v>45</v>
      </c>
      <c r="B1437" s="98">
        <v>46252</v>
      </c>
      <c r="C1437" s="97" t="s">
        <v>51</v>
      </c>
      <c r="D1437" s="5" t="s">
        <v>355</v>
      </c>
      <c r="E1437" s="3" t="s">
        <v>308</v>
      </c>
      <c r="F1437" s="3" t="s">
        <v>362</v>
      </c>
      <c r="G1437" s="3" t="s">
        <v>369</v>
      </c>
      <c r="H1437" s="3">
        <v>9211692359</v>
      </c>
      <c r="I1437" s="3">
        <v>1000</v>
      </c>
      <c r="J1437" s="97"/>
      <c r="K1437" s="97"/>
      <c r="L1437" s="97"/>
      <c r="M1437" s="97"/>
      <c r="N1437" s="97"/>
      <c r="O1437" s="6">
        <v>21000</v>
      </c>
      <c r="P1437" s="97"/>
    </row>
    <row r="1438" spans="1:16" ht="15.75">
      <c r="A1438" s="97">
        <v>46</v>
      </c>
      <c r="B1438" s="98">
        <v>46252</v>
      </c>
      <c r="C1438" s="97" t="s">
        <v>51</v>
      </c>
      <c r="D1438" s="5" t="s">
        <v>356</v>
      </c>
      <c r="E1438" s="3" t="s">
        <v>357</v>
      </c>
      <c r="F1438" s="3" t="s">
        <v>363</v>
      </c>
      <c r="G1438" s="3" t="s">
        <v>68</v>
      </c>
      <c r="H1438" s="3">
        <v>7027202092</v>
      </c>
      <c r="I1438" s="3">
        <v>810</v>
      </c>
      <c r="J1438" s="97"/>
      <c r="K1438" s="97"/>
      <c r="L1438" s="97"/>
      <c r="M1438" s="97"/>
      <c r="N1438" s="97"/>
      <c r="O1438" s="6">
        <v>15390</v>
      </c>
      <c r="P1438" s="97"/>
    </row>
    <row r="1439" spans="1:16" ht="15.75">
      <c r="A1439" s="97">
        <v>47</v>
      </c>
      <c r="B1439" s="98">
        <v>46252</v>
      </c>
      <c r="C1439" s="97" t="s">
        <v>51</v>
      </c>
      <c r="D1439" s="5" t="s">
        <v>370</v>
      </c>
      <c r="E1439" s="3" t="s">
        <v>308</v>
      </c>
      <c r="F1439" s="3" t="s">
        <v>373</v>
      </c>
      <c r="G1439" s="3" t="s">
        <v>375</v>
      </c>
      <c r="H1439" s="3">
        <v>8929770356</v>
      </c>
      <c r="I1439" s="3">
        <v>1000</v>
      </c>
      <c r="J1439" s="97"/>
      <c r="K1439" s="97"/>
      <c r="L1439" s="97"/>
      <c r="M1439" s="97"/>
      <c r="N1439" s="97"/>
      <c r="O1439" s="6">
        <v>21000</v>
      </c>
      <c r="P1439" s="97"/>
    </row>
    <row r="1440" spans="1:16" ht="15.75">
      <c r="A1440" s="97">
        <v>48</v>
      </c>
      <c r="B1440" s="98">
        <v>46252</v>
      </c>
      <c r="C1440" s="97" t="s">
        <v>51</v>
      </c>
      <c r="D1440" s="5" t="s">
        <v>371</v>
      </c>
      <c r="E1440" s="3" t="s">
        <v>372</v>
      </c>
      <c r="F1440" s="3" t="s">
        <v>374</v>
      </c>
      <c r="G1440" s="3" t="s">
        <v>376</v>
      </c>
      <c r="H1440" s="3">
        <v>9996738835</v>
      </c>
      <c r="I1440" s="3">
        <v>810</v>
      </c>
      <c r="J1440" s="97"/>
      <c r="K1440" s="97"/>
      <c r="L1440" s="97"/>
      <c r="M1440" s="97"/>
      <c r="N1440" s="97"/>
      <c r="O1440" s="6">
        <v>15390</v>
      </c>
      <c r="P1440" s="97"/>
    </row>
    <row r="1441" spans="1:16" ht="15.75">
      <c r="A1441" s="97">
        <v>49</v>
      </c>
      <c r="B1441" s="98">
        <v>46252</v>
      </c>
      <c r="C1441" s="97" t="s">
        <v>51</v>
      </c>
      <c r="D1441" s="5" t="s">
        <v>377</v>
      </c>
      <c r="E1441" s="3" t="s">
        <v>308</v>
      </c>
      <c r="F1441" s="3" t="s">
        <v>384</v>
      </c>
      <c r="G1441" s="3" t="s">
        <v>390</v>
      </c>
      <c r="H1441" s="3">
        <v>9311578306</v>
      </c>
      <c r="I1441" s="3">
        <v>1000</v>
      </c>
      <c r="J1441" s="97"/>
      <c r="K1441" s="97"/>
      <c r="L1441" s="97"/>
      <c r="M1441" s="97"/>
      <c r="N1441" s="97"/>
      <c r="O1441" s="6">
        <v>21000</v>
      </c>
      <c r="P1441" s="97"/>
    </row>
    <row r="1442" spans="1:16" ht="15.75">
      <c r="A1442" s="97">
        <v>50</v>
      </c>
      <c r="B1442" s="98">
        <v>46252</v>
      </c>
      <c r="C1442" s="97" t="s">
        <v>51</v>
      </c>
      <c r="D1442" s="5" t="s">
        <v>378</v>
      </c>
      <c r="E1442" s="3" t="s">
        <v>308</v>
      </c>
      <c r="F1442" s="3" t="s">
        <v>385</v>
      </c>
      <c r="G1442" s="3" t="s">
        <v>54</v>
      </c>
      <c r="H1442" s="3">
        <v>9818635674</v>
      </c>
      <c r="I1442" s="3">
        <v>1000</v>
      </c>
      <c r="J1442" s="97"/>
      <c r="K1442" s="97"/>
      <c r="L1442" s="97"/>
      <c r="M1442" s="97"/>
      <c r="N1442" s="97"/>
      <c r="O1442" s="6">
        <v>21000</v>
      </c>
      <c r="P1442" s="97"/>
    </row>
    <row r="1443" spans="1:16" ht="15.75">
      <c r="A1443" s="97">
        <v>51</v>
      </c>
      <c r="B1443" s="98">
        <v>46252</v>
      </c>
      <c r="C1443" s="97" t="s">
        <v>51</v>
      </c>
      <c r="D1443" s="5" t="s">
        <v>379</v>
      </c>
      <c r="E1443" s="3" t="s">
        <v>130</v>
      </c>
      <c r="F1443" s="3" t="s">
        <v>132</v>
      </c>
      <c r="G1443" s="3" t="s">
        <v>391</v>
      </c>
      <c r="H1443" s="3">
        <v>9728976983</v>
      </c>
      <c r="I1443" s="3">
        <v>810</v>
      </c>
      <c r="J1443" s="97"/>
      <c r="K1443" s="97"/>
      <c r="L1443" s="97"/>
      <c r="M1443" s="97"/>
      <c r="N1443" s="97"/>
      <c r="O1443" s="6">
        <v>15390</v>
      </c>
      <c r="P1443" s="97"/>
    </row>
    <row r="1444" spans="1:16" ht="15.75">
      <c r="A1444" s="97">
        <v>52</v>
      </c>
      <c r="B1444" s="98">
        <v>46252</v>
      </c>
      <c r="C1444" s="97" t="s">
        <v>51</v>
      </c>
      <c r="D1444" s="5" t="s">
        <v>380</v>
      </c>
      <c r="E1444" s="3" t="s">
        <v>130</v>
      </c>
      <c r="F1444" s="3" t="s">
        <v>386</v>
      </c>
      <c r="G1444" s="3" t="s">
        <v>389</v>
      </c>
      <c r="H1444" s="3">
        <v>9671616193</v>
      </c>
      <c r="I1444" s="3">
        <v>810</v>
      </c>
      <c r="J1444" s="97"/>
      <c r="K1444" s="97"/>
      <c r="L1444" s="97"/>
      <c r="M1444" s="97"/>
      <c r="N1444" s="97"/>
      <c r="O1444" s="6">
        <v>15390</v>
      </c>
      <c r="P1444" s="97"/>
    </row>
    <row r="1445" spans="1:16" ht="15.75">
      <c r="A1445" s="97">
        <v>53</v>
      </c>
      <c r="B1445" s="98">
        <v>46252</v>
      </c>
      <c r="C1445" s="97" t="s">
        <v>51</v>
      </c>
      <c r="D1445" s="5" t="s">
        <v>424</v>
      </c>
      <c r="E1445" s="3" t="s">
        <v>431</v>
      </c>
      <c r="F1445" s="3" t="s">
        <v>435</v>
      </c>
      <c r="G1445" s="3" t="s">
        <v>388</v>
      </c>
      <c r="H1445" s="3">
        <v>9812971544</v>
      </c>
      <c r="I1445" s="3">
        <v>1000</v>
      </c>
      <c r="J1445" s="97"/>
      <c r="K1445" s="97"/>
      <c r="L1445" s="97"/>
      <c r="M1445" s="97"/>
      <c r="N1445" s="97"/>
      <c r="O1445" s="6">
        <v>23000</v>
      </c>
      <c r="P1445" s="97"/>
    </row>
    <row r="1446" spans="1:16" ht="15.75">
      <c r="A1446" s="97">
        <v>54</v>
      </c>
      <c r="B1446" s="98">
        <v>46252</v>
      </c>
      <c r="C1446" s="97" t="s">
        <v>51</v>
      </c>
      <c r="D1446" s="5" t="s">
        <v>425</v>
      </c>
      <c r="E1446" s="3" t="s">
        <v>434</v>
      </c>
      <c r="F1446" s="3" t="s">
        <v>436</v>
      </c>
      <c r="G1446" s="3" t="s">
        <v>439</v>
      </c>
      <c r="H1446" s="3">
        <v>7027263992</v>
      </c>
      <c r="I1446" s="3">
        <v>810</v>
      </c>
      <c r="J1446" s="97"/>
      <c r="K1446" s="97"/>
      <c r="L1446" s="97"/>
      <c r="M1446" s="97"/>
      <c r="N1446" s="97"/>
      <c r="O1446" s="6">
        <v>17010</v>
      </c>
      <c r="P1446" s="97"/>
    </row>
    <row r="1447" spans="1:16" ht="15.75">
      <c r="A1447" s="97">
        <v>55</v>
      </c>
      <c r="B1447" s="98">
        <v>46252</v>
      </c>
      <c r="C1447" s="97" t="s">
        <v>51</v>
      </c>
      <c r="D1447" s="5" t="s">
        <v>426</v>
      </c>
      <c r="E1447" s="3" t="s">
        <v>432</v>
      </c>
      <c r="F1447" s="3" t="s">
        <v>71</v>
      </c>
      <c r="G1447" s="3" t="s">
        <v>259</v>
      </c>
      <c r="H1447" s="3">
        <v>7428815941</v>
      </c>
      <c r="I1447" s="3">
        <v>810</v>
      </c>
      <c r="J1447" s="97"/>
      <c r="K1447" s="97"/>
      <c r="L1447" s="97"/>
      <c r="M1447" s="97"/>
      <c r="N1447" s="97"/>
      <c r="O1447" s="6">
        <v>17820</v>
      </c>
      <c r="P1447" s="97"/>
    </row>
    <row r="1448" spans="1:16" ht="15.75">
      <c r="A1448" s="97">
        <v>56</v>
      </c>
      <c r="B1448" s="98">
        <v>46252</v>
      </c>
      <c r="C1448" s="97" t="s">
        <v>51</v>
      </c>
      <c r="D1448" s="5" t="s">
        <v>427</v>
      </c>
      <c r="E1448" s="3" t="s">
        <v>433</v>
      </c>
      <c r="F1448" s="3" t="s">
        <v>437</v>
      </c>
      <c r="G1448" s="3" t="s">
        <v>440</v>
      </c>
      <c r="H1448" s="3">
        <v>9992517804</v>
      </c>
      <c r="I1448" s="3">
        <v>1000</v>
      </c>
      <c r="J1448" s="97"/>
      <c r="K1448" s="97"/>
      <c r="L1448" s="97"/>
      <c r="M1448" s="97"/>
      <c r="N1448" s="97"/>
      <c r="O1448" s="6">
        <v>23000</v>
      </c>
      <c r="P1448" s="97"/>
    </row>
    <row r="1449" spans="1:16" ht="15.75">
      <c r="A1449" s="97">
        <v>57</v>
      </c>
      <c r="B1449" s="98">
        <v>46252</v>
      </c>
      <c r="C1449" s="97" t="s">
        <v>51</v>
      </c>
      <c r="D1449" s="5" t="s">
        <v>449</v>
      </c>
      <c r="E1449" s="3" t="s">
        <v>451</v>
      </c>
      <c r="F1449" s="3" t="s">
        <v>132</v>
      </c>
      <c r="G1449" s="3" t="s">
        <v>450</v>
      </c>
      <c r="H1449" s="3">
        <v>8178071116</v>
      </c>
      <c r="I1449" s="3">
        <v>1000</v>
      </c>
      <c r="J1449" s="97"/>
      <c r="K1449" s="97"/>
      <c r="L1449" s="97"/>
      <c r="M1449" s="97"/>
      <c r="N1449" s="97"/>
      <c r="O1449" s="6">
        <v>24000</v>
      </c>
      <c r="P1449" s="97"/>
    </row>
    <row r="1450" spans="1:16" ht="15.75">
      <c r="A1450" s="97">
        <v>58</v>
      </c>
      <c r="B1450" s="98">
        <v>46252</v>
      </c>
      <c r="C1450" s="97" t="s">
        <v>51</v>
      </c>
      <c r="D1450" s="6" t="s">
        <v>452</v>
      </c>
      <c r="E1450" s="3" t="s">
        <v>453</v>
      </c>
      <c r="F1450" s="3" t="s">
        <v>454</v>
      </c>
      <c r="G1450" s="3" t="s">
        <v>182</v>
      </c>
      <c r="H1450" s="3">
        <v>9354235940</v>
      </c>
      <c r="I1450" s="3">
        <v>1000</v>
      </c>
      <c r="J1450" s="97"/>
      <c r="K1450" s="97"/>
      <c r="L1450" s="97"/>
      <c r="M1450" s="97"/>
      <c r="N1450" s="97"/>
      <c r="O1450" s="6">
        <v>24000</v>
      </c>
      <c r="P1450" s="97"/>
    </row>
    <row r="1451" spans="1:16" ht="15.75">
      <c r="A1451" s="97">
        <v>59</v>
      </c>
      <c r="B1451" s="98">
        <v>46252</v>
      </c>
      <c r="C1451" s="97" t="s">
        <v>51</v>
      </c>
      <c r="D1451" s="6" t="s">
        <v>455</v>
      </c>
      <c r="E1451" s="3" t="s">
        <v>456</v>
      </c>
      <c r="F1451" s="3" t="s">
        <v>457</v>
      </c>
      <c r="G1451" s="3" t="s">
        <v>458</v>
      </c>
      <c r="H1451" s="3">
        <v>9821138185</v>
      </c>
      <c r="I1451" s="3">
        <v>1000</v>
      </c>
      <c r="J1451" s="97"/>
      <c r="K1451" s="97"/>
      <c r="L1451" s="97"/>
      <c r="M1451" s="97"/>
      <c r="N1451" s="97"/>
      <c r="O1451" s="6">
        <v>24000</v>
      </c>
      <c r="P1451" s="97"/>
    </row>
    <row r="1452" spans="1:16" ht="15.75">
      <c r="A1452" s="97">
        <v>60</v>
      </c>
      <c r="B1452" s="98">
        <v>46252</v>
      </c>
      <c r="C1452" s="97" t="s">
        <v>51</v>
      </c>
      <c r="D1452" s="6" t="s">
        <v>459</v>
      </c>
      <c r="E1452" s="3" t="s">
        <v>453</v>
      </c>
      <c r="F1452" s="3" t="s">
        <v>166</v>
      </c>
      <c r="G1452" s="3" t="s">
        <v>472</v>
      </c>
      <c r="H1452" s="3">
        <v>9910123112</v>
      </c>
      <c r="I1452" s="3">
        <v>810</v>
      </c>
      <c r="J1452" s="97"/>
      <c r="K1452" s="97"/>
      <c r="L1452" s="97"/>
      <c r="M1452" s="97"/>
      <c r="N1452" s="97"/>
      <c r="O1452" s="6">
        <v>19440</v>
      </c>
      <c r="P1452" s="97"/>
    </row>
    <row r="1453" spans="1:16" ht="15.75">
      <c r="A1453" s="97">
        <v>61</v>
      </c>
      <c r="B1453" s="98">
        <v>46252</v>
      </c>
      <c r="C1453" s="97" t="s">
        <v>51</v>
      </c>
      <c r="D1453" s="6" t="s">
        <v>461</v>
      </c>
      <c r="E1453" s="3" t="s">
        <v>430</v>
      </c>
      <c r="F1453" s="3" t="s">
        <v>231</v>
      </c>
      <c r="G1453" s="3" t="s">
        <v>471</v>
      </c>
      <c r="H1453" s="3">
        <v>9992711616</v>
      </c>
      <c r="I1453" s="3">
        <v>810</v>
      </c>
      <c r="J1453" s="97"/>
      <c r="K1453" s="97"/>
      <c r="L1453" s="97"/>
      <c r="M1453" s="97"/>
      <c r="N1453" s="97"/>
      <c r="O1453" s="6">
        <v>19440</v>
      </c>
      <c r="P1453" s="97"/>
    </row>
    <row r="1454" spans="1:16" ht="15.75">
      <c r="A1454" s="97">
        <v>62</v>
      </c>
      <c r="B1454" s="98">
        <v>46252</v>
      </c>
      <c r="C1454" s="97" t="s">
        <v>51</v>
      </c>
      <c r="D1454" s="6" t="s">
        <v>462</v>
      </c>
      <c r="E1454" s="3" t="s">
        <v>308</v>
      </c>
      <c r="F1454" s="3" t="s">
        <v>133</v>
      </c>
      <c r="G1454" s="3" t="s">
        <v>473</v>
      </c>
      <c r="H1454" s="3">
        <v>8178672126</v>
      </c>
      <c r="I1454" s="3">
        <v>810</v>
      </c>
      <c r="J1454" s="97"/>
      <c r="K1454" s="97"/>
      <c r="L1454" s="97"/>
      <c r="M1454" s="97"/>
      <c r="N1454" s="97"/>
      <c r="O1454" s="6">
        <v>19440</v>
      </c>
      <c r="P1454" s="97"/>
    </row>
    <row r="1455" spans="1:16" ht="15.75">
      <c r="A1455" s="97">
        <v>63</v>
      </c>
      <c r="B1455" s="98">
        <v>46252</v>
      </c>
      <c r="C1455" s="97" t="s">
        <v>51</v>
      </c>
      <c r="D1455" s="6" t="s">
        <v>463</v>
      </c>
      <c r="E1455" s="3" t="s">
        <v>453</v>
      </c>
      <c r="F1455" s="3" t="s">
        <v>468</v>
      </c>
      <c r="G1455" s="3" t="s">
        <v>474</v>
      </c>
      <c r="H1455" s="3">
        <v>8570025549</v>
      </c>
      <c r="I1455" s="3">
        <v>1000</v>
      </c>
      <c r="J1455" s="97"/>
      <c r="K1455" s="97"/>
      <c r="L1455" s="97"/>
      <c r="M1455" s="97"/>
      <c r="N1455" s="97"/>
      <c r="O1455" s="6">
        <v>26000</v>
      </c>
      <c r="P1455" s="97"/>
    </row>
    <row r="1456" spans="1:16" ht="15.75">
      <c r="A1456" s="97">
        <v>64</v>
      </c>
      <c r="B1456" s="98">
        <v>46252</v>
      </c>
      <c r="C1456" s="97" t="s">
        <v>51</v>
      </c>
      <c r="D1456" s="6" t="s">
        <v>464</v>
      </c>
      <c r="E1456" s="3" t="s">
        <v>453</v>
      </c>
      <c r="F1456" s="3" t="s">
        <v>71</v>
      </c>
      <c r="G1456" s="3" t="s">
        <v>475</v>
      </c>
      <c r="H1456" s="3">
        <v>9728970947</v>
      </c>
      <c r="I1456" s="3">
        <v>810</v>
      </c>
      <c r="J1456" s="97"/>
      <c r="K1456" s="97"/>
      <c r="L1456" s="97"/>
      <c r="M1456" s="97"/>
      <c r="N1456" s="97"/>
      <c r="O1456" s="6">
        <v>19440</v>
      </c>
      <c r="P1456" s="97"/>
    </row>
    <row r="1457" spans="1:16" ht="15.75">
      <c r="A1457" s="97">
        <v>65</v>
      </c>
      <c r="B1457" s="98">
        <v>46252</v>
      </c>
      <c r="C1457" s="97" t="s">
        <v>51</v>
      </c>
      <c r="D1457" s="6" t="s">
        <v>465</v>
      </c>
      <c r="E1457" s="3" t="s">
        <v>225</v>
      </c>
      <c r="F1457" s="3" t="s">
        <v>217</v>
      </c>
      <c r="G1457" s="3" t="s">
        <v>253</v>
      </c>
      <c r="H1457" s="3">
        <v>9306199188</v>
      </c>
      <c r="I1457" s="3">
        <v>1000</v>
      </c>
      <c r="J1457" s="97"/>
      <c r="K1457" s="97"/>
      <c r="L1457" s="97"/>
      <c r="M1457" s="97"/>
      <c r="N1457" s="97"/>
      <c r="O1457" s="6">
        <v>26000</v>
      </c>
      <c r="P1457" s="97"/>
    </row>
    <row r="1458" spans="1:16" ht="15.75">
      <c r="A1458" s="97">
        <v>66</v>
      </c>
      <c r="B1458" s="98">
        <v>46252</v>
      </c>
      <c r="C1458" s="97" t="s">
        <v>51</v>
      </c>
      <c r="D1458" s="6" t="s">
        <v>466</v>
      </c>
      <c r="E1458" s="3" t="s">
        <v>453</v>
      </c>
      <c r="F1458" s="3" t="s">
        <v>469</v>
      </c>
      <c r="G1458" s="3" t="s">
        <v>476</v>
      </c>
      <c r="H1458" s="3">
        <v>8059713208</v>
      </c>
      <c r="I1458" s="3">
        <v>1000</v>
      </c>
      <c r="J1458" s="97"/>
      <c r="K1458" s="97"/>
      <c r="L1458" s="97"/>
      <c r="M1458" s="97"/>
      <c r="N1458" s="97"/>
      <c r="O1458" s="6">
        <v>26000</v>
      </c>
      <c r="P1458" s="97"/>
    </row>
    <row r="1459" spans="1:16" ht="15.75">
      <c r="A1459" s="97">
        <v>67</v>
      </c>
      <c r="B1459" s="98">
        <v>46252</v>
      </c>
      <c r="C1459" s="97" t="s">
        <v>51</v>
      </c>
      <c r="D1459" s="6" t="s">
        <v>477</v>
      </c>
      <c r="E1459" s="3" t="s">
        <v>226</v>
      </c>
      <c r="F1459" s="3" t="s">
        <v>479</v>
      </c>
      <c r="G1459" s="3" t="s">
        <v>481</v>
      </c>
      <c r="H1459" s="3">
        <v>7056835124</v>
      </c>
      <c r="I1459" s="3">
        <v>1000</v>
      </c>
      <c r="J1459" s="97"/>
      <c r="K1459" s="97"/>
      <c r="L1459" s="97"/>
      <c r="M1459" s="97"/>
      <c r="N1459" s="97"/>
      <c r="O1459" s="6">
        <v>26000</v>
      </c>
      <c r="P1459" s="97"/>
    </row>
    <row r="1460" spans="1:16" ht="15.75">
      <c r="A1460" s="97">
        <v>68</v>
      </c>
      <c r="B1460" s="98">
        <v>46252</v>
      </c>
      <c r="C1460" s="97" t="s">
        <v>51</v>
      </c>
      <c r="D1460" s="6" t="s">
        <v>482</v>
      </c>
      <c r="E1460" s="3" t="s">
        <v>225</v>
      </c>
      <c r="F1460" s="3" t="s">
        <v>485</v>
      </c>
      <c r="G1460" s="3" t="s">
        <v>487</v>
      </c>
      <c r="H1460" s="3">
        <v>9253328570</v>
      </c>
      <c r="I1460" s="3">
        <v>1000</v>
      </c>
      <c r="J1460" s="97"/>
      <c r="K1460" s="97"/>
      <c r="L1460" s="97"/>
      <c r="M1460" s="97"/>
      <c r="N1460" s="97"/>
      <c r="O1460" s="6">
        <v>25000</v>
      </c>
      <c r="P1460" s="97"/>
    </row>
    <row r="1461" spans="1:16" ht="15.75">
      <c r="A1461" s="97">
        <v>69</v>
      </c>
      <c r="B1461" s="98">
        <v>46252</v>
      </c>
      <c r="C1461" s="97" t="s">
        <v>51</v>
      </c>
      <c r="D1461" s="6" t="s">
        <v>483</v>
      </c>
      <c r="E1461" s="3" t="s">
        <v>484</v>
      </c>
      <c r="F1461" s="3" t="s">
        <v>486</v>
      </c>
      <c r="G1461" s="3" t="s">
        <v>240</v>
      </c>
      <c r="H1461" s="3">
        <v>8955919046</v>
      </c>
      <c r="I1461" s="3">
        <v>1000</v>
      </c>
      <c r="J1461" s="97"/>
      <c r="K1461" s="97"/>
      <c r="L1461" s="97"/>
      <c r="M1461" s="97"/>
      <c r="N1461" s="97"/>
      <c r="O1461" s="6">
        <v>25000</v>
      </c>
      <c r="P1461" s="97"/>
    </row>
    <row r="1462" spans="1:16" ht="15.75">
      <c r="A1462" s="97">
        <v>70</v>
      </c>
      <c r="B1462" s="98">
        <v>46252</v>
      </c>
      <c r="C1462" s="97" t="s">
        <v>51</v>
      </c>
      <c r="D1462" s="6" t="s">
        <v>490</v>
      </c>
      <c r="E1462" s="3" t="s">
        <v>492</v>
      </c>
      <c r="F1462" s="3" t="s">
        <v>323</v>
      </c>
      <c r="G1462" s="3" t="s">
        <v>494</v>
      </c>
      <c r="H1462" s="3">
        <v>8607616916</v>
      </c>
      <c r="I1462" s="3">
        <v>810</v>
      </c>
      <c r="J1462" s="97"/>
      <c r="K1462" s="97"/>
      <c r="L1462" s="97"/>
      <c r="M1462" s="97"/>
      <c r="N1462" s="97"/>
      <c r="O1462" s="6">
        <v>19440</v>
      </c>
      <c r="P1462" s="97"/>
    </row>
    <row r="1463" spans="1:16" ht="15.75">
      <c r="A1463" s="97">
        <v>71</v>
      </c>
      <c r="B1463" s="98">
        <v>46252</v>
      </c>
      <c r="C1463" s="97" t="s">
        <v>51</v>
      </c>
      <c r="D1463" s="6" t="s">
        <v>497</v>
      </c>
      <c r="E1463" s="3" t="s">
        <v>500</v>
      </c>
      <c r="F1463" s="3" t="s">
        <v>498</v>
      </c>
      <c r="G1463" s="3" t="s">
        <v>316</v>
      </c>
      <c r="H1463" s="3">
        <v>8930736392</v>
      </c>
      <c r="I1463" s="3">
        <v>1000</v>
      </c>
      <c r="J1463" s="97"/>
      <c r="K1463" s="97"/>
      <c r="L1463" s="97"/>
      <c r="M1463" s="97"/>
      <c r="N1463" s="97"/>
      <c r="O1463" s="6">
        <v>25000</v>
      </c>
      <c r="P1463" s="97"/>
    </row>
    <row r="1464" spans="1:16" ht="15.75">
      <c r="A1464" s="97">
        <v>72</v>
      </c>
      <c r="B1464" s="98">
        <v>46252</v>
      </c>
      <c r="C1464" s="97" t="s">
        <v>51</v>
      </c>
      <c r="D1464" s="6" t="s">
        <v>503</v>
      </c>
      <c r="E1464" s="3" t="s">
        <v>505</v>
      </c>
      <c r="F1464" s="3" t="s">
        <v>83</v>
      </c>
      <c r="G1464" s="3" t="s">
        <v>443</v>
      </c>
      <c r="H1464" s="3">
        <v>8595468423</v>
      </c>
      <c r="I1464" s="3">
        <v>1000</v>
      </c>
      <c r="J1464" s="97"/>
      <c r="K1464" s="97"/>
      <c r="L1464" s="97"/>
      <c r="M1464" s="97"/>
      <c r="N1464" s="97"/>
      <c r="O1464" s="6">
        <v>25000</v>
      </c>
      <c r="P1464" s="97"/>
    </row>
    <row r="1465" spans="1:16" ht="15.75">
      <c r="A1465" s="97">
        <v>73</v>
      </c>
      <c r="B1465" s="98">
        <v>46252</v>
      </c>
      <c r="C1465" s="97" t="s">
        <v>51</v>
      </c>
      <c r="D1465" s="6" t="s">
        <v>510</v>
      </c>
      <c r="E1465" s="3" t="s">
        <v>505</v>
      </c>
      <c r="F1465" s="3" t="s">
        <v>323</v>
      </c>
      <c r="G1465" s="3" t="s">
        <v>515</v>
      </c>
      <c r="H1465" s="3">
        <v>9728147593</v>
      </c>
      <c r="I1465" s="3">
        <v>1000</v>
      </c>
      <c r="J1465" s="97"/>
      <c r="K1465" s="97"/>
      <c r="L1465" s="97"/>
      <c r="M1465" s="97"/>
      <c r="N1465" s="97"/>
      <c r="O1465" s="6">
        <v>26000</v>
      </c>
      <c r="P1465" s="97"/>
    </row>
    <row r="1466" spans="1:16" ht="15.75">
      <c r="A1466" s="97">
        <v>74</v>
      </c>
      <c r="B1466" s="98">
        <v>46252</v>
      </c>
      <c r="C1466" s="97" t="s">
        <v>51</v>
      </c>
      <c r="D1466" s="6" t="s">
        <v>519</v>
      </c>
      <c r="E1466" s="3" t="s">
        <v>513</v>
      </c>
      <c r="F1466" s="3" t="s">
        <v>520</v>
      </c>
      <c r="G1466" s="3" t="s">
        <v>440</v>
      </c>
      <c r="H1466" s="3">
        <v>8901271849</v>
      </c>
      <c r="I1466" s="3">
        <v>1000</v>
      </c>
      <c r="J1466" s="97"/>
      <c r="K1466" s="97"/>
      <c r="L1466" s="97"/>
      <c r="M1466" s="97"/>
      <c r="N1466" s="97"/>
      <c r="O1466" s="6">
        <v>26000</v>
      </c>
      <c r="P1466" s="97"/>
    </row>
    <row r="1467" spans="1:16">
      <c r="A1467" s="97"/>
      <c r="B1467" s="97"/>
      <c r="C1467" s="97"/>
      <c r="D1467" s="97"/>
      <c r="E1467" s="97"/>
      <c r="F1467" s="97"/>
      <c r="G1467" s="97"/>
      <c r="H1467" s="97"/>
      <c r="I1467" s="97"/>
      <c r="J1467" s="97"/>
      <c r="K1467" s="97"/>
      <c r="L1467" s="97"/>
      <c r="M1467" s="97"/>
      <c r="N1467" s="97"/>
      <c r="O1467" s="97"/>
      <c r="P1467" s="97"/>
    </row>
    <row r="1468" spans="1:16">
      <c r="A1468" s="97"/>
      <c r="B1468" s="97"/>
      <c r="C1468" s="97"/>
      <c r="D1468" s="97"/>
      <c r="E1468" s="97"/>
      <c r="F1468" s="97"/>
      <c r="G1468" s="97"/>
      <c r="H1468" s="97"/>
      <c r="I1468" s="97">
        <f>SUM(I1393:I1467)</f>
        <v>64240</v>
      </c>
      <c r="J1468" s="97"/>
      <c r="K1468" s="97"/>
      <c r="L1468" s="97"/>
      <c r="M1468" s="97"/>
      <c r="N1468" s="97"/>
      <c r="O1468" s="97">
        <f>SUM(O1393:O1467)</f>
        <v>1323610</v>
      </c>
      <c r="P1468" s="97"/>
    </row>
  </sheetData>
  <autoFilter ref="A1330:Q1384" xr:uid="{00000000-0001-0000-0200-000000000000}"/>
  <mergeCells count="32">
    <mergeCell ref="A1391:P1391"/>
    <mergeCell ref="A1329:P1329"/>
    <mergeCell ref="A1061:P1061"/>
    <mergeCell ref="A542:P542"/>
    <mergeCell ref="A1189:P1189"/>
    <mergeCell ref="A1119:P1119"/>
    <mergeCell ref="A992:P992"/>
    <mergeCell ref="A936:P936"/>
    <mergeCell ref="A1247:P1247"/>
    <mergeCell ref="A870:P870"/>
    <mergeCell ref="A639:P639"/>
    <mergeCell ref="A701:P701"/>
    <mergeCell ref="A202:P202"/>
    <mergeCell ref="A108:P108"/>
    <mergeCell ref="A315:P315"/>
    <mergeCell ref="A273:P273"/>
    <mergeCell ref="A240:P240"/>
    <mergeCell ref="A137:P137"/>
    <mergeCell ref="A168:P168"/>
    <mergeCell ref="A88:P88"/>
    <mergeCell ref="A3:P3"/>
    <mergeCell ref="A15:P15"/>
    <mergeCell ref="A30:P30"/>
    <mergeCell ref="A44:P44"/>
    <mergeCell ref="A64:P64"/>
    <mergeCell ref="A358:P358"/>
    <mergeCell ref="A591:P591"/>
    <mergeCell ref="A817:P817"/>
    <mergeCell ref="A754:P754"/>
    <mergeCell ref="A497:P497"/>
    <mergeCell ref="A446:P446"/>
    <mergeCell ref="A402:P402"/>
  </mergeCells>
  <phoneticPr fontId="51" type="noConversion"/>
  <pageMargins left="0" right="0" top="1.1811023622047245" bottom="0" header="0" footer="0"/>
  <pageSetup paperSize="9" scale="13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3"/>
  <sheetViews>
    <sheetView topLeftCell="A176" zoomScale="169" zoomScaleNormal="130" workbookViewId="0">
      <selection activeCell="C176" sqref="C176:C183"/>
    </sheetView>
  </sheetViews>
  <sheetFormatPr defaultColWidth="9" defaultRowHeight="15"/>
  <cols>
    <col min="1" max="1" width="4.28515625" style="100" customWidth="1"/>
    <col min="2" max="2" width="12.140625" style="100" customWidth="1"/>
    <col min="3" max="3" width="6.85546875" style="100" customWidth="1"/>
    <col min="4" max="4" width="7.28515625" style="100" customWidth="1"/>
    <col min="5" max="5" width="19.42578125" style="100" customWidth="1"/>
    <col min="6" max="6" width="17" style="100" customWidth="1"/>
    <col min="7" max="7" width="15.42578125" style="100" customWidth="1"/>
    <col min="8" max="8" width="13.42578125" style="100" customWidth="1"/>
    <col min="9" max="9" width="9.28515625" style="100" customWidth="1"/>
    <col min="10" max="10" width="8.140625" style="100" customWidth="1"/>
    <col min="11" max="11" width="15.7109375" style="100" customWidth="1"/>
    <col min="12" max="12" width="6.5703125" style="100" customWidth="1"/>
    <col min="13" max="13" width="4.5703125" style="100" customWidth="1"/>
    <col min="14" max="16" width="12.42578125" style="100" customWidth="1"/>
    <col min="17" max="17" width="10" style="100" customWidth="1"/>
    <col min="18" max="18" width="10.5703125" style="100" bestFit="1" customWidth="1"/>
    <col min="19" max="16384" width="9" style="100"/>
  </cols>
  <sheetData>
    <row r="1" spans="1:17" s="99" customFormat="1" ht="51" customHeight="1">
      <c r="A1" s="135" t="s">
        <v>86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</row>
    <row r="2" spans="1:17" ht="45">
      <c r="A2" s="40" t="s">
        <v>87</v>
      </c>
      <c r="B2" s="40" t="s">
        <v>88</v>
      </c>
      <c r="C2" s="40" t="s">
        <v>89</v>
      </c>
      <c r="D2" s="40" t="s">
        <v>90</v>
      </c>
      <c r="E2" s="40" t="s">
        <v>91</v>
      </c>
      <c r="F2" s="40" t="s">
        <v>92</v>
      </c>
      <c r="G2" s="40" t="s">
        <v>93</v>
      </c>
      <c r="H2" s="40" t="s">
        <v>94</v>
      </c>
      <c r="I2" s="40" t="s">
        <v>11</v>
      </c>
      <c r="J2" s="40" t="s">
        <v>12</v>
      </c>
      <c r="K2" s="40" t="s">
        <v>95</v>
      </c>
      <c r="L2" s="40" t="s">
        <v>96</v>
      </c>
      <c r="M2" s="40" t="s">
        <v>17</v>
      </c>
      <c r="N2" s="40" t="s">
        <v>97</v>
      </c>
      <c r="O2" s="40" t="s">
        <v>98</v>
      </c>
      <c r="P2" s="40" t="s">
        <v>43</v>
      </c>
      <c r="Q2" s="40" t="s">
        <v>99</v>
      </c>
    </row>
    <row r="3" spans="1:17">
      <c r="A3" s="41">
        <v>1</v>
      </c>
      <c r="B3" s="41" t="s">
        <v>100</v>
      </c>
      <c r="C3" s="41" t="s">
        <v>55</v>
      </c>
      <c r="D3" s="41" t="s">
        <v>56</v>
      </c>
      <c r="E3" s="41" t="s">
        <v>49</v>
      </c>
      <c r="F3" s="41" t="s">
        <v>53</v>
      </c>
      <c r="G3" s="41" t="s">
        <v>54</v>
      </c>
      <c r="H3" s="41">
        <v>9416205447</v>
      </c>
      <c r="I3" s="41">
        <v>15000</v>
      </c>
      <c r="J3" s="41">
        <v>1260</v>
      </c>
      <c r="K3" s="41">
        <f t="shared" ref="K3:K11" si="0">I3-J3</f>
        <v>13740</v>
      </c>
      <c r="L3" s="41">
        <v>750</v>
      </c>
      <c r="M3" s="41">
        <v>26</v>
      </c>
      <c r="N3" s="42">
        <v>46130</v>
      </c>
      <c r="O3" s="42">
        <v>46130</v>
      </c>
      <c r="P3" s="42">
        <v>46141</v>
      </c>
      <c r="Q3" s="41" t="s">
        <v>101</v>
      </c>
    </row>
    <row r="4" spans="1:17">
      <c r="A4" s="41">
        <v>2</v>
      </c>
      <c r="B4" s="41" t="s">
        <v>100</v>
      </c>
      <c r="C4" s="41" t="s">
        <v>55</v>
      </c>
      <c r="D4" s="41" t="s">
        <v>61</v>
      </c>
      <c r="E4" s="41" t="s">
        <v>58</v>
      </c>
      <c r="F4" s="41" t="s">
        <v>59</v>
      </c>
      <c r="G4" s="41" t="s">
        <v>60</v>
      </c>
      <c r="H4" s="41">
        <v>7082390753</v>
      </c>
      <c r="I4" s="41">
        <v>15000</v>
      </c>
      <c r="J4" s="41">
        <v>1260</v>
      </c>
      <c r="K4" s="41">
        <f t="shared" si="0"/>
        <v>13740</v>
      </c>
      <c r="L4" s="41">
        <v>750</v>
      </c>
      <c r="M4" s="41">
        <v>26</v>
      </c>
      <c r="N4" s="42">
        <v>46132</v>
      </c>
      <c r="O4" s="42">
        <v>46134</v>
      </c>
      <c r="P4" s="42">
        <v>46141</v>
      </c>
      <c r="Q4" s="41" t="s">
        <v>101</v>
      </c>
    </row>
    <row r="5" spans="1:17">
      <c r="A5" s="41">
        <v>3</v>
      </c>
      <c r="B5" s="41" t="s">
        <v>100</v>
      </c>
      <c r="C5" s="41" t="s">
        <v>55</v>
      </c>
      <c r="D5" s="41" t="s">
        <v>65</v>
      </c>
      <c r="E5" s="41" t="s">
        <v>62</v>
      </c>
      <c r="F5" s="41" t="s">
        <v>63</v>
      </c>
      <c r="G5" s="41" t="s">
        <v>64</v>
      </c>
      <c r="H5" s="41">
        <v>9050560127</v>
      </c>
      <c r="I5" s="41">
        <v>15000</v>
      </c>
      <c r="J5" s="41">
        <v>1260</v>
      </c>
      <c r="K5" s="41">
        <f t="shared" si="0"/>
        <v>13740</v>
      </c>
      <c r="L5" s="41">
        <v>750</v>
      </c>
      <c r="M5" s="41">
        <v>26</v>
      </c>
      <c r="N5" s="42">
        <v>46133</v>
      </c>
      <c r="O5" s="42">
        <v>46134</v>
      </c>
      <c r="P5" s="42">
        <v>46141</v>
      </c>
      <c r="Q5" s="41" t="s">
        <v>101</v>
      </c>
    </row>
    <row r="6" spans="1:17">
      <c r="A6" s="41">
        <v>4</v>
      </c>
      <c r="B6" s="41" t="s">
        <v>100</v>
      </c>
      <c r="C6" s="41" t="s">
        <v>69</v>
      </c>
      <c r="D6" s="41" t="s">
        <v>70</v>
      </c>
      <c r="E6" s="41" t="s">
        <v>66</v>
      </c>
      <c r="F6" s="41" t="s">
        <v>67</v>
      </c>
      <c r="G6" s="41" t="s">
        <v>68</v>
      </c>
      <c r="H6" s="41">
        <v>8395916139</v>
      </c>
      <c r="I6" s="41">
        <v>20000</v>
      </c>
      <c r="J6" s="41">
        <v>1580</v>
      </c>
      <c r="K6" s="41">
        <f t="shared" si="0"/>
        <v>18420</v>
      </c>
      <c r="L6" s="41">
        <v>800</v>
      </c>
      <c r="M6" s="41">
        <v>34</v>
      </c>
      <c r="N6" s="42">
        <v>46134</v>
      </c>
      <c r="O6" s="42">
        <v>46134</v>
      </c>
      <c r="P6" s="42">
        <v>46147</v>
      </c>
      <c r="Q6" s="41" t="s">
        <v>101</v>
      </c>
    </row>
    <row r="7" spans="1:17">
      <c r="A7" s="41">
        <v>5</v>
      </c>
      <c r="B7" s="41" t="s">
        <v>100</v>
      </c>
      <c r="C7" s="41" t="s">
        <v>69</v>
      </c>
      <c r="D7" s="41" t="s">
        <v>73</v>
      </c>
      <c r="E7" s="41" t="s">
        <v>66</v>
      </c>
      <c r="F7" s="41" t="s">
        <v>71</v>
      </c>
      <c r="G7" s="41" t="s">
        <v>72</v>
      </c>
      <c r="H7" s="41">
        <v>7289049720</v>
      </c>
      <c r="I7" s="41">
        <v>15000</v>
      </c>
      <c r="J7" s="41">
        <v>1260</v>
      </c>
      <c r="K7" s="41">
        <f t="shared" si="0"/>
        <v>13740</v>
      </c>
      <c r="L7" s="41">
        <v>750</v>
      </c>
      <c r="M7" s="41">
        <v>26</v>
      </c>
      <c r="N7" s="42">
        <v>46134</v>
      </c>
      <c r="O7" s="42">
        <v>46135</v>
      </c>
      <c r="P7" s="42">
        <v>46147</v>
      </c>
      <c r="Q7" s="41" t="s">
        <v>101</v>
      </c>
    </row>
    <row r="8" spans="1:17">
      <c r="A8" s="41">
        <v>6</v>
      </c>
      <c r="B8" s="41" t="s">
        <v>100</v>
      </c>
      <c r="C8" s="43" t="s">
        <v>55</v>
      </c>
      <c r="D8" s="41" t="s">
        <v>76</v>
      </c>
      <c r="E8" s="41" t="s">
        <v>62</v>
      </c>
      <c r="F8" s="43" t="s">
        <v>74</v>
      </c>
      <c r="G8" s="43" t="s">
        <v>75</v>
      </c>
      <c r="H8" s="43">
        <v>8607782625</v>
      </c>
      <c r="I8" s="43">
        <v>15000</v>
      </c>
      <c r="J8" s="43">
        <v>1260</v>
      </c>
      <c r="K8" s="41">
        <f t="shared" si="0"/>
        <v>13740</v>
      </c>
      <c r="L8" s="41">
        <v>750</v>
      </c>
      <c r="M8" s="41">
        <v>26</v>
      </c>
      <c r="N8" s="42">
        <v>46133</v>
      </c>
      <c r="O8" s="42">
        <v>46135</v>
      </c>
      <c r="P8" s="42">
        <v>46141</v>
      </c>
      <c r="Q8" s="41" t="s">
        <v>101</v>
      </c>
    </row>
    <row r="9" spans="1:17">
      <c r="A9" s="41">
        <v>7</v>
      </c>
      <c r="B9" s="41" t="s">
        <v>100</v>
      </c>
      <c r="C9" s="43" t="s">
        <v>69</v>
      </c>
      <c r="D9" s="41" t="s">
        <v>79</v>
      </c>
      <c r="E9" s="41" t="s">
        <v>66</v>
      </c>
      <c r="F9" s="43" t="s">
        <v>77</v>
      </c>
      <c r="G9" s="43" t="s">
        <v>78</v>
      </c>
      <c r="H9" s="43">
        <v>7355817478</v>
      </c>
      <c r="I9" s="43">
        <v>15000</v>
      </c>
      <c r="J9" s="43">
        <v>1260</v>
      </c>
      <c r="K9" s="41">
        <f t="shared" si="0"/>
        <v>13740</v>
      </c>
      <c r="L9" s="41">
        <v>750</v>
      </c>
      <c r="M9" s="41">
        <v>26</v>
      </c>
      <c r="N9" s="42">
        <v>46134</v>
      </c>
      <c r="O9" s="44">
        <v>46136</v>
      </c>
      <c r="P9" s="42">
        <v>46147</v>
      </c>
      <c r="Q9" s="41" t="s">
        <v>101</v>
      </c>
    </row>
    <row r="10" spans="1:17">
      <c r="A10" s="41">
        <v>8</v>
      </c>
      <c r="B10" s="41" t="s">
        <v>100</v>
      </c>
      <c r="C10" s="43" t="s">
        <v>69</v>
      </c>
      <c r="D10" s="41" t="s">
        <v>82</v>
      </c>
      <c r="E10" s="43" t="s">
        <v>66</v>
      </c>
      <c r="F10" s="43" t="s">
        <v>80</v>
      </c>
      <c r="G10" s="43" t="s">
        <v>81</v>
      </c>
      <c r="H10" s="43">
        <v>7027566795</v>
      </c>
      <c r="I10" s="43">
        <v>20000</v>
      </c>
      <c r="J10" s="41">
        <v>1580</v>
      </c>
      <c r="K10" s="41">
        <f t="shared" si="0"/>
        <v>18420</v>
      </c>
      <c r="L10" s="41">
        <v>800</v>
      </c>
      <c r="M10" s="41">
        <v>34</v>
      </c>
      <c r="N10" s="42">
        <v>46135</v>
      </c>
      <c r="O10" s="44">
        <v>46136</v>
      </c>
      <c r="P10" s="42">
        <v>46147</v>
      </c>
      <c r="Q10" s="41" t="s">
        <v>101</v>
      </c>
    </row>
    <row r="11" spans="1:17">
      <c r="A11" s="41">
        <v>9</v>
      </c>
      <c r="B11" s="41" t="s">
        <v>100</v>
      </c>
      <c r="C11" s="43" t="s">
        <v>69</v>
      </c>
      <c r="D11" s="41" t="s">
        <v>85</v>
      </c>
      <c r="E11" s="43" t="s">
        <v>66</v>
      </c>
      <c r="F11" s="41" t="s">
        <v>83</v>
      </c>
      <c r="G11" s="41" t="s">
        <v>84</v>
      </c>
      <c r="H11" s="41">
        <v>9992825464</v>
      </c>
      <c r="I11" s="43">
        <v>20000</v>
      </c>
      <c r="J11" s="41">
        <v>1580</v>
      </c>
      <c r="K11" s="41">
        <f t="shared" si="0"/>
        <v>18420</v>
      </c>
      <c r="L11" s="41">
        <v>800</v>
      </c>
      <c r="M11" s="41">
        <v>34</v>
      </c>
      <c r="N11" s="44">
        <v>46134</v>
      </c>
      <c r="O11" s="44">
        <v>46136</v>
      </c>
      <c r="P11" s="42">
        <v>46147</v>
      </c>
      <c r="Q11" s="41" t="s">
        <v>101</v>
      </c>
    </row>
    <row r="12" spans="1:17">
      <c r="A12" s="41">
        <v>10</v>
      </c>
      <c r="B12" s="41" t="s">
        <v>100</v>
      </c>
      <c r="C12" s="45" t="s">
        <v>69</v>
      </c>
      <c r="D12" s="41" t="s">
        <v>114</v>
      </c>
      <c r="E12" s="41" t="s">
        <v>66</v>
      </c>
      <c r="F12" s="41" t="s">
        <v>120</v>
      </c>
      <c r="G12" s="41" t="s">
        <v>124</v>
      </c>
      <c r="H12" s="41">
        <v>8295596976</v>
      </c>
      <c r="I12" s="43">
        <v>15000</v>
      </c>
      <c r="J12" s="43">
        <v>1260</v>
      </c>
      <c r="K12" s="41">
        <f t="shared" ref="K12" si="1">I12-J12</f>
        <v>13740</v>
      </c>
      <c r="L12" s="41">
        <v>750</v>
      </c>
      <c r="M12" s="41">
        <v>26</v>
      </c>
      <c r="N12" s="44">
        <v>46135</v>
      </c>
      <c r="O12" s="44">
        <v>46141</v>
      </c>
      <c r="P12" s="42">
        <v>46147</v>
      </c>
      <c r="Q12" s="41" t="s">
        <v>101</v>
      </c>
    </row>
    <row r="13" spans="1:17">
      <c r="A13" s="41">
        <v>11</v>
      </c>
      <c r="B13" s="41" t="s">
        <v>100</v>
      </c>
      <c r="C13" s="45" t="s">
        <v>69</v>
      </c>
      <c r="D13" s="41" t="s">
        <v>115</v>
      </c>
      <c r="E13" s="41" t="s">
        <v>66</v>
      </c>
      <c r="F13" s="41" t="s">
        <v>121</v>
      </c>
      <c r="G13" s="41" t="s">
        <v>125</v>
      </c>
      <c r="H13" s="41">
        <v>8816907186</v>
      </c>
      <c r="I13" s="43">
        <v>15000</v>
      </c>
      <c r="J13" s="43">
        <v>1260</v>
      </c>
      <c r="K13" s="41">
        <f t="shared" ref="K13:K15" si="2">I13-J13</f>
        <v>13740</v>
      </c>
      <c r="L13" s="41">
        <v>750</v>
      </c>
      <c r="M13" s="41">
        <v>26</v>
      </c>
      <c r="N13" s="44">
        <v>46136</v>
      </c>
      <c r="O13" s="44">
        <v>46141</v>
      </c>
      <c r="P13" s="42">
        <v>46147</v>
      </c>
      <c r="Q13" s="41" t="s">
        <v>101</v>
      </c>
    </row>
    <row r="14" spans="1:17">
      <c r="A14" s="41">
        <v>12</v>
      </c>
      <c r="B14" s="41" t="s">
        <v>100</v>
      </c>
      <c r="C14" s="45" t="s">
        <v>55</v>
      </c>
      <c r="D14" s="41" t="s">
        <v>116</v>
      </c>
      <c r="E14" s="41" t="s">
        <v>118</v>
      </c>
      <c r="F14" s="41" t="s">
        <v>122</v>
      </c>
      <c r="G14" s="41" t="s">
        <v>126</v>
      </c>
      <c r="H14" s="41">
        <v>9971164371</v>
      </c>
      <c r="I14" s="43">
        <v>15000</v>
      </c>
      <c r="J14" s="43">
        <v>1260</v>
      </c>
      <c r="K14" s="41">
        <f t="shared" si="2"/>
        <v>13740</v>
      </c>
      <c r="L14" s="41">
        <v>750</v>
      </c>
      <c r="M14" s="41">
        <v>26</v>
      </c>
      <c r="N14" s="44">
        <v>46139</v>
      </c>
      <c r="O14" s="44">
        <v>46141</v>
      </c>
      <c r="P14" s="44">
        <v>46148</v>
      </c>
      <c r="Q14" s="41" t="s">
        <v>101</v>
      </c>
    </row>
    <row r="15" spans="1:17">
      <c r="A15" s="41">
        <v>13</v>
      </c>
      <c r="B15" s="41" t="s">
        <v>100</v>
      </c>
      <c r="C15" s="45" t="s">
        <v>55</v>
      </c>
      <c r="D15" s="41" t="s">
        <v>117</v>
      </c>
      <c r="E15" s="41" t="s">
        <v>119</v>
      </c>
      <c r="F15" s="41" t="s">
        <v>123</v>
      </c>
      <c r="G15" s="41" t="s">
        <v>127</v>
      </c>
      <c r="H15" s="41">
        <v>8816966347</v>
      </c>
      <c r="I15" s="43">
        <v>15000</v>
      </c>
      <c r="J15" s="43">
        <v>1260</v>
      </c>
      <c r="K15" s="41">
        <f t="shared" si="2"/>
        <v>13740</v>
      </c>
      <c r="L15" s="41">
        <v>750</v>
      </c>
      <c r="M15" s="41">
        <v>26</v>
      </c>
      <c r="N15" s="44">
        <v>46140</v>
      </c>
      <c r="O15" s="44">
        <v>46141</v>
      </c>
      <c r="P15" s="44">
        <v>46148</v>
      </c>
      <c r="Q15" s="41" t="s">
        <v>101</v>
      </c>
    </row>
    <row r="16" spans="1:17">
      <c r="A16" s="41"/>
      <c r="B16" s="41"/>
      <c r="C16" s="45"/>
      <c r="D16" s="43"/>
      <c r="E16" s="41"/>
      <c r="F16" s="41"/>
      <c r="G16" s="41"/>
      <c r="H16" s="41"/>
      <c r="I16" s="43"/>
      <c r="J16" s="41"/>
      <c r="K16" s="41"/>
      <c r="L16" s="41"/>
      <c r="M16" s="41"/>
      <c r="N16" s="44"/>
      <c r="O16" s="44"/>
      <c r="P16" s="44"/>
      <c r="Q16" s="41"/>
    </row>
    <row r="17" spans="1:17">
      <c r="A17" s="41"/>
      <c r="B17" s="41"/>
      <c r="C17" s="45"/>
      <c r="D17" s="43"/>
      <c r="E17" s="41"/>
      <c r="F17" s="41"/>
      <c r="G17" s="41"/>
      <c r="H17" s="41"/>
      <c r="I17" s="43"/>
      <c r="J17" s="41"/>
      <c r="K17" s="41"/>
      <c r="L17" s="41"/>
      <c r="M17" s="41"/>
      <c r="N17" s="44"/>
      <c r="O17" s="44"/>
      <c r="P17" s="44"/>
      <c r="Q17" s="41"/>
    </row>
    <row r="18" spans="1:17">
      <c r="A18" s="41"/>
      <c r="B18" s="41"/>
      <c r="C18" s="45"/>
      <c r="D18" s="43"/>
      <c r="E18" s="41"/>
      <c r="F18" s="41"/>
      <c r="G18" s="41"/>
      <c r="H18" s="41"/>
      <c r="I18" s="43">
        <f>SUM(I3:I17)</f>
        <v>210000</v>
      </c>
      <c r="J18" s="43">
        <f>SUM(J3:J17)</f>
        <v>17340</v>
      </c>
      <c r="K18" s="43">
        <f>SUM(K3:K17)</f>
        <v>192660</v>
      </c>
      <c r="L18" s="41"/>
      <c r="M18" s="41"/>
      <c r="N18" s="44"/>
      <c r="O18" s="44"/>
      <c r="P18" s="44"/>
      <c r="Q18" s="41"/>
    </row>
    <row r="19" spans="1:17">
      <c r="A19" s="41"/>
      <c r="B19" s="41"/>
      <c r="C19" s="45"/>
      <c r="D19" s="43"/>
      <c r="E19" s="41"/>
      <c r="F19" s="41"/>
      <c r="G19" s="41"/>
      <c r="H19" s="41"/>
      <c r="I19" s="43"/>
      <c r="J19" s="41"/>
      <c r="K19" s="41"/>
      <c r="L19" s="41"/>
      <c r="M19" s="41"/>
      <c r="N19" s="44"/>
      <c r="O19" s="44"/>
      <c r="P19" s="44"/>
      <c r="Q19" s="41"/>
    </row>
    <row r="20" spans="1:17">
      <c r="A20" s="41"/>
      <c r="B20" s="41"/>
      <c r="C20" s="45"/>
      <c r="D20" s="43"/>
      <c r="E20" s="41"/>
      <c r="F20" s="41"/>
      <c r="G20" s="41"/>
      <c r="H20" s="41"/>
      <c r="I20" s="43"/>
      <c r="J20" s="41"/>
      <c r="K20" s="41"/>
      <c r="L20" s="41"/>
      <c r="M20" s="41"/>
      <c r="N20" s="44"/>
      <c r="O20" s="44"/>
      <c r="P20" s="44"/>
      <c r="Q20" s="41"/>
    </row>
    <row r="21" spans="1:17" ht="24.75">
      <c r="A21" s="135" t="s">
        <v>153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</row>
    <row r="22" spans="1:17" ht="45">
      <c r="A22" s="40" t="s">
        <v>87</v>
      </c>
      <c r="B22" s="40" t="s">
        <v>88</v>
      </c>
      <c r="C22" s="40" t="s">
        <v>89</v>
      </c>
      <c r="D22" s="40" t="s">
        <v>90</v>
      </c>
      <c r="E22" s="40" t="s">
        <v>91</v>
      </c>
      <c r="F22" s="40" t="s">
        <v>92</v>
      </c>
      <c r="G22" s="40" t="s">
        <v>93</v>
      </c>
      <c r="H22" s="40" t="s">
        <v>94</v>
      </c>
      <c r="I22" s="40" t="s">
        <v>11</v>
      </c>
      <c r="J22" s="40" t="s">
        <v>12</v>
      </c>
      <c r="K22" s="40" t="s">
        <v>95</v>
      </c>
      <c r="L22" s="40" t="s">
        <v>96</v>
      </c>
      <c r="M22" s="40" t="s">
        <v>17</v>
      </c>
      <c r="N22" s="40" t="s">
        <v>97</v>
      </c>
      <c r="O22" s="40" t="s">
        <v>98</v>
      </c>
      <c r="P22" s="40" t="s">
        <v>43</v>
      </c>
      <c r="Q22" s="40" t="s">
        <v>99</v>
      </c>
    </row>
    <row r="23" spans="1:17" ht="18.75">
      <c r="A23" s="41">
        <v>1</v>
      </c>
      <c r="B23" s="41" t="s">
        <v>100</v>
      </c>
      <c r="C23" s="15" t="s">
        <v>69</v>
      </c>
      <c r="D23" s="41" t="s">
        <v>145</v>
      </c>
      <c r="E23" s="5" t="s">
        <v>66</v>
      </c>
      <c r="F23" s="5" t="s">
        <v>83</v>
      </c>
      <c r="G23" s="5" t="s">
        <v>138</v>
      </c>
      <c r="H23" s="5">
        <v>9813610261</v>
      </c>
      <c r="I23" s="6">
        <v>20000</v>
      </c>
      <c r="J23" s="5">
        <v>1580</v>
      </c>
      <c r="K23" s="5">
        <f t="shared" ref="K23:K38" si="3">I23-J23</f>
        <v>18420</v>
      </c>
      <c r="L23" s="5">
        <v>800</v>
      </c>
      <c r="M23" s="41">
        <v>34</v>
      </c>
      <c r="N23" s="14">
        <v>46141</v>
      </c>
      <c r="O23" s="14">
        <v>46143</v>
      </c>
      <c r="P23" s="14">
        <v>46154</v>
      </c>
      <c r="Q23" s="41" t="s">
        <v>154</v>
      </c>
    </row>
    <row r="24" spans="1:17" ht="18.75">
      <c r="A24" s="41">
        <v>2</v>
      </c>
      <c r="B24" s="41" t="s">
        <v>100</v>
      </c>
      <c r="C24" s="15" t="s">
        <v>55</v>
      </c>
      <c r="D24" s="41" t="s">
        <v>146</v>
      </c>
      <c r="E24" s="5" t="s">
        <v>128</v>
      </c>
      <c r="F24" s="5" t="s">
        <v>131</v>
      </c>
      <c r="G24" s="5" t="s">
        <v>139</v>
      </c>
      <c r="H24" s="5">
        <v>8295428639</v>
      </c>
      <c r="I24" s="6">
        <v>20000</v>
      </c>
      <c r="J24" s="5">
        <v>1580</v>
      </c>
      <c r="K24" s="5">
        <f t="shared" si="3"/>
        <v>18420</v>
      </c>
      <c r="L24" s="5">
        <v>800</v>
      </c>
      <c r="M24" s="41">
        <v>34</v>
      </c>
      <c r="N24" s="14">
        <v>46135</v>
      </c>
      <c r="O24" s="14">
        <v>46143</v>
      </c>
      <c r="P24" s="14">
        <v>46155</v>
      </c>
      <c r="Q24" s="41" t="s">
        <v>154</v>
      </c>
    </row>
    <row r="25" spans="1:17" ht="18.75">
      <c r="A25" s="41">
        <v>3</v>
      </c>
      <c r="B25" s="41" t="s">
        <v>100</v>
      </c>
      <c r="C25" s="15" t="s">
        <v>69</v>
      </c>
      <c r="D25" s="41" t="s">
        <v>147</v>
      </c>
      <c r="E25" s="5" t="s">
        <v>129</v>
      </c>
      <c r="F25" s="5" t="s">
        <v>132</v>
      </c>
      <c r="G25" s="5" t="s">
        <v>140</v>
      </c>
      <c r="H25" s="5">
        <v>8397037924</v>
      </c>
      <c r="I25" s="6">
        <v>20000</v>
      </c>
      <c r="J25" s="5">
        <v>1580</v>
      </c>
      <c r="K25" s="5">
        <f t="shared" si="3"/>
        <v>18420</v>
      </c>
      <c r="L25" s="5">
        <v>800</v>
      </c>
      <c r="M25" s="41">
        <v>34</v>
      </c>
      <c r="N25" s="14">
        <v>46141</v>
      </c>
      <c r="O25" s="14">
        <v>46143</v>
      </c>
      <c r="P25" s="14">
        <v>46154</v>
      </c>
      <c r="Q25" s="41" t="s">
        <v>154</v>
      </c>
    </row>
    <row r="26" spans="1:17" ht="18.75">
      <c r="A26" s="41">
        <v>4</v>
      </c>
      <c r="B26" s="41" t="s">
        <v>100</v>
      </c>
      <c r="C26" s="15" t="s">
        <v>55</v>
      </c>
      <c r="D26" s="41" t="s">
        <v>148</v>
      </c>
      <c r="E26" s="5" t="s">
        <v>130</v>
      </c>
      <c r="F26" s="5" t="s">
        <v>133</v>
      </c>
      <c r="G26" s="5" t="s">
        <v>68</v>
      </c>
      <c r="H26" s="5">
        <v>9050180519</v>
      </c>
      <c r="I26" s="6">
        <v>15000</v>
      </c>
      <c r="J26" s="5">
        <v>1260</v>
      </c>
      <c r="K26" s="5">
        <f t="shared" si="3"/>
        <v>13740</v>
      </c>
      <c r="L26" s="6">
        <v>750</v>
      </c>
      <c r="M26" s="41">
        <v>26</v>
      </c>
      <c r="N26" s="14">
        <v>46141</v>
      </c>
      <c r="O26" s="14">
        <v>46143</v>
      </c>
      <c r="P26" s="14">
        <v>46155</v>
      </c>
      <c r="Q26" s="41" t="s">
        <v>154</v>
      </c>
    </row>
    <row r="27" spans="1:17" ht="18.75">
      <c r="A27" s="41">
        <v>5</v>
      </c>
      <c r="B27" s="41" t="s">
        <v>100</v>
      </c>
      <c r="C27" s="15" t="s">
        <v>55</v>
      </c>
      <c r="D27" s="41" t="s">
        <v>149</v>
      </c>
      <c r="E27" s="5" t="s">
        <v>177</v>
      </c>
      <c r="F27" s="5" t="s">
        <v>134</v>
      </c>
      <c r="G27" s="5" t="s">
        <v>141</v>
      </c>
      <c r="H27" s="5">
        <v>9671597235</v>
      </c>
      <c r="I27" s="6">
        <v>20000</v>
      </c>
      <c r="J27" s="5">
        <v>1580</v>
      </c>
      <c r="K27" s="5">
        <f t="shared" si="3"/>
        <v>18420</v>
      </c>
      <c r="L27" s="5">
        <v>800</v>
      </c>
      <c r="M27" s="41">
        <v>34</v>
      </c>
      <c r="N27" s="14">
        <v>46142</v>
      </c>
      <c r="O27" s="14">
        <v>46143</v>
      </c>
      <c r="P27" s="14">
        <v>46155</v>
      </c>
      <c r="Q27" s="41" t="s">
        <v>154</v>
      </c>
    </row>
    <row r="28" spans="1:17" ht="18.75">
      <c r="A28" s="41">
        <v>6</v>
      </c>
      <c r="B28" s="41" t="s">
        <v>100</v>
      </c>
      <c r="C28" s="15" t="s">
        <v>55</v>
      </c>
      <c r="D28" s="41" t="s">
        <v>150</v>
      </c>
      <c r="E28" s="5" t="s">
        <v>177</v>
      </c>
      <c r="F28" s="5" t="s">
        <v>135</v>
      </c>
      <c r="G28" s="5" t="s">
        <v>142</v>
      </c>
      <c r="H28" s="5">
        <v>9729501850</v>
      </c>
      <c r="I28" s="6">
        <v>20000</v>
      </c>
      <c r="J28" s="5">
        <v>1580</v>
      </c>
      <c r="K28" s="5">
        <f t="shared" si="3"/>
        <v>18420</v>
      </c>
      <c r="L28" s="5">
        <v>800</v>
      </c>
      <c r="M28" s="41">
        <v>34</v>
      </c>
      <c r="N28" s="14">
        <v>46142</v>
      </c>
      <c r="O28" s="14">
        <v>46143</v>
      </c>
      <c r="P28" s="14">
        <v>46155</v>
      </c>
      <c r="Q28" s="41" t="s">
        <v>154</v>
      </c>
    </row>
    <row r="29" spans="1:17" ht="18.75">
      <c r="A29" s="41">
        <v>7</v>
      </c>
      <c r="B29" s="41" t="s">
        <v>100</v>
      </c>
      <c r="C29" s="15" t="s">
        <v>69</v>
      </c>
      <c r="D29" s="41" t="s">
        <v>151</v>
      </c>
      <c r="E29" s="5" t="s">
        <v>66</v>
      </c>
      <c r="F29" s="5" t="s">
        <v>136</v>
      </c>
      <c r="G29" s="5" t="s">
        <v>143</v>
      </c>
      <c r="H29" s="5">
        <v>9992969785</v>
      </c>
      <c r="I29" s="6">
        <v>20000</v>
      </c>
      <c r="J29" s="5">
        <v>1580</v>
      </c>
      <c r="K29" s="5">
        <f t="shared" ref="K29" si="4">I29-J29</f>
        <v>18420</v>
      </c>
      <c r="L29" s="5">
        <v>800</v>
      </c>
      <c r="M29" s="41">
        <v>34</v>
      </c>
      <c r="N29" s="14">
        <v>46142</v>
      </c>
      <c r="O29" s="14">
        <v>46143</v>
      </c>
      <c r="P29" s="14">
        <v>46154</v>
      </c>
      <c r="Q29" s="41" t="s">
        <v>154</v>
      </c>
    </row>
    <row r="30" spans="1:17" ht="18.75">
      <c r="A30" s="41">
        <v>8</v>
      </c>
      <c r="B30" s="41" t="s">
        <v>100</v>
      </c>
      <c r="C30" s="15" t="s">
        <v>55</v>
      </c>
      <c r="D30" s="41" t="s">
        <v>152</v>
      </c>
      <c r="E30" s="5" t="s">
        <v>177</v>
      </c>
      <c r="F30" s="5" t="s">
        <v>137</v>
      </c>
      <c r="G30" s="5" t="s">
        <v>144</v>
      </c>
      <c r="H30" s="5">
        <v>9991638771</v>
      </c>
      <c r="I30" s="6">
        <v>20000</v>
      </c>
      <c r="J30" s="5">
        <v>1580</v>
      </c>
      <c r="K30" s="5">
        <f t="shared" si="3"/>
        <v>18420</v>
      </c>
      <c r="L30" s="5">
        <v>800</v>
      </c>
      <c r="M30" s="41">
        <v>34</v>
      </c>
      <c r="N30" s="14">
        <v>46142</v>
      </c>
      <c r="O30" s="14">
        <v>46143</v>
      </c>
      <c r="P30" s="14">
        <v>46155</v>
      </c>
      <c r="Q30" s="41" t="s">
        <v>154</v>
      </c>
    </row>
    <row r="31" spans="1:17" ht="18.75">
      <c r="A31" s="41">
        <v>9</v>
      </c>
      <c r="B31" s="41" t="s">
        <v>100</v>
      </c>
      <c r="C31" s="15" t="s">
        <v>55</v>
      </c>
      <c r="D31" s="41" t="s">
        <v>158</v>
      </c>
      <c r="E31" s="5" t="s">
        <v>177</v>
      </c>
      <c r="F31" s="10" t="s">
        <v>71</v>
      </c>
      <c r="G31" s="10" t="s">
        <v>167</v>
      </c>
      <c r="H31" s="41">
        <v>9992401965</v>
      </c>
      <c r="I31" s="6">
        <v>20000</v>
      </c>
      <c r="J31" s="41">
        <v>1580</v>
      </c>
      <c r="K31" s="41">
        <f t="shared" si="3"/>
        <v>18420</v>
      </c>
      <c r="L31" s="5">
        <v>800</v>
      </c>
      <c r="M31" s="41">
        <v>34</v>
      </c>
      <c r="N31" s="14">
        <v>46142</v>
      </c>
      <c r="O31" s="44">
        <v>46146</v>
      </c>
      <c r="P31" s="14">
        <v>46155</v>
      </c>
      <c r="Q31" s="41" t="s">
        <v>154</v>
      </c>
    </row>
    <row r="32" spans="1:17" ht="18.75">
      <c r="A32" s="41">
        <v>10</v>
      </c>
      <c r="B32" s="41" t="s">
        <v>100</v>
      </c>
      <c r="C32" s="15" t="s">
        <v>55</v>
      </c>
      <c r="D32" s="41" t="s">
        <v>159</v>
      </c>
      <c r="E32" s="10" t="s">
        <v>171</v>
      </c>
      <c r="F32" s="10" t="s">
        <v>163</v>
      </c>
      <c r="G32" s="10" t="s">
        <v>168</v>
      </c>
      <c r="H32" s="41">
        <v>7404474940</v>
      </c>
      <c r="I32" s="6">
        <v>15000</v>
      </c>
      <c r="J32" s="41">
        <v>1260</v>
      </c>
      <c r="K32" s="41">
        <f t="shared" si="3"/>
        <v>13740</v>
      </c>
      <c r="L32" s="6">
        <v>750</v>
      </c>
      <c r="M32" s="41">
        <v>26</v>
      </c>
      <c r="N32" s="44">
        <v>46144</v>
      </c>
      <c r="O32" s="44">
        <v>46147</v>
      </c>
      <c r="P32" s="14">
        <v>46155</v>
      </c>
      <c r="Q32" s="41" t="s">
        <v>154</v>
      </c>
    </row>
    <row r="33" spans="1:17" ht="18.75">
      <c r="A33" s="41">
        <v>11</v>
      </c>
      <c r="B33" s="41" t="s">
        <v>100</v>
      </c>
      <c r="C33" s="15" t="s">
        <v>55</v>
      </c>
      <c r="D33" s="41" t="s">
        <v>160</v>
      </c>
      <c r="E33" s="10" t="s">
        <v>172</v>
      </c>
      <c r="F33" s="10" t="s">
        <v>164</v>
      </c>
      <c r="G33" s="10" t="s">
        <v>169</v>
      </c>
      <c r="H33" s="41">
        <v>9540614028</v>
      </c>
      <c r="I33" s="6">
        <v>20000</v>
      </c>
      <c r="J33" s="41">
        <v>1580</v>
      </c>
      <c r="K33" s="41">
        <f t="shared" si="3"/>
        <v>18420</v>
      </c>
      <c r="L33" s="5">
        <v>800</v>
      </c>
      <c r="M33" s="41">
        <v>34</v>
      </c>
      <c r="N33" s="44">
        <v>46144</v>
      </c>
      <c r="O33" s="44">
        <v>46147</v>
      </c>
      <c r="P33" s="14">
        <v>46155</v>
      </c>
      <c r="Q33" s="41" t="s">
        <v>154</v>
      </c>
    </row>
    <row r="34" spans="1:17" ht="18.75">
      <c r="A34" s="41">
        <v>12</v>
      </c>
      <c r="B34" s="41" t="s">
        <v>100</v>
      </c>
      <c r="C34" s="15" t="s">
        <v>55</v>
      </c>
      <c r="D34" s="41" t="s">
        <v>161</v>
      </c>
      <c r="E34" s="5" t="s">
        <v>177</v>
      </c>
      <c r="F34" s="10" t="s">
        <v>165</v>
      </c>
      <c r="G34" s="10" t="s">
        <v>140</v>
      </c>
      <c r="H34" s="41">
        <v>8395910861</v>
      </c>
      <c r="I34" s="43">
        <v>15000</v>
      </c>
      <c r="J34" s="41">
        <v>1260</v>
      </c>
      <c r="K34" s="41">
        <f t="shared" si="3"/>
        <v>13740</v>
      </c>
      <c r="L34" s="6">
        <v>750</v>
      </c>
      <c r="M34" s="41">
        <v>26</v>
      </c>
      <c r="N34" s="44">
        <v>46144</v>
      </c>
      <c r="O34" s="44">
        <v>46148</v>
      </c>
      <c r="P34" s="14">
        <v>46155</v>
      </c>
      <c r="Q34" s="41" t="s">
        <v>154</v>
      </c>
    </row>
    <row r="35" spans="1:17" ht="18.75">
      <c r="A35" s="41">
        <v>13</v>
      </c>
      <c r="B35" s="41" t="s">
        <v>100</v>
      </c>
      <c r="C35" s="15" t="s">
        <v>55</v>
      </c>
      <c r="D35" s="41" t="s">
        <v>162</v>
      </c>
      <c r="E35" s="5" t="s">
        <v>177</v>
      </c>
      <c r="F35" s="10" t="s">
        <v>166</v>
      </c>
      <c r="G35" s="10" t="s">
        <v>170</v>
      </c>
      <c r="H35" s="41">
        <v>9671227093</v>
      </c>
      <c r="I35" s="43">
        <v>20000</v>
      </c>
      <c r="J35" s="41">
        <v>1580</v>
      </c>
      <c r="K35" s="41">
        <f t="shared" si="3"/>
        <v>18420</v>
      </c>
      <c r="L35" s="5">
        <v>800</v>
      </c>
      <c r="M35" s="41">
        <v>34</v>
      </c>
      <c r="N35" s="44">
        <v>46144</v>
      </c>
      <c r="O35" s="44">
        <v>46148</v>
      </c>
      <c r="P35" s="14">
        <v>46155</v>
      </c>
      <c r="Q35" s="41" t="s">
        <v>154</v>
      </c>
    </row>
    <row r="36" spans="1:17" ht="18.75">
      <c r="A36" s="41">
        <v>14</v>
      </c>
      <c r="B36" s="41" t="s">
        <v>100</v>
      </c>
      <c r="C36" s="15" t="s">
        <v>55</v>
      </c>
      <c r="D36" s="41" t="s">
        <v>174</v>
      </c>
      <c r="E36" s="5" t="s">
        <v>177</v>
      </c>
      <c r="F36" s="10" t="s">
        <v>179</v>
      </c>
      <c r="G36" s="10" t="s">
        <v>181</v>
      </c>
      <c r="H36" s="41">
        <v>9991575314</v>
      </c>
      <c r="I36" s="43">
        <v>20000</v>
      </c>
      <c r="J36" s="41">
        <v>1580</v>
      </c>
      <c r="K36" s="41">
        <f t="shared" si="3"/>
        <v>18420</v>
      </c>
      <c r="L36" s="43">
        <v>800</v>
      </c>
      <c r="M36" s="41">
        <v>34</v>
      </c>
      <c r="N36" s="44">
        <v>46147</v>
      </c>
      <c r="O36" s="44">
        <v>46153</v>
      </c>
      <c r="P36" s="44">
        <v>46162</v>
      </c>
      <c r="Q36" s="10" t="s">
        <v>154</v>
      </c>
    </row>
    <row r="37" spans="1:17" ht="18.75">
      <c r="A37" s="41">
        <v>15</v>
      </c>
      <c r="B37" s="41" t="s">
        <v>100</v>
      </c>
      <c r="C37" s="15" t="s">
        <v>55</v>
      </c>
      <c r="D37" s="41" t="s">
        <v>175</v>
      </c>
      <c r="E37" s="10" t="s">
        <v>171</v>
      </c>
      <c r="F37" s="10" t="s">
        <v>180</v>
      </c>
      <c r="G37" s="10" t="s">
        <v>182</v>
      </c>
      <c r="H37" s="41">
        <v>8814086202</v>
      </c>
      <c r="I37" s="43">
        <v>15000</v>
      </c>
      <c r="J37" s="41">
        <v>1260</v>
      </c>
      <c r="K37" s="41">
        <f t="shared" si="3"/>
        <v>13740</v>
      </c>
      <c r="L37" s="43">
        <v>750</v>
      </c>
      <c r="M37" s="41">
        <v>26</v>
      </c>
      <c r="N37" s="44">
        <v>46144</v>
      </c>
      <c r="O37" s="44">
        <v>46153</v>
      </c>
      <c r="P37" s="44">
        <v>46155</v>
      </c>
      <c r="Q37" s="10" t="s">
        <v>154</v>
      </c>
    </row>
    <row r="38" spans="1:17" ht="18.75">
      <c r="A38" s="41">
        <v>16</v>
      </c>
      <c r="B38" s="41" t="s">
        <v>100</v>
      </c>
      <c r="C38" s="15" t="s">
        <v>55</v>
      </c>
      <c r="D38" s="41" t="s">
        <v>176</v>
      </c>
      <c r="E38" s="10" t="s">
        <v>178</v>
      </c>
      <c r="F38" s="10" t="s">
        <v>165</v>
      </c>
      <c r="G38" s="10" t="s">
        <v>183</v>
      </c>
      <c r="H38" s="41">
        <v>9991361344</v>
      </c>
      <c r="I38" s="43">
        <v>15000</v>
      </c>
      <c r="J38" s="41">
        <v>1260</v>
      </c>
      <c r="K38" s="41">
        <f t="shared" si="3"/>
        <v>13740</v>
      </c>
      <c r="L38" s="43">
        <v>750</v>
      </c>
      <c r="M38" s="41">
        <v>26</v>
      </c>
      <c r="N38" s="44">
        <v>46148</v>
      </c>
      <c r="O38" s="44">
        <v>46153</v>
      </c>
      <c r="P38" s="44">
        <v>46162</v>
      </c>
      <c r="Q38" s="10" t="s">
        <v>154</v>
      </c>
    </row>
    <row r="39" spans="1:17">
      <c r="A39" s="41">
        <v>17</v>
      </c>
      <c r="B39" s="41" t="s">
        <v>100</v>
      </c>
      <c r="C39" s="16" t="s">
        <v>69</v>
      </c>
      <c r="D39" s="41" t="s">
        <v>190</v>
      </c>
      <c r="E39" s="10" t="s">
        <v>195</v>
      </c>
      <c r="F39" s="10" t="s">
        <v>184</v>
      </c>
      <c r="G39" s="10" t="s">
        <v>185</v>
      </c>
      <c r="H39" s="41">
        <v>9728976039</v>
      </c>
      <c r="I39" s="43">
        <v>15000</v>
      </c>
      <c r="J39" s="41">
        <v>1260</v>
      </c>
      <c r="K39" s="41">
        <f t="shared" ref="K39:K41" si="5">I39-J39</f>
        <v>13740</v>
      </c>
      <c r="L39" s="43">
        <v>750</v>
      </c>
      <c r="M39" s="41">
        <v>26</v>
      </c>
      <c r="N39" s="44">
        <v>46153</v>
      </c>
      <c r="O39" s="44">
        <v>46155</v>
      </c>
      <c r="P39" s="44">
        <v>46168</v>
      </c>
      <c r="Q39" s="10" t="s">
        <v>154</v>
      </c>
    </row>
    <row r="40" spans="1:17">
      <c r="A40" s="41">
        <v>18</v>
      </c>
      <c r="B40" s="41" t="s">
        <v>100</v>
      </c>
      <c r="C40" s="16" t="s">
        <v>69</v>
      </c>
      <c r="D40" s="41" t="s">
        <v>191</v>
      </c>
      <c r="E40" s="10" t="s">
        <v>196</v>
      </c>
      <c r="F40" s="10" t="s">
        <v>186</v>
      </c>
      <c r="G40" s="10" t="s">
        <v>187</v>
      </c>
      <c r="H40" s="41">
        <v>9991073613</v>
      </c>
      <c r="I40" s="43">
        <v>15000</v>
      </c>
      <c r="J40" s="41">
        <v>1260</v>
      </c>
      <c r="K40" s="41">
        <f t="shared" si="5"/>
        <v>13740</v>
      </c>
      <c r="L40" s="43">
        <v>750</v>
      </c>
      <c r="M40" s="41">
        <v>26</v>
      </c>
      <c r="N40" s="44">
        <v>46153</v>
      </c>
      <c r="O40" s="44">
        <v>46155</v>
      </c>
      <c r="P40" s="44">
        <v>46168</v>
      </c>
      <c r="Q40" s="10" t="s">
        <v>154</v>
      </c>
    </row>
    <row r="41" spans="1:17" ht="15.75">
      <c r="A41" s="41">
        <v>19</v>
      </c>
      <c r="B41" s="41" t="s">
        <v>100</v>
      </c>
      <c r="C41" s="16" t="s">
        <v>69</v>
      </c>
      <c r="D41" s="41" t="s">
        <v>192</v>
      </c>
      <c r="E41" s="10" t="s">
        <v>195</v>
      </c>
      <c r="F41" s="10" t="s">
        <v>188</v>
      </c>
      <c r="G41" s="10" t="s">
        <v>198</v>
      </c>
      <c r="H41" s="41">
        <v>8047377476</v>
      </c>
      <c r="I41" s="43">
        <v>20000</v>
      </c>
      <c r="J41" s="41">
        <v>1580</v>
      </c>
      <c r="K41" s="41">
        <f t="shared" si="5"/>
        <v>18420</v>
      </c>
      <c r="L41" s="5">
        <v>800</v>
      </c>
      <c r="M41" s="41">
        <v>34</v>
      </c>
      <c r="N41" s="44">
        <v>46147</v>
      </c>
      <c r="O41" s="44">
        <v>46155</v>
      </c>
      <c r="P41" s="44">
        <v>46168</v>
      </c>
      <c r="Q41" s="10" t="s">
        <v>154</v>
      </c>
    </row>
    <row r="42" spans="1:17">
      <c r="A42" s="41">
        <v>20</v>
      </c>
      <c r="B42" s="41" t="s">
        <v>100</v>
      </c>
      <c r="C42" s="16" t="s">
        <v>69</v>
      </c>
      <c r="D42" s="41" t="s">
        <v>193</v>
      </c>
      <c r="E42" s="10" t="s">
        <v>195</v>
      </c>
      <c r="F42" s="10" t="s">
        <v>83</v>
      </c>
      <c r="G42" s="10" t="s">
        <v>189</v>
      </c>
      <c r="H42" s="41">
        <v>8396804752</v>
      </c>
      <c r="I42" s="43">
        <v>15000</v>
      </c>
      <c r="J42" s="41">
        <v>1260</v>
      </c>
      <c r="K42" s="41">
        <f t="shared" ref="K42:K53" si="6">I42-J42</f>
        <v>13740</v>
      </c>
      <c r="L42" s="43">
        <v>750</v>
      </c>
      <c r="M42" s="41">
        <v>26</v>
      </c>
      <c r="N42" s="44">
        <v>46153</v>
      </c>
      <c r="O42" s="44">
        <v>46155</v>
      </c>
      <c r="P42" s="44">
        <v>46168</v>
      </c>
      <c r="Q42" s="10" t="s">
        <v>154</v>
      </c>
    </row>
    <row r="43" spans="1:17">
      <c r="A43" s="41">
        <v>21</v>
      </c>
      <c r="B43" s="41" t="s">
        <v>100</v>
      </c>
      <c r="C43" s="16" t="s">
        <v>55</v>
      </c>
      <c r="D43" s="41" t="s">
        <v>194</v>
      </c>
      <c r="E43" s="10" t="s">
        <v>197</v>
      </c>
      <c r="F43" s="10" t="s">
        <v>71</v>
      </c>
      <c r="G43" s="10" t="s">
        <v>125</v>
      </c>
      <c r="H43" s="41">
        <v>9053156064</v>
      </c>
      <c r="I43" s="43">
        <v>15000</v>
      </c>
      <c r="J43" s="41">
        <v>1260</v>
      </c>
      <c r="K43" s="41">
        <f t="shared" si="6"/>
        <v>13740</v>
      </c>
      <c r="L43" s="43">
        <v>750</v>
      </c>
      <c r="M43" s="41">
        <v>26</v>
      </c>
      <c r="N43" s="44">
        <v>46153</v>
      </c>
      <c r="O43" s="44">
        <v>46155</v>
      </c>
      <c r="P43" s="44">
        <v>46169</v>
      </c>
      <c r="Q43" s="10" t="s">
        <v>154</v>
      </c>
    </row>
    <row r="44" spans="1:17">
      <c r="A44" s="41">
        <v>22</v>
      </c>
      <c r="B44" s="41" t="s">
        <v>100</v>
      </c>
      <c r="C44" s="16" t="s">
        <v>55</v>
      </c>
      <c r="D44" s="41" t="s">
        <v>199</v>
      </c>
      <c r="E44" s="10" t="s">
        <v>197</v>
      </c>
      <c r="F44" s="10" t="s">
        <v>53</v>
      </c>
      <c r="G44" s="10" t="s">
        <v>204</v>
      </c>
      <c r="H44" s="41">
        <v>9813304531</v>
      </c>
      <c r="I44" s="43">
        <v>15000</v>
      </c>
      <c r="J44" s="41">
        <v>1260</v>
      </c>
      <c r="K44" s="41">
        <f t="shared" si="6"/>
        <v>13740</v>
      </c>
      <c r="L44" s="43">
        <v>750</v>
      </c>
      <c r="M44" s="41">
        <v>26</v>
      </c>
      <c r="N44" s="44">
        <v>46155</v>
      </c>
      <c r="O44" s="44">
        <v>46157</v>
      </c>
      <c r="P44" s="44">
        <v>46169</v>
      </c>
      <c r="Q44" s="10" t="s">
        <v>154</v>
      </c>
    </row>
    <row r="45" spans="1:17">
      <c r="A45" s="41">
        <v>23</v>
      </c>
      <c r="B45" s="41" t="s">
        <v>100</v>
      </c>
      <c r="C45" s="16" t="s">
        <v>55</v>
      </c>
      <c r="D45" s="41" t="s">
        <v>200</v>
      </c>
      <c r="E45" s="10" t="s">
        <v>197</v>
      </c>
      <c r="F45" s="10" t="s">
        <v>121</v>
      </c>
      <c r="G45" s="10" t="s">
        <v>140</v>
      </c>
      <c r="H45" s="41">
        <v>8930321437</v>
      </c>
      <c r="I45" s="43">
        <v>20000</v>
      </c>
      <c r="J45" s="41">
        <v>1580</v>
      </c>
      <c r="K45" s="41">
        <f t="shared" si="6"/>
        <v>18420</v>
      </c>
      <c r="L45" s="43">
        <v>800</v>
      </c>
      <c r="M45" s="41">
        <v>34</v>
      </c>
      <c r="N45" s="44">
        <v>46155</v>
      </c>
      <c r="O45" s="44">
        <v>46157</v>
      </c>
      <c r="P45" s="44">
        <v>46169</v>
      </c>
      <c r="Q45" s="10" t="s">
        <v>154</v>
      </c>
    </row>
    <row r="46" spans="1:17">
      <c r="A46" s="41">
        <v>24</v>
      </c>
      <c r="B46" s="41" t="s">
        <v>100</v>
      </c>
      <c r="C46" s="16" t="s">
        <v>55</v>
      </c>
      <c r="D46" s="41" t="s">
        <v>201</v>
      </c>
      <c r="E46" s="10" t="s">
        <v>206</v>
      </c>
      <c r="F46" s="10" t="s">
        <v>165</v>
      </c>
      <c r="G46" s="10" t="s">
        <v>205</v>
      </c>
      <c r="H46" s="41">
        <v>8295267191</v>
      </c>
      <c r="I46" s="43">
        <v>20000</v>
      </c>
      <c r="J46" s="41">
        <v>1580</v>
      </c>
      <c r="K46" s="41">
        <f t="shared" si="6"/>
        <v>18420</v>
      </c>
      <c r="L46" s="43">
        <v>800</v>
      </c>
      <c r="M46" s="41">
        <v>34</v>
      </c>
      <c r="N46" s="44">
        <v>46155</v>
      </c>
      <c r="O46" s="44">
        <v>46157</v>
      </c>
      <c r="P46" s="44">
        <v>46169</v>
      </c>
      <c r="Q46" s="10" t="s">
        <v>154</v>
      </c>
    </row>
    <row r="47" spans="1:17">
      <c r="A47" s="41">
        <v>25</v>
      </c>
      <c r="B47" s="41" t="s">
        <v>100</v>
      </c>
      <c r="C47" s="16" t="s">
        <v>55</v>
      </c>
      <c r="D47" s="41" t="s">
        <v>202</v>
      </c>
      <c r="E47" s="10" t="s">
        <v>118</v>
      </c>
      <c r="F47" s="10" t="s">
        <v>203</v>
      </c>
      <c r="G47" s="10" t="s">
        <v>185</v>
      </c>
      <c r="H47" s="41">
        <v>7988050867</v>
      </c>
      <c r="I47" s="43">
        <v>15000</v>
      </c>
      <c r="J47" s="41">
        <v>1260</v>
      </c>
      <c r="K47" s="41">
        <f t="shared" si="6"/>
        <v>13740</v>
      </c>
      <c r="L47" s="43">
        <v>750</v>
      </c>
      <c r="M47" s="41">
        <v>26</v>
      </c>
      <c r="N47" s="44">
        <v>46155</v>
      </c>
      <c r="O47" s="44">
        <v>46157</v>
      </c>
      <c r="P47" s="44">
        <v>46169</v>
      </c>
      <c r="Q47" s="10" t="s">
        <v>154</v>
      </c>
    </row>
    <row r="48" spans="1:17">
      <c r="A48" s="41">
        <v>26</v>
      </c>
      <c r="B48" s="41" t="s">
        <v>100</v>
      </c>
      <c r="C48" s="16" t="s">
        <v>69</v>
      </c>
      <c r="D48" s="41" t="s">
        <v>207</v>
      </c>
      <c r="E48" s="10" t="s">
        <v>225</v>
      </c>
      <c r="F48" s="10" t="s">
        <v>213</v>
      </c>
      <c r="G48" s="10" t="s">
        <v>214</v>
      </c>
      <c r="H48" s="41">
        <v>9034419162</v>
      </c>
      <c r="I48" s="43">
        <v>15000</v>
      </c>
      <c r="J48" s="41">
        <v>1260</v>
      </c>
      <c r="K48" s="41">
        <f t="shared" si="6"/>
        <v>13740</v>
      </c>
      <c r="L48" s="43">
        <v>750</v>
      </c>
      <c r="M48" s="41">
        <v>26</v>
      </c>
      <c r="N48" s="44">
        <v>46154</v>
      </c>
      <c r="O48" s="44">
        <v>46160</v>
      </c>
      <c r="P48" s="44">
        <v>46168</v>
      </c>
      <c r="Q48" s="10" t="s">
        <v>154</v>
      </c>
    </row>
    <row r="49" spans="1:17">
      <c r="A49" s="41">
        <v>27</v>
      </c>
      <c r="B49" s="41" t="s">
        <v>100</v>
      </c>
      <c r="C49" s="16" t="s">
        <v>55</v>
      </c>
      <c r="D49" s="41" t="s">
        <v>208</v>
      </c>
      <c r="E49" s="10" t="s">
        <v>49</v>
      </c>
      <c r="F49" s="10" t="s">
        <v>215</v>
      </c>
      <c r="G49" s="10" t="s">
        <v>216</v>
      </c>
      <c r="H49" s="41">
        <v>9812012403</v>
      </c>
      <c r="I49" s="43">
        <v>20000</v>
      </c>
      <c r="J49" s="41">
        <v>1580</v>
      </c>
      <c r="K49" s="41">
        <f t="shared" si="6"/>
        <v>18420</v>
      </c>
      <c r="L49" s="43">
        <v>800</v>
      </c>
      <c r="M49" s="41">
        <v>34</v>
      </c>
      <c r="N49" s="44">
        <v>46156</v>
      </c>
      <c r="O49" s="44">
        <v>46160</v>
      </c>
      <c r="P49" s="44">
        <v>46169</v>
      </c>
      <c r="Q49" s="10" t="s">
        <v>154</v>
      </c>
    </row>
    <row r="50" spans="1:17">
      <c r="A50" s="41">
        <v>28</v>
      </c>
      <c r="B50" s="41" t="s">
        <v>100</v>
      </c>
      <c r="C50" s="16" t="s">
        <v>69</v>
      </c>
      <c r="D50" s="41" t="s">
        <v>209</v>
      </c>
      <c r="E50" s="10" t="s">
        <v>226</v>
      </c>
      <c r="F50" s="10" t="s">
        <v>217</v>
      </c>
      <c r="G50" s="10" t="s">
        <v>218</v>
      </c>
      <c r="H50" s="41">
        <v>9671740481</v>
      </c>
      <c r="I50" s="43">
        <v>15000</v>
      </c>
      <c r="J50" s="41">
        <v>1260</v>
      </c>
      <c r="K50" s="41">
        <f t="shared" si="6"/>
        <v>13740</v>
      </c>
      <c r="L50" s="43">
        <v>750</v>
      </c>
      <c r="M50" s="41">
        <v>26</v>
      </c>
      <c r="N50" s="44">
        <v>46157</v>
      </c>
      <c r="O50" s="44">
        <v>46160</v>
      </c>
      <c r="P50" s="44">
        <v>46168</v>
      </c>
      <c r="Q50" s="10" t="s">
        <v>154</v>
      </c>
    </row>
    <row r="51" spans="1:17">
      <c r="A51" s="41">
        <v>29</v>
      </c>
      <c r="B51" s="41" t="s">
        <v>100</v>
      </c>
      <c r="C51" s="16" t="s">
        <v>69</v>
      </c>
      <c r="D51" s="41" t="s">
        <v>210</v>
      </c>
      <c r="E51" s="10" t="s">
        <v>227</v>
      </c>
      <c r="F51" s="10" t="s">
        <v>219</v>
      </c>
      <c r="G51" s="10" t="s">
        <v>220</v>
      </c>
      <c r="H51" s="41">
        <v>9311797101</v>
      </c>
      <c r="I51" s="43">
        <v>15000</v>
      </c>
      <c r="J51" s="41">
        <v>1260</v>
      </c>
      <c r="K51" s="41">
        <f t="shared" si="6"/>
        <v>13740</v>
      </c>
      <c r="L51" s="43">
        <v>750</v>
      </c>
      <c r="M51" s="41">
        <v>26</v>
      </c>
      <c r="N51" s="44">
        <v>46157</v>
      </c>
      <c r="O51" s="44">
        <v>46160</v>
      </c>
      <c r="P51" s="44">
        <v>46168</v>
      </c>
      <c r="Q51" s="10" t="s">
        <v>154</v>
      </c>
    </row>
    <row r="52" spans="1:17">
      <c r="A52" s="41">
        <v>30</v>
      </c>
      <c r="B52" s="41" t="s">
        <v>100</v>
      </c>
      <c r="C52" s="16" t="s">
        <v>69</v>
      </c>
      <c r="D52" s="41" t="s">
        <v>211</v>
      </c>
      <c r="E52" s="10" t="s">
        <v>226</v>
      </c>
      <c r="F52" s="10" t="s">
        <v>221</v>
      </c>
      <c r="G52" s="10" t="s">
        <v>222</v>
      </c>
      <c r="H52" s="41">
        <v>7206610781</v>
      </c>
      <c r="I52" s="43">
        <v>15000</v>
      </c>
      <c r="J52" s="41">
        <v>1260</v>
      </c>
      <c r="K52" s="41">
        <f t="shared" si="6"/>
        <v>13740</v>
      </c>
      <c r="L52" s="43">
        <v>750</v>
      </c>
      <c r="M52" s="41">
        <v>26</v>
      </c>
      <c r="N52" s="44">
        <v>46157</v>
      </c>
      <c r="O52" s="44">
        <v>46160</v>
      </c>
      <c r="P52" s="44">
        <v>46168</v>
      </c>
      <c r="Q52" s="10" t="s">
        <v>154</v>
      </c>
    </row>
    <row r="53" spans="1:17">
      <c r="A53" s="41">
        <v>31</v>
      </c>
      <c r="B53" s="10" t="s">
        <v>100</v>
      </c>
      <c r="C53" s="16" t="s">
        <v>69</v>
      </c>
      <c r="D53" s="41" t="s">
        <v>212</v>
      </c>
      <c r="E53" s="10" t="s">
        <v>226</v>
      </c>
      <c r="F53" s="10" t="s">
        <v>223</v>
      </c>
      <c r="G53" s="10" t="s">
        <v>224</v>
      </c>
      <c r="H53" s="41">
        <v>8814045633</v>
      </c>
      <c r="I53" s="43">
        <v>15000</v>
      </c>
      <c r="J53" s="41">
        <v>1260</v>
      </c>
      <c r="K53" s="41">
        <f t="shared" si="6"/>
        <v>13740</v>
      </c>
      <c r="L53" s="43">
        <v>750</v>
      </c>
      <c r="M53" s="41">
        <v>26</v>
      </c>
      <c r="N53" s="44">
        <v>46157</v>
      </c>
      <c r="O53" s="44">
        <v>46160</v>
      </c>
      <c r="P53" s="44">
        <v>46168</v>
      </c>
      <c r="Q53" s="10" t="s">
        <v>154</v>
      </c>
    </row>
    <row r="54" spans="1:17">
      <c r="A54" s="41">
        <v>32</v>
      </c>
      <c r="B54" s="41" t="s">
        <v>100</v>
      </c>
      <c r="C54" s="16" t="s">
        <v>69</v>
      </c>
      <c r="D54" s="10" t="s">
        <v>228</v>
      </c>
      <c r="E54" s="53" t="s">
        <v>229</v>
      </c>
      <c r="F54" s="10" t="s">
        <v>165</v>
      </c>
      <c r="G54" s="10" t="s">
        <v>198</v>
      </c>
      <c r="H54" s="10">
        <v>9588783317</v>
      </c>
      <c r="I54" s="43">
        <v>15000</v>
      </c>
      <c r="J54" s="41">
        <v>1260</v>
      </c>
      <c r="K54" s="41">
        <f t="shared" ref="K54:K72" si="7">I54-J54</f>
        <v>13740</v>
      </c>
      <c r="L54" s="43">
        <v>750</v>
      </c>
      <c r="M54" s="41">
        <v>26</v>
      </c>
      <c r="N54" s="44">
        <v>46157</v>
      </c>
      <c r="O54" s="44">
        <v>46161</v>
      </c>
      <c r="P54" s="44">
        <v>46168</v>
      </c>
      <c r="Q54" s="10" t="s">
        <v>154</v>
      </c>
    </row>
    <row r="55" spans="1:17">
      <c r="A55" s="41">
        <v>33</v>
      </c>
      <c r="B55" s="10" t="s">
        <v>100</v>
      </c>
      <c r="C55" s="16" t="s">
        <v>69</v>
      </c>
      <c r="D55" s="41" t="s">
        <v>233</v>
      </c>
      <c r="E55" s="10" t="s">
        <v>49</v>
      </c>
      <c r="F55" s="10" t="s">
        <v>231</v>
      </c>
      <c r="G55" s="10" t="s">
        <v>142</v>
      </c>
      <c r="H55" s="41">
        <v>7497855174</v>
      </c>
      <c r="I55" s="43">
        <v>15000</v>
      </c>
      <c r="J55" s="41">
        <v>1260</v>
      </c>
      <c r="K55" s="41">
        <f t="shared" si="7"/>
        <v>13740</v>
      </c>
      <c r="L55" s="43">
        <v>750</v>
      </c>
      <c r="M55" s="41">
        <v>26</v>
      </c>
      <c r="N55" s="44">
        <v>46161</v>
      </c>
      <c r="O55" s="44">
        <v>46162</v>
      </c>
      <c r="P55" s="44">
        <v>46175</v>
      </c>
      <c r="Q55" s="10" t="s">
        <v>154</v>
      </c>
    </row>
    <row r="56" spans="1:17">
      <c r="A56" s="41">
        <v>34</v>
      </c>
      <c r="B56" s="41" t="s">
        <v>100</v>
      </c>
      <c r="C56" s="16" t="s">
        <v>69</v>
      </c>
      <c r="D56" s="10" t="s">
        <v>234</v>
      </c>
      <c r="E56" s="10" t="s">
        <v>196</v>
      </c>
      <c r="F56" s="10" t="s">
        <v>232</v>
      </c>
      <c r="G56" s="10" t="s">
        <v>235</v>
      </c>
      <c r="H56" s="41">
        <v>9817633128</v>
      </c>
      <c r="I56" s="43">
        <v>20000</v>
      </c>
      <c r="J56" s="41">
        <v>1580</v>
      </c>
      <c r="K56" s="41">
        <f t="shared" si="7"/>
        <v>18420</v>
      </c>
      <c r="L56" s="43">
        <v>800</v>
      </c>
      <c r="M56" s="41">
        <v>34</v>
      </c>
      <c r="N56" s="44">
        <v>46161</v>
      </c>
      <c r="O56" s="44">
        <v>46162</v>
      </c>
      <c r="P56" s="44">
        <v>46175</v>
      </c>
      <c r="Q56" s="10" t="s">
        <v>154</v>
      </c>
    </row>
    <row r="57" spans="1:17">
      <c r="A57" s="41">
        <v>35</v>
      </c>
      <c r="B57" s="10" t="s">
        <v>100</v>
      </c>
      <c r="C57" s="16" t="s">
        <v>69</v>
      </c>
      <c r="D57" s="41" t="s">
        <v>236</v>
      </c>
      <c r="E57" s="10" t="s">
        <v>238</v>
      </c>
      <c r="F57" s="10" t="s">
        <v>180</v>
      </c>
      <c r="G57" s="10" t="s">
        <v>240</v>
      </c>
      <c r="H57" s="41">
        <v>9728727855</v>
      </c>
      <c r="I57" s="43">
        <v>15000</v>
      </c>
      <c r="J57" s="41">
        <v>1260</v>
      </c>
      <c r="K57" s="41">
        <f t="shared" si="7"/>
        <v>13740</v>
      </c>
      <c r="L57" s="43">
        <v>750</v>
      </c>
      <c r="M57" s="41">
        <v>26</v>
      </c>
      <c r="N57" s="44">
        <v>46161</v>
      </c>
      <c r="O57" s="44">
        <v>46164</v>
      </c>
      <c r="P57" s="44">
        <v>46175</v>
      </c>
      <c r="Q57" s="10" t="s">
        <v>154</v>
      </c>
    </row>
    <row r="58" spans="1:17">
      <c r="A58" s="41">
        <v>36</v>
      </c>
      <c r="B58" s="41" t="s">
        <v>100</v>
      </c>
      <c r="C58" s="16" t="s">
        <v>69</v>
      </c>
      <c r="D58" s="10" t="s">
        <v>237</v>
      </c>
      <c r="E58" s="10" t="s">
        <v>238</v>
      </c>
      <c r="F58" s="10" t="s">
        <v>239</v>
      </c>
      <c r="G58" s="10" t="s">
        <v>241</v>
      </c>
      <c r="H58" s="41">
        <v>9813575389</v>
      </c>
      <c r="I58" s="43">
        <v>20000</v>
      </c>
      <c r="J58" s="41">
        <v>1580</v>
      </c>
      <c r="K58" s="41">
        <f t="shared" si="7"/>
        <v>18420</v>
      </c>
      <c r="L58" s="43">
        <v>800</v>
      </c>
      <c r="M58" s="41">
        <v>34</v>
      </c>
      <c r="N58" s="44">
        <v>46161</v>
      </c>
      <c r="O58" s="44">
        <v>46164</v>
      </c>
      <c r="P58" s="44">
        <v>46175</v>
      </c>
      <c r="Q58" s="10" t="s">
        <v>154</v>
      </c>
    </row>
    <row r="59" spans="1:17">
      <c r="A59" s="41">
        <v>37</v>
      </c>
      <c r="B59" s="10" t="s">
        <v>100</v>
      </c>
      <c r="C59" s="16" t="s">
        <v>69</v>
      </c>
      <c r="D59" s="41" t="s">
        <v>242</v>
      </c>
      <c r="E59" s="10" t="s">
        <v>226</v>
      </c>
      <c r="F59" s="10" t="s">
        <v>246</v>
      </c>
      <c r="G59" s="10" t="s">
        <v>249</v>
      </c>
      <c r="H59" s="41">
        <v>9997650988</v>
      </c>
      <c r="I59" s="43">
        <v>15000</v>
      </c>
      <c r="J59" s="41">
        <v>1260</v>
      </c>
      <c r="K59" s="41">
        <f t="shared" si="7"/>
        <v>13740</v>
      </c>
      <c r="L59" s="43">
        <v>750</v>
      </c>
      <c r="M59" s="41">
        <v>26</v>
      </c>
      <c r="N59" s="44">
        <v>46163</v>
      </c>
      <c r="O59" s="44">
        <v>46165</v>
      </c>
      <c r="P59" s="44">
        <v>46175</v>
      </c>
      <c r="Q59" s="10" t="s">
        <v>154</v>
      </c>
    </row>
    <row r="60" spans="1:17">
      <c r="A60" s="41">
        <v>38</v>
      </c>
      <c r="B60" s="41" t="s">
        <v>100</v>
      </c>
      <c r="C60" s="16" t="s">
        <v>69</v>
      </c>
      <c r="D60" s="10" t="s">
        <v>243</v>
      </c>
      <c r="E60" s="10" t="s">
        <v>245</v>
      </c>
      <c r="F60" s="10" t="s">
        <v>247</v>
      </c>
      <c r="G60" s="10" t="s">
        <v>250</v>
      </c>
      <c r="H60" s="41">
        <v>8607470754</v>
      </c>
      <c r="I60" s="43">
        <v>20000</v>
      </c>
      <c r="J60" s="41">
        <v>1580</v>
      </c>
      <c r="K60" s="41">
        <f t="shared" si="7"/>
        <v>18420</v>
      </c>
      <c r="L60" s="43">
        <v>800</v>
      </c>
      <c r="M60" s="41">
        <v>34</v>
      </c>
      <c r="N60" s="44">
        <v>46161</v>
      </c>
      <c r="O60" s="44">
        <v>46165</v>
      </c>
      <c r="P60" s="44">
        <v>46175</v>
      </c>
      <c r="Q60" s="10" t="s">
        <v>154</v>
      </c>
    </row>
    <row r="61" spans="1:17">
      <c r="A61" s="41">
        <v>39</v>
      </c>
      <c r="B61" s="10" t="s">
        <v>100</v>
      </c>
      <c r="C61" s="16" t="s">
        <v>69</v>
      </c>
      <c r="D61" s="41" t="s">
        <v>244</v>
      </c>
      <c r="E61" s="10" t="s">
        <v>226</v>
      </c>
      <c r="F61" s="10" t="s">
        <v>248</v>
      </c>
      <c r="G61" s="10" t="s">
        <v>251</v>
      </c>
      <c r="H61" s="41">
        <v>8929903323</v>
      </c>
      <c r="I61" s="43">
        <v>20000</v>
      </c>
      <c r="J61" s="41">
        <v>1580</v>
      </c>
      <c r="K61" s="41">
        <f t="shared" si="7"/>
        <v>18420</v>
      </c>
      <c r="L61" s="43">
        <v>800</v>
      </c>
      <c r="M61" s="41">
        <v>34</v>
      </c>
      <c r="N61" s="44">
        <v>46164</v>
      </c>
      <c r="O61" s="44">
        <v>46165</v>
      </c>
      <c r="P61" s="44">
        <v>46175</v>
      </c>
      <c r="Q61" s="10" t="s">
        <v>154</v>
      </c>
    </row>
    <row r="62" spans="1:17">
      <c r="A62" s="41">
        <v>40</v>
      </c>
      <c r="B62" s="41" t="s">
        <v>100</v>
      </c>
      <c r="C62" s="16" t="s">
        <v>69</v>
      </c>
      <c r="D62" s="10" t="s">
        <v>252</v>
      </c>
      <c r="E62" s="10" t="s">
        <v>226</v>
      </c>
      <c r="F62" s="10" t="s">
        <v>120</v>
      </c>
      <c r="G62" s="10" t="s">
        <v>253</v>
      </c>
      <c r="H62" s="41">
        <v>8930304731</v>
      </c>
      <c r="I62" s="43">
        <v>20000</v>
      </c>
      <c r="J62" s="41">
        <v>1580</v>
      </c>
      <c r="K62" s="41">
        <f t="shared" si="7"/>
        <v>18420</v>
      </c>
      <c r="L62" s="43">
        <v>800</v>
      </c>
      <c r="M62" s="41">
        <v>34</v>
      </c>
      <c r="N62" s="44">
        <v>46165</v>
      </c>
      <c r="O62" s="44">
        <v>46167</v>
      </c>
      <c r="P62" s="44">
        <v>46175</v>
      </c>
      <c r="Q62" s="10" t="s">
        <v>154</v>
      </c>
    </row>
    <row r="63" spans="1:17">
      <c r="A63" s="41">
        <v>41</v>
      </c>
      <c r="B63" s="10" t="s">
        <v>100</v>
      </c>
      <c r="C63" s="16" t="s">
        <v>69</v>
      </c>
      <c r="D63" s="3" t="s">
        <v>256</v>
      </c>
      <c r="E63" s="10" t="s">
        <v>257</v>
      </c>
      <c r="F63" s="10" t="s">
        <v>258</v>
      </c>
      <c r="G63" s="10" t="s">
        <v>259</v>
      </c>
      <c r="H63" s="41">
        <v>7355860393</v>
      </c>
      <c r="I63" s="43">
        <v>15000</v>
      </c>
      <c r="J63" s="41">
        <v>1260</v>
      </c>
      <c r="K63" s="41">
        <f t="shared" si="7"/>
        <v>13740</v>
      </c>
      <c r="L63" s="43">
        <v>750</v>
      </c>
      <c r="M63" s="41">
        <v>26</v>
      </c>
      <c r="N63" s="44">
        <v>46165</v>
      </c>
      <c r="O63" s="44">
        <v>46168</v>
      </c>
      <c r="P63" s="44">
        <v>46175</v>
      </c>
      <c r="Q63" s="10" t="s">
        <v>154</v>
      </c>
    </row>
    <row r="64" spans="1:17">
      <c r="A64" s="41">
        <v>42</v>
      </c>
      <c r="B64" s="10" t="s">
        <v>100</v>
      </c>
      <c r="C64" s="16" t="s">
        <v>55</v>
      </c>
      <c r="D64" s="41" t="s">
        <v>262</v>
      </c>
      <c r="E64" s="10" t="s">
        <v>197</v>
      </c>
      <c r="F64" s="10" t="s">
        <v>247</v>
      </c>
      <c r="G64" s="10" t="s">
        <v>267</v>
      </c>
      <c r="H64" s="41">
        <v>7027082504</v>
      </c>
      <c r="I64" s="43">
        <v>20000</v>
      </c>
      <c r="J64" s="41">
        <v>1580</v>
      </c>
      <c r="K64" s="41">
        <f t="shared" si="7"/>
        <v>18420</v>
      </c>
      <c r="L64" s="43">
        <v>800</v>
      </c>
      <c r="M64" s="41">
        <v>34</v>
      </c>
      <c r="N64" s="44">
        <v>46169</v>
      </c>
      <c r="O64" s="44">
        <v>46171</v>
      </c>
      <c r="P64" s="44">
        <v>46183</v>
      </c>
      <c r="Q64" s="10" t="s">
        <v>154</v>
      </c>
    </row>
    <row r="65" spans="1:17">
      <c r="A65" s="41">
        <v>43</v>
      </c>
      <c r="B65" s="10" t="s">
        <v>100</v>
      </c>
      <c r="C65" s="16" t="s">
        <v>69</v>
      </c>
      <c r="D65" s="10" t="s">
        <v>263</v>
      </c>
      <c r="E65" s="10" t="s">
        <v>196</v>
      </c>
      <c r="F65" s="10" t="s">
        <v>260</v>
      </c>
      <c r="G65" s="10" t="s">
        <v>268</v>
      </c>
      <c r="H65" s="41">
        <v>8936838477</v>
      </c>
      <c r="I65" s="43">
        <v>15000</v>
      </c>
      <c r="J65" s="41">
        <v>1260</v>
      </c>
      <c r="K65" s="41">
        <f t="shared" si="7"/>
        <v>13740</v>
      </c>
      <c r="L65" s="43">
        <v>750</v>
      </c>
      <c r="M65" s="41">
        <v>26</v>
      </c>
      <c r="N65" s="44">
        <v>46169</v>
      </c>
      <c r="O65" s="44">
        <v>46171</v>
      </c>
      <c r="P65" s="44">
        <v>46182</v>
      </c>
      <c r="Q65" s="10" t="s">
        <v>154</v>
      </c>
    </row>
    <row r="66" spans="1:17">
      <c r="A66" s="41">
        <v>44</v>
      </c>
      <c r="B66" s="10" t="s">
        <v>100</v>
      </c>
      <c r="C66" s="16" t="s">
        <v>55</v>
      </c>
      <c r="D66" s="3" t="s">
        <v>264</v>
      </c>
      <c r="E66" s="10" t="s">
        <v>49</v>
      </c>
      <c r="F66" s="10" t="s">
        <v>254</v>
      </c>
      <c r="G66" s="10" t="s">
        <v>269</v>
      </c>
      <c r="H66" s="41">
        <v>9729160317</v>
      </c>
      <c r="I66" s="43">
        <v>15000</v>
      </c>
      <c r="J66" s="41">
        <v>1260</v>
      </c>
      <c r="K66" s="41">
        <f t="shared" si="7"/>
        <v>13740</v>
      </c>
      <c r="L66" s="43">
        <v>750</v>
      </c>
      <c r="M66" s="41">
        <v>26</v>
      </c>
      <c r="N66" s="44">
        <v>46161</v>
      </c>
      <c r="O66" s="44">
        <v>46171</v>
      </c>
      <c r="P66" s="44">
        <v>46176</v>
      </c>
      <c r="Q66" s="10" t="s">
        <v>154</v>
      </c>
    </row>
    <row r="67" spans="1:17">
      <c r="A67" s="41">
        <v>45</v>
      </c>
      <c r="B67" s="10" t="s">
        <v>100</v>
      </c>
      <c r="C67" s="16" t="s">
        <v>55</v>
      </c>
      <c r="D67" s="41" t="s">
        <v>265</v>
      </c>
      <c r="E67" s="10" t="s">
        <v>49</v>
      </c>
      <c r="F67" s="10" t="s">
        <v>261</v>
      </c>
      <c r="G67" s="10" t="s">
        <v>270</v>
      </c>
      <c r="H67" s="41">
        <v>9991081679</v>
      </c>
      <c r="I67" s="43">
        <v>20000</v>
      </c>
      <c r="J67" s="41">
        <v>1580</v>
      </c>
      <c r="K67" s="41">
        <f t="shared" si="7"/>
        <v>18420</v>
      </c>
      <c r="L67" s="43">
        <v>800</v>
      </c>
      <c r="M67" s="41">
        <v>34</v>
      </c>
      <c r="N67" s="44">
        <v>46170</v>
      </c>
      <c r="O67" s="44">
        <v>46171</v>
      </c>
      <c r="P67" s="44">
        <v>46183</v>
      </c>
      <c r="Q67" s="10" t="s">
        <v>154</v>
      </c>
    </row>
    <row r="68" spans="1:17">
      <c r="A68" s="41">
        <v>46</v>
      </c>
      <c r="B68" s="10" t="s">
        <v>100</v>
      </c>
      <c r="C68" s="16" t="s">
        <v>69</v>
      </c>
      <c r="D68" s="10" t="s">
        <v>266</v>
      </c>
      <c r="E68" s="10" t="s">
        <v>196</v>
      </c>
      <c r="F68" s="10" t="s">
        <v>239</v>
      </c>
      <c r="G68" s="10" t="s">
        <v>235</v>
      </c>
      <c r="H68" s="41">
        <v>9728139162</v>
      </c>
      <c r="I68" s="43">
        <v>15000</v>
      </c>
      <c r="J68" s="41">
        <v>1260</v>
      </c>
      <c r="K68" s="41">
        <f t="shared" si="7"/>
        <v>13740</v>
      </c>
      <c r="L68" s="43">
        <v>750</v>
      </c>
      <c r="M68" s="41">
        <v>26</v>
      </c>
      <c r="N68" s="44">
        <v>46169</v>
      </c>
      <c r="O68" s="44">
        <v>46171</v>
      </c>
      <c r="P68" s="44">
        <v>46182</v>
      </c>
      <c r="Q68" s="10" t="s">
        <v>154</v>
      </c>
    </row>
    <row r="69" spans="1:17">
      <c r="A69" s="41">
        <v>47</v>
      </c>
      <c r="B69" s="10" t="s">
        <v>100</v>
      </c>
      <c r="C69" s="16" t="s">
        <v>55</v>
      </c>
      <c r="D69" s="41" t="s">
        <v>275</v>
      </c>
      <c r="E69" s="10" t="s">
        <v>278</v>
      </c>
      <c r="F69" s="10" t="s">
        <v>271</v>
      </c>
      <c r="G69" s="10" t="s">
        <v>280</v>
      </c>
      <c r="H69" s="41">
        <v>9466502084</v>
      </c>
      <c r="I69" s="43">
        <v>15000</v>
      </c>
      <c r="J69" s="41">
        <v>1260</v>
      </c>
      <c r="K69" s="41">
        <f t="shared" si="7"/>
        <v>13740</v>
      </c>
      <c r="L69" s="43">
        <v>750</v>
      </c>
      <c r="M69" s="41">
        <v>26</v>
      </c>
      <c r="N69" s="44">
        <v>46167</v>
      </c>
      <c r="O69" s="44">
        <v>46172</v>
      </c>
      <c r="P69" s="44">
        <v>46183</v>
      </c>
      <c r="Q69" s="10" t="s">
        <v>154</v>
      </c>
    </row>
    <row r="70" spans="1:17">
      <c r="A70" s="41">
        <v>48</v>
      </c>
      <c r="B70" s="10" t="s">
        <v>100</v>
      </c>
      <c r="C70" s="16" t="s">
        <v>55</v>
      </c>
      <c r="D70" s="10" t="s">
        <v>276</v>
      </c>
      <c r="E70" s="10" t="s">
        <v>279</v>
      </c>
      <c r="F70" s="10" t="s">
        <v>272</v>
      </c>
      <c r="G70" s="10" t="s">
        <v>281</v>
      </c>
      <c r="H70" s="41">
        <v>8168586120</v>
      </c>
      <c r="I70" s="43">
        <v>20000</v>
      </c>
      <c r="J70" s="41">
        <v>1580</v>
      </c>
      <c r="K70" s="41">
        <f t="shared" si="7"/>
        <v>18420</v>
      </c>
      <c r="L70" s="43">
        <v>800</v>
      </c>
      <c r="M70" s="41">
        <v>34</v>
      </c>
      <c r="N70" s="44">
        <v>46171</v>
      </c>
      <c r="O70" s="44">
        <v>46172</v>
      </c>
      <c r="P70" s="44">
        <v>46190</v>
      </c>
      <c r="Q70" s="10" t="s">
        <v>154</v>
      </c>
    </row>
    <row r="71" spans="1:17">
      <c r="A71" s="41">
        <v>49</v>
      </c>
      <c r="B71" s="10" t="s">
        <v>100</v>
      </c>
      <c r="C71" s="16" t="s">
        <v>55</v>
      </c>
      <c r="D71" s="41" t="s">
        <v>277</v>
      </c>
      <c r="E71" s="10" t="s">
        <v>49</v>
      </c>
      <c r="F71" s="10" t="s">
        <v>273</v>
      </c>
      <c r="G71" s="10" t="s">
        <v>282</v>
      </c>
      <c r="H71" s="41">
        <v>8295507421</v>
      </c>
      <c r="I71" s="43">
        <v>20000</v>
      </c>
      <c r="J71" s="41">
        <v>1580</v>
      </c>
      <c r="K71" s="41">
        <f t="shared" si="7"/>
        <v>18420</v>
      </c>
      <c r="L71" s="43">
        <v>800</v>
      </c>
      <c r="M71" s="41">
        <v>34</v>
      </c>
      <c r="N71" s="44">
        <v>46171</v>
      </c>
      <c r="O71" s="44">
        <v>46172</v>
      </c>
      <c r="P71" s="44">
        <v>46190</v>
      </c>
      <c r="Q71" s="10" t="s">
        <v>154</v>
      </c>
    </row>
    <row r="72" spans="1:17">
      <c r="A72" s="41">
        <v>50</v>
      </c>
      <c r="B72" s="10" t="s">
        <v>100</v>
      </c>
      <c r="C72" s="16" t="s">
        <v>55</v>
      </c>
      <c r="D72" s="10" t="s">
        <v>255</v>
      </c>
      <c r="E72" s="10" t="s">
        <v>278</v>
      </c>
      <c r="F72" s="10" t="s">
        <v>274</v>
      </c>
      <c r="G72" s="10" t="s">
        <v>189</v>
      </c>
      <c r="H72" s="41">
        <v>7828359630</v>
      </c>
      <c r="I72" s="43">
        <v>15000</v>
      </c>
      <c r="J72" s="41">
        <v>1260</v>
      </c>
      <c r="K72" s="41">
        <f t="shared" si="7"/>
        <v>13740</v>
      </c>
      <c r="L72" s="43">
        <v>750</v>
      </c>
      <c r="M72" s="41">
        <v>26</v>
      </c>
      <c r="N72" s="44">
        <v>46165</v>
      </c>
      <c r="O72" s="44">
        <v>46172</v>
      </c>
      <c r="P72" s="44">
        <v>46176</v>
      </c>
      <c r="Q72" s="10" t="s">
        <v>154</v>
      </c>
    </row>
    <row r="73" spans="1:17">
      <c r="A73" s="41"/>
      <c r="B73" s="10"/>
      <c r="C73" s="16"/>
      <c r="D73" s="10"/>
      <c r="E73" s="10"/>
      <c r="F73" s="10"/>
      <c r="G73" s="10"/>
      <c r="H73" s="41"/>
      <c r="I73" s="43"/>
      <c r="J73" s="41"/>
      <c r="K73" s="41"/>
      <c r="L73" s="43"/>
      <c r="M73" s="41"/>
      <c r="N73" s="44"/>
      <c r="O73" s="44"/>
      <c r="P73" s="44"/>
      <c r="Q73" s="10"/>
    </row>
    <row r="74" spans="1:17">
      <c r="A74" s="41"/>
      <c r="B74" s="10"/>
      <c r="C74" s="16"/>
      <c r="D74" s="3"/>
      <c r="E74" s="10"/>
      <c r="F74" s="10"/>
      <c r="G74" s="10"/>
      <c r="H74" s="41"/>
      <c r="I74" s="43"/>
      <c r="J74" s="41"/>
      <c r="K74" s="41"/>
      <c r="L74" s="43"/>
      <c r="M74" s="41"/>
      <c r="N74" s="44"/>
      <c r="O74" s="44"/>
      <c r="P74" s="44"/>
      <c r="Q74" s="10"/>
    </row>
    <row r="75" spans="1:17">
      <c r="A75" s="41"/>
      <c r="B75" s="10"/>
      <c r="C75" s="16"/>
      <c r="D75" s="3"/>
      <c r="E75" s="10"/>
      <c r="F75" s="10"/>
      <c r="G75" s="10"/>
      <c r="H75" s="41"/>
      <c r="I75" s="43"/>
      <c r="J75" s="41"/>
      <c r="K75" s="41"/>
      <c r="L75" s="43"/>
      <c r="M75" s="41"/>
      <c r="N75" s="44"/>
      <c r="O75" s="44"/>
      <c r="P75" s="44"/>
      <c r="Q75" s="10"/>
    </row>
    <row r="76" spans="1:17">
      <c r="A76" s="41"/>
      <c r="B76" s="10"/>
      <c r="C76" s="16"/>
      <c r="D76" s="3"/>
      <c r="E76" s="10"/>
      <c r="F76" s="10"/>
      <c r="G76" s="10"/>
      <c r="H76" s="41"/>
      <c r="I76" s="43"/>
      <c r="J76" s="41"/>
      <c r="K76" s="41"/>
      <c r="L76" s="43"/>
      <c r="M76" s="41"/>
      <c r="N76" s="44"/>
      <c r="O76" s="44"/>
      <c r="P76" s="44"/>
      <c r="Q76" s="10"/>
    </row>
    <row r="77" spans="1:17">
      <c r="A77" s="41"/>
      <c r="B77" s="41"/>
      <c r="C77" s="41"/>
      <c r="D77" s="43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 ht="21" customHeight="1">
      <c r="A78" s="41"/>
      <c r="B78" s="41"/>
      <c r="C78" s="70"/>
      <c r="D78" s="70"/>
      <c r="E78" s="70"/>
      <c r="F78" s="70"/>
      <c r="G78" s="70"/>
      <c r="H78" s="101"/>
      <c r="I78" s="47">
        <f>SUM(I23:I77)</f>
        <v>870000</v>
      </c>
      <c r="J78" s="47">
        <f>SUM(J23:J77)</f>
        <v>70680</v>
      </c>
      <c r="K78" s="47">
        <f>SUM(K23:K77)</f>
        <v>799320</v>
      </c>
      <c r="L78" s="101"/>
      <c r="M78" s="70"/>
      <c r="N78" s="70"/>
      <c r="O78" s="70"/>
      <c r="P78" s="70"/>
      <c r="Q78" s="70"/>
    </row>
    <row r="79" spans="1:17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</row>
    <row r="82" spans="1:17" ht="24.75">
      <c r="A82" s="135" t="s">
        <v>283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</row>
    <row r="83" spans="1:17" ht="45">
      <c r="A83" s="40" t="s">
        <v>87</v>
      </c>
      <c r="B83" s="40" t="s">
        <v>88</v>
      </c>
      <c r="C83" s="40" t="s">
        <v>89</v>
      </c>
      <c r="D83" s="40" t="s">
        <v>90</v>
      </c>
      <c r="E83" s="40" t="s">
        <v>91</v>
      </c>
      <c r="F83" s="40" t="s">
        <v>92</v>
      </c>
      <c r="G83" s="40" t="s">
        <v>93</v>
      </c>
      <c r="H83" s="40" t="s">
        <v>94</v>
      </c>
      <c r="I83" s="40" t="s">
        <v>11</v>
      </c>
      <c r="J83" s="40" t="s">
        <v>12</v>
      </c>
      <c r="K83" s="40" t="s">
        <v>95</v>
      </c>
      <c r="L83" s="40" t="s">
        <v>96</v>
      </c>
      <c r="M83" s="40" t="s">
        <v>17</v>
      </c>
      <c r="N83" s="40" t="s">
        <v>97</v>
      </c>
      <c r="O83" s="40" t="s">
        <v>98</v>
      </c>
      <c r="P83" s="40" t="s">
        <v>43</v>
      </c>
      <c r="Q83" s="40" t="s">
        <v>99</v>
      </c>
    </row>
    <row r="84" spans="1:17">
      <c r="A84" s="70">
        <v>1</v>
      </c>
      <c r="B84" s="69" t="s">
        <v>51</v>
      </c>
      <c r="C84" s="69" t="s">
        <v>55</v>
      </c>
      <c r="D84" s="102" t="s">
        <v>286</v>
      </c>
      <c r="E84" s="69" t="s">
        <v>49</v>
      </c>
      <c r="F84" s="69" t="s">
        <v>285</v>
      </c>
      <c r="G84" s="69" t="s">
        <v>293</v>
      </c>
      <c r="H84" s="70">
        <v>9671634311</v>
      </c>
      <c r="I84" s="70">
        <v>20000</v>
      </c>
      <c r="J84" s="41">
        <v>1580</v>
      </c>
      <c r="K84" s="41">
        <f t="shared" ref="K84" si="8">I84-J84</f>
        <v>18420</v>
      </c>
      <c r="L84" s="43">
        <v>800</v>
      </c>
      <c r="M84" s="41">
        <v>34</v>
      </c>
      <c r="N84" s="103">
        <v>46172</v>
      </c>
      <c r="O84" s="103">
        <v>46177</v>
      </c>
      <c r="P84" s="103">
        <v>46190</v>
      </c>
      <c r="Q84" s="69" t="s">
        <v>101</v>
      </c>
    </row>
    <row r="85" spans="1:17">
      <c r="A85" s="70">
        <v>2</v>
      </c>
      <c r="B85" s="69" t="s">
        <v>51</v>
      </c>
      <c r="C85" s="69" t="s">
        <v>55</v>
      </c>
      <c r="D85" s="102" t="s">
        <v>287</v>
      </c>
      <c r="E85" s="69" t="s">
        <v>130</v>
      </c>
      <c r="F85" s="69" t="s">
        <v>284</v>
      </c>
      <c r="G85" s="69" t="s">
        <v>294</v>
      </c>
      <c r="H85" s="70">
        <v>9671393271</v>
      </c>
      <c r="I85" s="70">
        <v>20000</v>
      </c>
      <c r="J85" s="41">
        <v>1580</v>
      </c>
      <c r="K85" s="41">
        <f t="shared" ref="K85:K89" si="9">I85-J85</f>
        <v>18420</v>
      </c>
      <c r="L85" s="43">
        <v>800</v>
      </c>
      <c r="M85" s="41">
        <v>34</v>
      </c>
      <c r="N85" s="103">
        <v>46172</v>
      </c>
      <c r="O85" s="103">
        <v>46177</v>
      </c>
      <c r="P85" s="103">
        <v>46190</v>
      </c>
      <c r="Q85" s="69" t="s">
        <v>101</v>
      </c>
    </row>
    <row r="86" spans="1:17">
      <c r="A86" s="70">
        <v>3</v>
      </c>
      <c r="B86" s="69" t="s">
        <v>51</v>
      </c>
      <c r="C86" s="69" t="s">
        <v>55</v>
      </c>
      <c r="D86" s="102" t="s">
        <v>288</v>
      </c>
      <c r="E86" s="69" t="s">
        <v>290</v>
      </c>
      <c r="F86" s="69" t="s">
        <v>180</v>
      </c>
      <c r="G86" s="69" t="s">
        <v>295</v>
      </c>
      <c r="H86" s="70">
        <v>9671443722</v>
      </c>
      <c r="I86" s="70">
        <v>20000</v>
      </c>
      <c r="J86" s="41">
        <v>1580</v>
      </c>
      <c r="K86" s="41">
        <f t="shared" si="9"/>
        <v>18420</v>
      </c>
      <c r="L86" s="43">
        <v>800</v>
      </c>
      <c r="M86" s="41">
        <v>34</v>
      </c>
      <c r="N86" s="103">
        <v>46175</v>
      </c>
      <c r="O86" s="103">
        <v>46179</v>
      </c>
      <c r="P86" s="103">
        <v>46190</v>
      </c>
      <c r="Q86" s="69" t="s">
        <v>101</v>
      </c>
    </row>
    <row r="87" spans="1:17">
      <c r="A87" s="70">
        <v>4</v>
      </c>
      <c r="B87" s="69" t="s">
        <v>51</v>
      </c>
      <c r="C87" s="69" t="s">
        <v>69</v>
      </c>
      <c r="D87" s="102" t="s">
        <v>289</v>
      </c>
      <c r="E87" s="69" t="s">
        <v>291</v>
      </c>
      <c r="F87" s="69" t="s">
        <v>292</v>
      </c>
      <c r="G87" s="69" t="s">
        <v>296</v>
      </c>
      <c r="H87" s="70">
        <v>9343799675</v>
      </c>
      <c r="I87" s="70">
        <v>20000</v>
      </c>
      <c r="J87" s="41">
        <v>1580</v>
      </c>
      <c r="K87" s="41">
        <f t="shared" si="9"/>
        <v>18420</v>
      </c>
      <c r="L87" s="43">
        <v>800</v>
      </c>
      <c r="M87" s="41">
        <v>34</v>
      </c>
      <c r="N87" s="103">
        <v>46175</v>
      </c>
      <c r="O87" s="103">
        <v>46179</v>
      </c>
      <c r="P87" s="103">
        <v>46189</v>
      </c>
      <c r="Q87" s="69" t="s">
        <v>101</v>
      </c>
    </row>
    <row r="88" spans="1:17">
      <c r="A88" s="70">
        <v>5</v>
      </c>
      <c r="B88" s="69" t="s">
        <v>51</v>
      </c>
      <c r="C88" s="71" t="s">
        <v>69</v>
      </c>
      <c r="D88" s="71" t="s">
        <v>298</v>
      </c>
      <c r="E88" s="71" t="s">
        <v>300</v>
      </c>
      <c r="F88" s="71" t="s">
        <v>71</v>
      </c>
      <c r="G88" s="71" t="s">
        <v>302</v>
      </c>
      <c r="H88" s="70">
        <v>7056212672</v>
      </c>
      <c r="I88" s="70">
        <v>15000</v>
      </c>
      <c r="J88" s="70">
        <v>1260</v>
      </c>
      <c r="K88" s="70">
        <f t="shared" si="9"/>
        <v>13740</v>
      </c>
      <c r="L88" s="70">
        <v>750</v>
      </c>
      <c r="M88" s="70">
        <v>26</v>
      </c>
      <c r="N88" s="103">
        <v>49829</v>
      </c>
      <c r="O88" s="103">
        <v>46181</v>
      </c>
      <c r="P88" s="103">
        <v>46189</v>
      </c>
      <c r="Q88" s="69" t="s">
        <v>101</v>
      </c>
    </row>
    <row r="89" spans="1:17">
      <c r="A89" s="70">
        <v>6</v>
      </c>
      <c r="B89" s="69" t="s">
        <v>51</v>
      </c>
      <c r="C89" s="71" t="s">
        <v>55</v>
      </c>
      <c r="D89" s="71" t="s">
        <v>299</v>
      </c>
      <c r="E89" s="71" t="s">
        <v>130</v>
      </c>
      <c r="F89" s="71" t="s">
        <v>301</v>
      </c>
      <c r="G89" s="71" t="s">
        <v>303</v>
      </c>
      <c r="H89" s="70">
        <v>8397097184</v>
      </c>
      <c r="I89" s="70">
        <v>20000</v>
      </c>
      <c r="J89" s="70">
        <v>1580</v>
      </c>
      <c r="K89" s="70">
        <f t="shared" si="9"/>
        <v>18420</v>
      </c>
      <c r="L89" s="70">
        <v>800</v>
      </c>
      <c r="M89" s="70">
        <v>34</v>
      </c>
      <c r="N89" s="103">
        <v>49829</v>
      </c>
      <c r="O89" s="103">
        <v>46181</v>
      </c>
      <c r="P89" s="103">
        <v>45460</v>
      </c>
      <c r="Q89" s="69" t="s">
        <v>101</v>
      </c>
    </row>
    <row r="90" spans="1:17">
      <c r="A90" s="70">
        <v>7</v>
      </c>
      <c r="B90" s="69" t="s">
        <v>51</v>
      </c>
      <c r="C90" s="104" t="s">
        <v>69</v>
      </c>
      <c r="D90" s="71" t="s">
        <v>306</v>
      </c>
      <c r="E90" s="104" t="s">
        <v>308</v>
      </c>
      <c r="F90" s="104" t="s">
        <v>165</v>
      </c>
      <c r="G90" s="104" t="s">
        <v>310</v>
      </c>
      <c r="H90" s="70">
        <v>9971836202</v>
      </c>
      <c r="I90" s="70">
        <v>20000</v>
      </c>
      <c r="J90" s="70">
        <v>1580</v>
      </c>
      <c r="K90" s="70">
        <f t="shared" ref="K90:K119" si="10">I90-J90</f>
        <v>18420</v>
      </c>
      <c r="L90" s="70">
        <v>800</v>
      </c>
      <c r="M90" s="70">
        <v>34</v>
      </c>
      <c r="N90" s="103">
        <v>46179</v>
      </c>
      <c r="O90" s="103">
        <v>46183</v>
      </c>
      <c r="P90" s="103">
        <v>46196</v>
      </c>
      <c r="Q90" s="69" t="s">
        <v>101</v>
      </c>
    </row>
    <row r="91" spans="1:17">
      <c r="A91" s="70">
        <v>8</v>
      </c>
      <c r="B91" s="69" t="s">
        <v>51</v>
      </c>
      <c r="C91" s="104" t="s">
        <v>69</v>
      </c>
      <c r="D91" s="71" t="s">
        <v>307</v>
      </c>
      <c r="E91" s="104" t="s">
        <v>309</v>
      </c>
      <c r="F91" s="104" t="s">
        <v>305</v>
      </c>
      <c r="G91" s="104" t="s">
        <v>54</v>
      </c>
      <c r="H91" s="70">
        <v>8307951615</v>
      </c>
      <c r="I91" s="70">
        <v>20000</v>
      </c>
      <c r="J91" s="70">
        <v>1580</v>
      </c>
      <c r="K91" s="70">
        <f t="shared" si="10"/>
        <v>18420</v>
      </c>
      <c r="L91" s="70">
        <v>1000</v>
      </c>
      <c r="M91" s="70">
        <v>27</v>
      </c>
      <c r="N91" s="103">
        <v>46182</v>
      </c>
      <c r="O91" s="103">
        <v>46183</v>
      </c>
      <c r="P91" s="103">
        <v>46196</v>
      </c>
      <c r="Q91" s="69" t="s">
        <v>101</v>
      </c>
    </row>
    <row r="92" spans="1:17">
      <c r="A92" s="70">
        <v>9</v>
      </c>
      <c r="B92" s="69" t="s">
        <v>51</v>
      </c>
      <c r="C92" s="72" t="s">
        <v>55</v>
      </c>
      <c r="D92" s="71" t="s">
        <v>312</v>
      </c>
      <c r="E92" s="72" t="s">
        <v>197</v>
      </c>
      <c r="F92" s="73" t="s">
        <v>121</v>
      </c>
      <c r="G92" s="72" t="s">
        <v>315</v>
      </c>
      <c r="H92" s="70">
        <v>8059882196</v>
      </c>
      <c r="I92" s="70">
        <v>20000</v>
      </c>
      <c r="J92" s="70">
        <v>1580</v>
      </c>
      <c r="K92" s="70">
        <f t="shared" si="10"/>
        <v>18420</v>
      </c>
      <c r="L92" s="70">
        <v>800</v>
      </c>
      <c r="M92" s="70">
        <v>34</v>
      </c>
      <c r="N92" s="103">
        <v>46176</v>
      </c>
      <c r="O92" s="103">
        <v>46184</v>
      </c>
      <c r="P92" s="103">
        <v>46190</v>
      </c>
      <c r="Q92" s="69" t="s">
        <v>101</v>
      </c>
    </row>
    <row r="93" spans="1:17">
      <c r="A93" s="70">
        <v>10</v>
      </c>
      <c r="B93" s="69" t="s">
        <v>51</v>
      </c>
      <c r="C93" s="72" t="s">
        <v>69</v>
      </c>
      <c r="D93" s="71" t="s">
        <v>313</v>
      </c>
      <c r="E93" s="72" t="s">
        <v>314</v>
      </c>
      <c r="F93" s="73" t="s">
        <v>311</v>
      </c>
      <c r="G93" s="72" t="s">
        <v>316</v>
      </c>
      <c r="H93" s="70">
        <v>8053115922</v>
      </c>
      <c r="I93" s="70">
        <v>20000</v>
      </c>
      <c r="J93" s="70">
        <v>1580</v>
      </c>
      <c r="K93" s="70">
        <f t="shared" si="10"/>
        <v>18420</v>
      </c>
      <c r="L93" s="70">
        <v>1000</v>
      </c>
      <c r="M93" s="70">
        <v>27</v>
      </c>
      <c r="N93" s="103">
        <v>46182</v>
      </c>
      <c r="O93" s="103">
        <v>46184</v>
      </c>
      <c r="P93" s="103">
        <v>46196</v>
      </c>
      <c r="Q93" s="69" t="s">
        <v>101</v>
      </c>
    </row>
    <row r="94" spans="1:17">
      <c r="A94" s="70">
        <v>11</v>
      </c>
      <c r="B94" s="69" t="s">
        <v>51</v>
      </c>
      <c r="C94" s="72" t="s">
        <v>69</v>
      </c>
      <c r="D94" s="71" t="s">
        <v>324</v>
      </c>
      <c r="E94" s="105" t="s">
        <v>130</v>
      </c>
      <c r="F94" s="106" t="s">
        <v>317</v>
      </c>
      <c r="G94" s="106" t="s">
        <v>318</v>
      </c>
      <c r="H94" s="70">
        <v>9034416529</v>
      </c>
      <c r="I94" s="70">
        <v>20000</v>
      </c>
      <c r="J94" s="70">
        <v>1580</v>
      </c>
      <c r="K94" s="70">
        <f t="shared" si="10"/>
        <v>18420</v>
      </c>
      <c r="L94" s="70">
        <v>1000</v>
      </c>
      <c r="M94" s="70">
        <v>27</v>
      </c>
      <c r="N94" s="103">
        <v>46183</v>
      </c>
      <c r="O94" s="103">
        <v>46185</v>
      </c>
      <c r="P94" s="103">
        <v>46196</v>
      </c>
      <c r="Q94" s="69" t="s">
        <v>101</v>
      </c>
    </row>
    <row r="95" spans="1:17">
      <c r="A95" s="70">
        <v>12</v>
      </c>
      <c r="B95" s="69" t="s">
        <v>51</v>
      </c>
      <c r="C95" s="72" t="s">
        <v>69</v>
      </c>
      <c r="D95" s="71" t="s">
        <v>325</v>
      </c>
      <c r="E95" s="105" t="s">
        <v>130</v>
      </c>
      <c r="F95" s="106" t="s">
        <v>319</v>
      </c>
      <c r="G95" s="106" t="s">
        <v>320</v>
      </c>
      <c r="H95" s="70">
        <v>9728411675</v>
      </c>
      <c r="I95" s="70">
        <v>20000</v>
      </c>
      <c r="J95" s="70">
        <v>1580</v>
      </c>
      <c r="K95" s="70">
        <f t="shared" si="10"/>
        <v>18420</v>
      </c>
      <c r="L95" s="70">
        <v>1000</v>
      </c>
      <c r="M95" s="70">
        <v>27</v>
      </c>
      <c r="N95" s="103">
        <v>46183</v>
      </c>
      <c r="O95" s="103">
        <v>46185</v>
      </c>
      <c r="P95" s="103">
        <v>46196</v>
      </c>
      <c r="Q95" s="69" t="s">
        <v>101</v>
      </c>
    </row>
    <row r="96" spans="1:17">
      <c r="A96" s="70">
        <v>13</v>
      </c>
      <c r="B96" s="69" t="s">
        <v>51</v>
      </c>
      <c r="C96" s="72" t="s">
        <v>69</v>
      </c>
      <c r="D96" s="71" t="s">
        <v>326</v>
      </c>
      <c r="E96" s="105" t="s">
        <v>130</v>
      </c>
      <c r="F96" s="106" t="s">
        <v>321</v>
      </c>
      <c r="G96" s="106" t="s">
        <v>322</v>
      </c>
      <c r="H96" s="70">
        <v>9034416529</v>
      </c>
      <c r="I96" s="70">
        <v>20000</v>
      </c>
      <c r="J96" s="70">
        <v>1580</v>
      </c>
      <c r="K96" s="70">
        <f t="shared" si="10"/>
        <v>18420</v>
      </c>
      <c r="L96" s="70">
        <v>1000</v>
      </c>
      <c r="M96" s="70">
        <v>27</v>
      </c>
      <c r="N96" s="103">
        <v>46183</v>
      </c>
      <c r="O96" s="103">
        <v>46185</v>
      </c>
      <c r="P96" s="103">
        <v>46196</v>
      </c>
      <c r="Q96" s="69" t="s">
        <v>101</v>
      </c>
    </row>
    <row r="97" spans="1:17">
      <c r="A97" s="70">
        <v>14</v>
      </c>
      <c r="B97" s="69" t="s">
        <v>51</v>
      </c>
      <c r="C97" s="72" t="s">
        <v>69</v>
      </c>
      <c r="D97" s="71" t="s">
        <v>327</v>
      </c>
      <c r="E97" s="105" t="s">
        <v>300</v>
      </c>
      <c r="F97" s="106" t="s">
        <v>180</v>
      </c>
      <c r="G97" s="106" t="s">
        <v>78</v>
      </c>
      <c r="H97" s="70">
        <v>7027786391</v>
      </c>
      <c r="I97" s="70">
        <v>20000</v>
      </c>
      <c r="J97" s="70">
        <v>1580</v>
      </c>
      <c r="K97" s="70">
        <f t="shared" si="10"/>
        <v>18420</v>
      </c>
      <c r="L97" s="70">
        <v>1000</v>
      </c>
      <c r="M97" s="70">
        <v>27</v>
      </c>
      <c r="N97" s="103">
        <v>46184</v>
      </c>
      <c r="O97" s="103">
        <v>46185</v>
      </c>
      <c r="P97" s="103">
        <v>46196</v>
      </c>
      <c r="Q97" s="69" t="s">
        <v>101</v>
      </c>
    </row>
    <row r="98" spans="1:17">
      <c r="A98" s="70">
        <v>15</v>
      </c>
      <c r="B98" s="69" t="s">
        <v>51</v>
      </c>
      <c r="C98" s="72" t="s">
        <v>69</v>
      </c>
      <c r="D98" s="71" t="s">
        <v>328</v>
      </c>
      <c r="E98" s="105" t="s">
        <v>130</v>
      </c>
      <c r="F98" s="106" t="s">
        <v>323</v>
      </c>
      <c r="G98" s="106" t="s">
        <v>126</v>
      </c>
      <c r="H98" s="70">
        <v>9996695743</v>
      </c>
      <c r="I98" s="70">
        <v>20000</v>
      </c>
      <c r="J98" s="70">
        <v>1580</v>
      </c>
      <c r="K98" s="70">
        <f t="shared" si="10"/>
        <v>18420</v>
      </c>
      <c r="L98" s="70">
        <v>1000</v>
      </c>
      <c r="M98" s="70">
        <v>27</v>
      </c>
      <c r="N98" s="103">
        <v>46183</v>
      </c>
      <c r="O98" s="103">
        <v>46185</v>
      </c>
      <c r="P98" s="103">
        <v>46196</v>
      </c>
      <c r="Q98" s="69" t="s">
        <v>101</v>
      </c>
    </row>
    <row r="99" spans="1:17">
      <c r="A99" s="70">
        <v>16</v>
      </c>
      <c r="B99" s="74" t="s">
        <v>51</v>
      </c>
      <c r="C99" s="74" t="s">
        <v>55</v>
      </c>
      <c r="D99" s="74" t="s">
        <v>329</v>
      </c>
      <c r="E99" s="74" t="s">
        <v>206</v>
      </c>
      <c r="F99" s="74" t="s">
        <v>330</v>
      </c>
      <c r="G99" s="74" t="s">
        <v>331</v>
      </c>
      <c r="H99" s="70">
        <v>7015840262</v>
      </c>
      <c r="I99" s="70">
        <v>20000</v>
      </c>
      <c r="J99" s="70">
        <v>1580</v>
      </c>
      <c r="K99" s="70">
        <f t="shared" si="10"/>
        <v>18420</v>
      </c>
      <c r="L99" s="70">
        <v>800</v>
      </c>
      <c r="M99" s="70">
        <v>34</v>
      </c>
      <c r="N99" s="107">
        <v>46184</v>
      </c>
      <c r="O99" s="103">
        <v>46186</v>
      </c>
      <c r="P99" s="103">
        <v>46190</v>
      </c>
      <c r="Q99" s="74" t="s">
        <v>101</v>
      </c>
    </row>
    <row r="100" spans="1:17">
      <c r="A100" s="70">
        <v>17</v>
      </c>
      <c r="B100" s="69" t="s">
        <v>51</v>
      </c>
      <c r="C100" s="74" t="s">
        <v>55</v>
      </c>
      <c r="D100" s="71" t="s">
        <v>343</v>
      </c>
      <c r="E100" s="108" t="s">
        <v>348</v>
      </c>
      <c r="F100" s="109" t="s">
        <v>333</v>
      </c>
      <c r="G100" s="109" t="s">
        <v>334</v>
      </c>
      <c r="H100" s="70">
        <v>8708050493</v>
      </c>
      <c r="I100" s="70">
        <v>20000</v>
      </c>
      <c r="J100" s="70">
        <v>1580</v>
      </c>
      <c r="K100" s="70">
        <f t="shared" si="10"/>
        <v>18420</v>
      </c>
      <c r="L100" s="70">
        <v>1000</v>
      </c>
      <c r="M100" s="70">
        <v>27</v>
      </c>
      <c r="N100" s="107">
        <v>38880</v>
      </c>
      <c r="O100" s="103">
        <v>46191</v>
      </c>
      <c r="P100" s="103">
        <v>46174</v>
      </c>
      <c r="Q100" s="74" t="s">
        <v>101</v>
      </c>
    </row>
    <row r="101" spans="1:17">
      <c r="A101" s="70">
        <v>18</v>
      </c>
      <c r="B101" s="74" t="s">
        <v>51</v>
      </c>
      <c r="C101" s="74" t="s">
        <v>55</v>
      </c>
      <c r="D101" s="74" t="s">
        <v>344</v>
      </c>
      <c r="E101" s="108" t="s">
        <v>348</v>
      </c>
      <c r="F101" s="109" t="s">
        <v>335</v>
      </c>
      <c r="G101" s="109" t="s">
        <v>336</v>
      </c>
      <c r="H101" s="70">
        <v>8708050493</v>
      </c>
      <c r="I101" s="70">
        <v>20000</v>
      </c>
      <c r="J101" s="70">
        <v>1580</v>
      </c>
      <c r="K101" s="70">
        <f t="shared" si="10"/>
        <v>18420</v>
      </c>
      <c r="L101" s="70">
        <v>1000</v>
      </c>
      <c r="M101" s="70">
        <v>27</v>
      </c>
      <c r="N101" s="107">
        <v>46186</v>
      </c>
      <c r="O101" s="103">
        <v>46191</v>
      </c>
      <c r="P101" s="103">
        <v>46174</v>
      </c>
      <c r="Q101" s="74" t="s">
        <v>101</v>
      </c>
    </row>
    <row r="102" spans="1:17">
      <c r="A102" s="70">
        <v>19</v>
      </c>
      <c r="B102" s="69" t="s">
        <v>51</v>
      </c>
      <c r="C102" s="108" t="s">
        <v>69</v>
      </c>
      <c r="D102" s="71" t="s">
        <v>345</v>
      </c>
      <c r="E102" s="108" t="s">
        <v>349</v>
      </c>
      <c r="F102" s="109" t="s">
        <v>337</v>
      </c>
      <c r="G102" s="109" t="s">
        <v>338</v>
      </c>
      <c r="H102" s="70">
        <v>9306916119</v>
      </c>
      <c r="I102" s="70">
        <v>15000</v>
      </c>
      <c r="J102" s="70">
        <v>1260</v>
      </c>
      <c r="K102" s="70">
        <f t="shared" si="10"/>
        <v>13740</v>
      </c>
      <c r="L102" s="70">
        <v>810</v>
      </c>
      <c r="M102" s="70">
        <v>25</v>
      </c>
      <c r="N102" s="107">
        <v>46186</v>
      </c>
      <c r="O102" s="103">
        <v>46191</v>
      </c>
      <c r="P102" s="103">
        <v>46174</v>
      </c>
      <c r="Q102" s="74" t="s">
        <v>101</v>
      </c>
    </row>
    <row r="103" spans="1:17">
      <c r="A103" s="70">
        <v>20</v>
      </c>
      <c r="B103" s="74" t="s">
        <v>51</v>
      </c>
      <c r="C103" s="74" t="s">
        <v>55</v>
      </c>
      <c r="D103" s="74" t="s">
        <v>346</v>
      </c>
      <c r="E103" s="108" t="s">
        <v>49</v>
      </c>
      <c r="F103" s="109" t="s">
        <v>339</v>
      </c>
      <c r="G103" s="109" t="s">
        <v>340</v>
      </c>
      <c r="H103" s="70">
        <v>7496866457</v>
      </c>
      <c r="I103" s="70">
        <v>15000</v>
      </c>
      <c r="J103" s="70">
        <v>1260</v>
      </c>
      <c r="K103" s="70">
        <f t="shared" si="10"/>
        <v>13740</v>
      </c>
      <c r="L103" s="70">
        <v>810</v>
      </c>
      <c r="M103" s="70">
        <v>25</v>
      </c>
      <c r="N103" s="107">
        <v>46189</v>
      </c>
      <c r="O103" s="103">
        <v>46191</v>
      </c>
      <c r="P103" s="103">
        <v>46174</v>
      </c>
      <c r="Q103" s="74" t="s">
        <v>101</v>
      </c>
    </row>
    <row r="104" spans="1:17">
      <c r="A104" s="70">
        <v>21</v>
      </c>
      <c r="B104" s="69" t="s">
        <v>51</v>
      </c>
      <c r="C104" s="74" t="s">
        <v>55</v>
      </c>
      <c r="D104" s="71" t="s">
        <v>347</v>
      </c>
      <c r="E104" s="108" t="s">
        <v>49</v>
      </c>
      <c r="F104" s="109" t="s">
        <v>341</v>
      </c>
      <c r="G104" s="109" t="s">
        <v>342</v>
      </c>
      <c r="H104" s="70">
        <v>7496866457</v>
      </c>
      <c r="I104" s="70">
        <v>20000</v>
      </c>
      <c r="J104" s="70">
        <v>1580</v>
      </c>
      <c r="K104" s="70">
        <f t="shared" si="10"/>
        <v>18420</v>
      </c>
      <c r="L104" s="70">
        <v>1000</v>
      </c>
      <c r="M104" s="70">
        <v>27</v>
      </c>
      <c r="N104" s="110">
        <v>46185</v>
      </c>
      <c r="O104" s="103">
        <v>46191</v>
      </c>
      <c r="P104" s="103">
        <v>46174</v>
      </c>
      <c r="Q104" s="74" t="s">
        <v>101</v>
      </c>
    </row>
    <row r="105" spans="1:17">
      <c r="A105" s="70">
        <v>22</v>
      </c>
      <c r="B105" s="74" t="s">
        <v>51</v>
      </c>
      <c r="C105" s="111" t="s">
        <v>69</v>
      </c>
      <c r="D105" s="74" t="s">
        <v>350</v>
      </c>
      <c r="E105" s="111" t="s">
        <v>197</v>
      </c>
      <c r="F105" s="111" t="s">
        <v>358</v>
      </c>
      <c r="G105" s="111" t="s">
        <v>364</v>
      </c>
      <c r="H105" s="70">
        <v>9319598592</v>
      </c>
      <c r="I105" s="70">
        <v>20000</v>
      </c>
      <c r="J105" s="70">
        <v>1580</v>
      </c>
      <c r="K105" s="70">
        <f t="shared" si="10"/>
        <v>18420</v>
      </c>
      <c r="L105" s="70">
        <v>1000</v>
      </c>
      <c r="M105" s="70">
        <v>27</v>
      </c>
      <c r="N105" s="107">
        <v>46195</v>
      </c>
      <c r="O105" s="103">
        <v>46197</v>
      </c>
      <c r="P105" s="103">
        <v>46210</v>
      </c>
      <c r="Q105" s="74" t="s">
        <v>101</v>
      </c>
    </row>
    <row r="106" spans="1:17">
      <c r="A106" s="70">
        <v>23</v>
      </c>
      <c r="B106" s="69" t="s">
        <v>51</v>
      </c>
      <c r="C106" s="111" t="s">
        <v>69</v>
      </c>
      <c r="D106" s="71" t="s">
        <v>351</v>
      </c>
      <c r="E106" s="111" t="s">
        <v>308</v>
      </c>
      <c r="F106" s="111" t="s">
        <v>360</v>
      </c>
      <c r="G106" s="111" t="s">
        <v>365</v>
      </c>
      <c r="H106" s="70">
        <v>9582305438</v>
      </c>
      <c r="I106" s="70">
        <v>15000</v>
      </c>
      <c r="J106" s="70">
        <v>1260</v>
      </c>
      <c r="K106" s="70">
        <f t="shared" si="10"/>
        <v>13740</v>
      </c>
      <c r="L106" s="70">
        <v>810</v>
      </c>
      <c r="M106" s="70">
        <v>25</v>
      </c>
      <c r="N106" s="107">
        <v>46195</v>
      </c>
      <c r="O106" s="103">
        <v>46197</v>
      </c>
      <c r="P106" s="103">
        <v>46210</v>
      </c>
      <c r="Q106" s="74" t="s">
        <v>101</v>
      </c>
    </row>
    <row r="107" spans="1:17">
      <c r="A107" s="70">
        <v>24</v>
      </c>
      <c r="B107" s="74" t="s">
        <v>51</v>
      </c>
      <c r="C107" s="111" t="s">
        <v>69</v>
      </c>
      <c r="D107" s="74" t="s">
        <v>352</v>
      </c>
      <c r="E107" s="111" t="s">
        <v>300</v>
      </c>
      <c r="F107" s="111" t="s">
        <v>359</v>
      </c>
      <c r="G107" s="111" t="s">
        <v>366</v>
      </c>
      <c r="H107" s="70">
        <v>9813880978</v>
      </c>
      <c r="I107" s="70">
        <v>15000</v>
      </c>
      <c r="J107" s="70">
        <v>1260</v>
      </c>
      <c r="K107" s="70">
        <f t="shared" si="10"/>
        <v>13740</v>
      </c>
      <c r="L107" s="70">
        <v>810</v>
      </c>
      <c r="M107" s="70">
        <v>25</v>
      </c>
      <c r="N107" s="107">
        <v>46190</v>
      </c>
      <c r="O107" s="103">
        <v>46197</v>
      </c>
      <c r="P107" s="103">
        <v>46210</v>
      </c>
      <c r="Q107" s="74" t="s">
        <v>101</v>
      </c>
    </row>
    <row r="108" spans="1:17">
      <c r="A108" s="70">
        <v>25</v>
      </c>
      <c r="B108" s="69" t="s">
        <v>51</v>
      </c>
      <c r="C108" s="111" t="s">
        <v>69</v>
      </c>
      <c r="D108" s="71" t="s">
        <v>353</v>
      </c>
      <c r="E108" s="111" t="s">
        <v>308</v>
      </c>
      <c r="F108" s="111" t="s">
        <v>361</v>
      </c>
      <c r="G108" s="111" t="s">
        <v>367</v>
      </c>
      <c r="H108" s="70">
        <v>9319848440</v>
      </c>
      <c r="I108" s="70">
        <v>20000</v>
      </c>
      <c r="J108" s="70">
        <v>1580</v>
      </c>
      <c r="K108" s="70">
        <f t="shared" si="10"/>
        <v>18420</v>
      </c>
      <c r="L108" s="70">
        <v>1000</v>
      </c>
      <c r="M108" s="70">
        <v>27</v>
      </c>
      <c r="N108" s="107">
        <v>46195</v>
      </c>
      <c r="O108" s="103">
        <v>46197</v>
      </c>
      <c r="P108" s="103">
        <v>46210</v>
      </c>
      <c r="Q108" s="74" t="s">
        <v>101</v>
      </c>
    </row>
    <row r="109" spans="1:17">
      <c r="A109" s="70">
        <v>26</v>
      </c>
      <c r="B109" s="74" t="s">
        <v>51</v>
      </c>
      <c r="C109" s="111" t="s">
        <v>69</v>
      </c>
      <c r="D109" s="74" t="s">
        <v>354</v>
      </c>
      <c r="E109" s="111" t="s">
        <v>308</v>
      </c>
      <c r="F109" s="111" t="s">
        <v>203</v>
      </c>
      <c r="G109" s="111" t="s">
        <v>368</v>
      </c>
      <c r="H109" s="70">
        <v>9389488234</v>
      </c>
      <c r="I109" s="70">
        <v>20000</v>
      </c>
      <c r="J109" s="70">
        <v>1580</v>
      </c>
      <c r="K109" s="70">
        <f t="shared" si="10"/>
        <v>18420</v>
      </c>
      <c r="L109" s="70">
        <v>1000</v>
      </c>
      <c r="M109" s="70">
        <v>27</v>
      </c>
      <c r="N109" s="107">
        <v>46195</v>
      </c>
      <c r="O109" s="103">
        <v>46197</v>
      </c>
      <c r="P109" s="103">
        <v>46210</v>
      </c>
      <c r="Q109" s="74" t="s">
        <v>101</v>
      </c>
    </row>
    <row r="110" spans="1:17">
      <c r="A110" s="70">
        <v>27</v>
      </c>
      <c r="B110" s="69" t="s">
        <v>51</v>
      </c>
      <c r="C110" s="111" t="s">
        <v>69</v>
      </c>
      <c r="D110" s="71" t="s">
        <v>355</v>
      </c>
      <c r="E110" s="111" t="s">
        <v>308</v>
      </c>
      <c r="F110" s="111" t="s">
        <v>362</v>
      </c>
      <c r="G110" s="111" t="s">
        <v>369</v>
      </c>
      <c r="H110" s="70">
        <v>9211692359</v>
      </c>
      <c r="I110" s="70">
        <v>20000</v>
      </c>
      <c r="J110" s="70">
        <v>1580</v>
      </c>
      <c r="K110" s="70">
        <f t="shared" si="10"/>
        <v>18420</v>
      </c>
      <c r="L110" s="70">
        <v>1000</v>
      </c>
      <c r="M110" s="70">
        <v>27</v>
      </c>
      <c r="N110" s="107">
        <v>46195</v>
      </c>
      <c r="O110" s="103">
        <v>46197</v>
      </c>
      <c r="P110" s="103">
        <v>46210</v>
      </c>
      <c r="Q110" s="74" t="s">
        <v>101</v>
      </c>
    </row>
    <row r="111" spans="1:17">
      <c r="A111" s="70">
        <v>28</v>
      </c>
      <c r="B111" s="74" t="s">
        <v>51</v>
      </c>
      <c r="C111" s="111" t="s">
        <v>69</v>
      </c>
      <c r="D111" s="74" t="s">
        <v>356</v>
      </c>
      <c r="E111" s="111" t="s">
        <v>357</v>
      </c>
      <c r="F111" s="111" t="s">
        <v>363</v>
      </c>
      <c r="G111" s="111" t="s">
        <v>68</v>
      </c>
      <c r="H111" s="70">
        <v>7027202092</v>
      </c>
      <c r="I111" s="70">
        <v>15000</v>
      </c>
      <c r="J111" s="70">
        <v>1260</v>
      </c>
      <c r="K111" s="70">
        <f t="shared" si="10"/>
        <v>13740</v>
      </c>
      <c r="L111" s="70">
        <v>810</v>
      </c>
      <c r="M111" s="70">
        <v>25</v>
      </c>
      <c r="N111" s="107">
        <v>46192</v>
      </c>
      <c r="O111" s="103">
        <v>46197</v>
      </c>
      <c r="P111" s="103">
        <v>46210</v>
      </c>
      <c r="Q111" s="74" t="s">
        <v>101</v>
      </c>
    </row>
    <row r="112" spans="1:17">
      <c r="A112" s="70">
        <v>29</v>
      </c>
      <c r="B112" s="69" t="s">
        <v>51</v>
      </c>
      <c r="C112" s="111" t="s">
        <v>69</v>
      </c>
      <c r="D112" s="71" t="s">
        <v>370</v>
      </c>
      <c r="E112" s="112" t="s">
        <v>308</v>
      </c>
      <c r="F112" s="112" t="s">
        <v>373</v>
      </c>
      <c r="G112" s="112" t="s">
        <v>375</v>
      </c>
      <c r="H112" s="70">
        <v>8929770356</v>
      </c>
      <c r="I112" s="70">
        <v>20000</v>
      </c>
      <c r="J112" s="70">
        <v>1580</v>
      </c>
      <c r="K112" s="70">
        <f t="shared" si="10"/>
        <v>18420</v>
      </c>
      <c r="L112" s="70">
        <v>1000</v>
      </c>
      <c r="M112" s="70">
        <v>27</v>
      </c>
      <c r="N112" s="107">
        <v>46195</v>
      </c>
      <c r="O112" s="103">
        <v>46198</v>
      </c>
      <c r="P112" s="103">
        <v>46210</v>
      </c>
      <c r="Q112" s="74" t="s">
        <v>101</v>
      </c>
    </row>
    <row r="113" spans="1:17">
      <c r="A113" s="70">
        <v>30</v>
      </c>
      <c r="B113" s="74" t="s">
        <v>51</v>
      </c>
      <c r="C113" s="111" t="s">
        <v>69</v>
      </c>
      <c r="D113" s="74" t="s">
        <v>371</v>
      </c>
      <c r="E113" s="112" t="s">
        <v>372</v>
      </c>
      <c r="F113" s="112" t="s">
        <v>374</v>
      </c>
      <c r="G113" s="112" t="s">
        <v>376</v>
      </c>
      <c r="H113" s="70">
        <v>9996738835</v>
      </c>
      <c r="I113" s="70">
        <v>15000</v>
      </c>
      <c r="J113" s="70">
        <v>1260</v>
      </c>
      <c r="K113" s="70">
        <f t="shared" si="10"/>
        <v>13740</v>
      </c>
      <c r="L113" s="70">
        <v>810</v>
      </c>
      <c r="M113" s="70">
        <v>25</v>
      </c>
      <c r="N113" s="107">
        <v>46192</v>
      </c>
      <c r="O113" s="103">
        <v>46198</v>
      </c>
      <c r="P113" s="103">
        <v>46210</v>
      </c>
      <c r="Q113" s="74" t="s">
        <v>101</v>
      </c>
    </row>
    <row r="114" spans="1:17">
      <c r="A114" s="70">
        <v>31</v>
      </c>
      <c r="B114" s="69" t="s">
        <v>51</v>
      </c>
      <c r="C114" s="113" t="s">
        <v>69</v>
      </c>
      <c r="D114" s="71" t="s">
        <v>377</v>
      </c>
      <c r="E114" s="113" t="s">
        <v>308</v>
      </c>
      <c r="F114" s="113" t="s">
        <v>384</v>
      </c>
      <c r="G114" s="113" t="s">
        <v>390</v>
      </c>
      <c r="H114" s="70">
        <v>9311578306</v>
      </c>
      <c r="I114" s="70">
        <v>20000</v>
      </c>
      <c r="J114" s="70">
        <v>1580</v>
      </c>
      <c r="K114" s="70">
        <f t="shared" si="10"/>
        <v>18420</v>
      </c>
      <c r="L114" s="70">
        <v>1000</v>
      </c>
      <c r="M114" s="70">
        <v>27</v>
      </c>
      <c r="N114" s="107">
        <v>46195</v>
      </c>
      <c r="O114" s="103">
        <v>46200</v>
      </c>
      <c r="P114" s="103">
        <v>46210</v>
      </c>
      <c r="Q114" s="74" t="s">
        <v>101</v>
      </c>
    </row>
    <row r="115" spans="1:17">
      <c r="A115" s="70">
        <v>32</v>
      </c>
      <c r="B115" s="74" t="s">
        <v>51</v>
      </c>
      <c r="C115" s="113" t="s">
        <v>69</v>
      </c>
      <c r="D115" s="74" t="s">
        <v>378</v>
      </c>
      <c r="E115" s="113" t="s">
        <v>308</v>
      </c>
      <c r="F115" s="113" t="s">
        <v>385</v>
      </c>
      <c r="G115" s="113" t="s">
        <v>54</v>
      </c>
      <c r="H115" s="70">
        <v>9818635674</v>
      </c>
      <c r="I115" s="70">
        <v>20000</v>
      </c>
      <c r="J115" s="70">
        <v>1580</v>
      </c>
      <c r="K115" s="70">
        <f t="shared" si="10"/>
        <v>18420</v>
      </c>
      <c r="L115" s="70">
        <v>1000</v>
      </c>
      <c r="M115" s="70">
        <v>27</v>
      </c>
      <c r="N115" s="107">
        <v>46195</v>
      </c>
      <c r="O115" s="103">
        <v>46200</v>
      </c>
      <c r="P115" s="103">
        <v>46210</v>
      </c>
      <c r="Q115" s="74" t="s">
        <v>101</v>
      </c>
    </row>
    <row r="116" spans="1:17">
      <c r="A116" s="70">
        <v>33</v>
      </c>
      <c r="B116" s="69" t="s">
        <v>51</v>
      </c>
      <c r="C116" s="113" t="s">
        <v>69</v>
      </c>
      <c r="D116" s="71" t="s">
        <v>379</v>
      </c>
      <c r="E116" s="113" t="s">
        <v>130</v>
      </c>
      <c r="F116" s="113" t="s">
        <v>132</v>
      </c>
      <c r="G116" s="113" t="s">
        <v>391</v>
      </c>
      <c r="H116" s="70">
        <v>9728976983</v>
      </c>
      <c r="I116" s="70">
        <v>15000</v>
      </c>
      <c r="J116" s="70">
        <v>1260</v>
      </c>
      <c r="K116" s="70">
        <f t="shared" si="10"/>
        <v>13740</v>
      </c>
      <c r="L116" s="70">
        <v>810</v>
      </c>
      <c r="M116" s="70">
        <v>25</v>
      </c>
      <c r="N116" s="107">
        <v>46193</v>
      </c>
      <c r="O116" s="103">
        <v>46200</v>
      </c>
      <c r="P116" s="103">
        <v>46210</v>
      </c>
      <c r="Q116" s="74" t="s">
        <v>101</v>
      </c>
    </row>
    <row r="117" spans="1:17">
      <c r="A117" s="70">
        <v>34</v>
      </c>
      <c r="B117" s="74" t="s">
        <v>51</v>
      </c>
      <c r="C117" s="113" t="s">
        <v>69</v>
      </c>
      <c r="D117" s="74" t="s">
        <v>380</v>
      </c>
      <c r="E117" s="113" t="s">
        <v>130</v>
      </c>
      <c r="F117" s="113" t="s">
        <v>386</v>
      </c>
      <c r="G117" s="113" t="s">
        <v>389</v>
      </c>
      <c r="H117" s="70">
        <v>9671616193</v>
      </c>
      <c r="I117" s="70">
        <v>15000</v>
      </c>
      <c r="J117" s="70">
        <v>1260</v>
      </c>
      <c r="K117" s="70">
        <f t="shared" si="10"/>
        <v>13740</v>
      </c>
      <c r="L117" s="70">
        <v>810</v>
      </c>
      <c r="M117" s="70">
        <v>25</v>
      </c>
      <c r="N117" s="107">
        <v>46195</v>
      </c>
      <c r="O117" s="103">
        <v>46200</v>
      </c>
      <c r="P117" s="103">
        <v>46210</v>
      </c>
      <c r="Q117" s="74" t="s">
        <v>101</v>
      </c>
    </row>
    <row r="118" spans="1:17">
      <c r="A118" s="70">
        <v>35</v>
      </c>
      <c r="B118" s="69" t="s">
        <v>51</v>
      </c>
      <c r="C118" s="113" t="s">
        <v>55</v>
      </c>
      <c r="D118" s="71" t="s">
        <v>381</v>
      </c>
      <c r="E118" s="113" t="s">
        <v>118</v>
      </c>
      <c r="F118" s="113" t="s">
        <v>387</v>
      </c>
      <c r="G118" s="113" t="s">
        <v>388</v>
      </c>
      <c r="H118" s="70">
        <v>8307074126</v>
      </c>
      <c r="I118" s="70">
        <v>15000</v>
      </c>
      <c r="J118" s="70">
        <v>1260</v>
      </c>
      <c r="K118" s="70">
        <f t="shared" si="10"/>
        <v>13740</v>
      </c>
      <c r="L118" s="70">
        <v>810</v>
      </c>
      <c r="M118" s="70">
        <v>25</v>
      </c>
      <c r="N118" s="107">
        <v>46197</v>
      </c>
      <c r="O118" s="103">
        <v>46200</v>
      </c>
      <c r="P118" s="103">
        <v>46211</v>
      </c>
      <c r="Q118" s="74" t="s">
        <v>101</v>
      </c>
    </row>
    <row r="119" spans="1:17">
      <c r="A119" s="70">
        <v>36</v>
      </c>
      <c r="B119" s="113" t="s">
        <v>51</v>
      </c>
      <c r="C119" s="113" t="s">
        <v>55</v>
      </c>
      <c r="D119" s="74" t="s">
        <v>382</v>
      </c>
      <c r="E119" s="113" t="s">
        <v>383</v>
      </c>
      <c r="F119" s="113" t="s">
        <v>215</v>
      </c>
      <c r="G119" s="113" t="s">
        <v>375</v>
      </c>
      <c r="H119" s="70">
        <v>9813268064</v>
      </c>
      <c r="I119" s="70">
        <v>20000</v>
      </c>
      <c r="J119" s="70">
        <v>1580</v>
      </c>
      <c r="K119" s="70">
        <f t="shared" si="10"/>
        <v>18420</v>
      </c>
      <c r="L119" s="70">
        <v>1000</v>
      </c>
      <c r="M119" s="70">
        <v>27</v>
      </c>
      <c r="N119" s="107">
        <v>46199</v>
      </c>
      <c r="O119" s="103">
        <v>46200</v>
      </c>
      <c r="P119" s="103">
        <v>46211</v>
      </c>
      <c r="Q119" s="74" t="s">
        <v>101</v>
      </c>
    </row>
    <row r="120" spans="1:17">
      <c r="A120" s="70">
        <v>37</v>
      </c>
      <c r="B120" s="69" t="s">
        <v>51</v>
      </c>
      <c r="C120" s="114" t="s">
        <v>55</v>
      </c>
      <c r="D120" s="115" t="s">
        <v>392</v>
      </c>
      <c r="E120" s="114" t="s">
        <v>394</v>
      </c>
      <c r="F120" s="115" t="s">
        <v>71</v>
      </c>
      <c r="G120" s="115" t="s">
        <v>393</v>
      </c>
      <c r="H120" s="70">
        <v>8505872401</v>
      </c>
      <c r="I120" s="70">
        <v>20000</v>
      </c>
      <c r="J120" s="70">
        <v>1580</v>
      </c>
      <c r="K120" s="70">
        <f t="shared" ref="K120" si="11">I120-J120</f>
        <v>18420</v>
      </c>
      <c r="L120" s="70">
        <v>1000</v>
      </c>
      <c r="M120" s="70">
        <v>27</v>
      </c>
      <c r="N120" s="107">
        <v>46196</v>
      </c>
      <c r="O120" s="103">
        <v>46202</v>
      </c>
      <c r="P120" s="103">
        <v>46204</v>
      </c>
      <c r="Q120" s="74" t="s">
        <v>101</v>
      </c>
    </row>
    <row r="121" spans="1:17">
      <c r="A121" s="70"/>
      <c r="B121" s="74"/>
      <c r="C121" s="111"/>
      <c r="D121" s="74"/>
      <c r="E121" s="112"/>
      <c r="F121" s="112"/>
      <c r="G121" s="112"/>
      <c r="H121" s="70"/>
      <c r="I121" s="70"/>
      <c r="J121" s="70"/>
      <c r="K121" s="70"/>
      <c r="L121" s="70"/>
      <c r="M121" s="70"/>
      <c r="N121" s="107"/>
      <c r="O121" s="103"/>
      <c r="P121" s="103"/>
      <c r="Q121" s="74"/>
    </row>
    <row r="122" spans="1:17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</row>
    <row r="123" spans="1:17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</row>
    <row r="124" spans="1:17">
      <c r="A124" s="70"/>
      <c r="B124" s="70"/>
      <c r="C124" s="70"/>
      <c r="D124" s="70"/>
      <c r="E124" s="70"/>
      <c r="F124" s="70"/>
      <c r="G124" s="70"/>
      <c r="H124" s="70"/>
      <c r="I124" s="70">
        <f>SUM(I84:I123)</f>
        <v>690000</v>
      </c>
      <c r="J124" s="70">
        <f>SUM(J84:J123)</f>
        <v>55260</v>
      </c>
      <c r="K124" s="70">
        <f>SUM(K84:K123)</f>
        <v>634740</v>
      </c>
      <c r="L124" s="70"/>
      <c r="M124" s="70"/>
      <c r="N124" s="70"/>
      <c r="O124" s="70"/>
      <c r="P124" s="70"/>
      <c r="Q124" s="70"/>
    </row>
    <row r="125" spans="1:17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</row>
    <row r="126" spans="1:17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</row>
    <row r="127" spans="1:1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</row>
    <row r="128" spans="1:17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</row>
    <row r="129" spans="1:17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</row>
    <row r="130" spans="1:17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3" spans="1:17" ht="24.75">
      <c r="A133" s="135" t="s">
        <v>395</v>
      </c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</row>
    <row r="134" spans="1:17" ht="45">
      <c r="A134" s="40" t="s">
        <v>87</v>
      </c>
      <c r="B134" s="40" t="s">
        <v>88</v>
      </c>
      <c r="C134" s="40" t="s">
        <v>89</v>
      </c>
      <c r="D134" s="40" t="s">
        <v>90</v>
      </c>
      <c r="E134" s="40" t="s">
        <v>91</v>
      </c>
      <c r="F134" s="40" t="s">
        <v>92</v>
      </c>
      <c r="G134" s="40" t="s">
        <v>93</v>
      </c>
      <c r="H134" s="40" t="s">
        <v>94</v>
      </c>
      <c r="I134" s="40" t="s">
        <v>11</v>
      </c>
      <c r="J134" s="40" t="s">
        <v>12</v>
      </c>
      <c r="K134" s="40" t="s">
        <v>95</v>
      </c>
      <c r="L134" s="40" t="s">
        <v>96</v>
      </c>
      <c r="M134" s="40" t="s">
        <v>17</v>
      </c>
      <c r="N134" s="40" t="s">
        <v>97</v>
      </c>
      <c r="O134" s="40" t="s">
        <v>98</v>
      </c>
      <c r="P134" s="40" t="s">
        <v>43</v>
      </c>
      <c r="Q134" s="40" t="s">
        <v>99</v>
      </c>
    </row>
    <row r="135" spans="1:17">
      <c r="A135" s="70">
        <v>1</v>
      </c>
      <c r="B135" s="116" t="s">
        <v>396</v>
      </c>
      <c r="C135" s="116" t="s">
        <v>55</v>
      </c>
      <c r="D135" s="116" t="s">
        <v>397</v>
      </c>
      <c r="E135" s="116" t="s">
        <v>49</v>
      </c>
      <c r="F135" s="116" t="s">
        <v>398</v>
      </c>
      <c r="G135" s="116" t="s">
        <v>140</v>
      </c>
      <c r="H135" s="70">
        <v>9671465494</v>
      </c>
      <c r="I135" s="70">
        <v>20000</v>
      </c>
      <c r="J135" s="70">
        <v>1580</v>
      </c>
      <c r="K135" s="70">
        <f>I135-J135</f>
        <v>18420</v>
      </c>
      <c r="L135" s="70">
        <v>1000</v>
      </c>
      <c r="M135" s="70">
        <v>27</v>
      </c>
      <c r="N135" s="103">
        <v>46205</v>
      </c>
      <c r="O135" s="103">
        <v>46207</v>
      </c>
      <c r="P135" s="103">
        <v>46225</v>
      </c>
      <c r="Q135" s="116" t="s">
        <v>154</v>
      </c>
    </row>
    <row r="136" spans="1:17">
      <c r="A136" s="70">
        <v>2</v>
      </c>
      <c r="B136" s="116" t="s">
        <v>396</v>
      </c>
      <c r="C136" s="117" t="s">
        <v>55</v>
      </c>
      <c r="D136" s="117" t="s">
        <v>423</v>
      </c>
      <c r="E136" s="117" t="s">
        <v>430</v>
      </c>
      <c r="F136" s="117" t="s">
        <v>301</v>
      </c>
      <c r="G136" s="117" t="s">
        <v>127</v>
      </c>
      <c r="H136" s="70">
        <v>8685920499</v>
      </c>
      <c r="I136" s="70">
        <v>15000</v>
      </c>
      <c r="J136" s="70">
        <v>1260</v>
      </c>
      <c r="K136" s="70">
        <f t="shared" ref="K136:K144" si="12">I136-J136</f>
        <v>13740</v>
      </c>
      <c r="L136" s="70">
        <v>810</v>
      </c>
      <c r="M136" s="70">
        <v>25</v>
      </c>
      <c r="N136" s="103">
        <v>46209</v>
      </c>
      <c r="O136" s="103">
        <v>46214</v>
      </c>
      <c r="P136" s="103">
        <v>46225</v>
      </c>
      <c r="Q136" s="116" t="s">
        <v>154</v>
      </c>
    </row>
    <row r="137" spans="1:17">
      <c r="A137" s="70">
        <v>3</v>
      </c>
      <c r="B137" s="116" t="s">
        <v>396</v>
      </c>
      <c r="C137" s="117" t="s">
        <v>69</v>
      </c>
      <c r="D137" s="116" t="s">
        <v>424</v>
      </c>
      <c r="E137" s="117" t="s">
        <v>431</v>
      </c>
      <c r="F137" s="117" t="s">
        <v>435</v>
      </c>
      <c r="G137" s="117" t="s">
        <v>388</v>
      </c>
      <c r="H137" s="70">
        <v>9812971544</v>
      </c>
      <c r="I137" s="70">
        <v>20000</v>
      </c>
      <c r="J137" s="70">
        <v>1580</v>
      </c>
      <c r="K137" s="70">
        <f t="shared" si="12"/>
        <v>18420</v>
      </c>
      <c r="L137" s="70">
        <v>1000</v>
      </c>
      <c r="M137" s="70">
        <v>27</v>
      </c>
      <c r="N137" s="103">
        <v>46209</v>
      </c>
      <c r="O137" s="103">
        <v>46214</v>
      </c>
      <c r="P137" s="103">
        <v>46224</v>
      </c>
      <c r="Q137" s="116" t="s">
        <v>154</v>
      </c>
    </row>
    <row r="138" spans="1:17">
      <c r="A138" s="70">
        <v>4</v>
      </c>
      <c r="B138" s="116" t="s">
        <v>396</v>
      </c>
      <c r="C138" s="117" t="s">
        <v>69</v>
      </c>
      <c r="D138" s="117" t="s">
        <v>425</v>
      </c>
      <c r="E138" s="117" t="s">
        <v>434</v>
      </c>
      <c r="F138" s="117" t="s">
        <v>436</v>
      </c>
      <c r="G138" s="117" t="s">
        <v>439</v>
      </c>
      <c r="H138" s="70">
        <v>7027263992</v>
      </c>
      <c r="I138" s="70">
        <v>15000</v>
      </c>
      <c r="J138" s="70">
        <v>1260</v>
      </c>
      <c r="K138" s="70">
        <f t="shared" si="12"/>
        <v>13740</v>
      </c>
      <c r="L138" s="70">
        <v>810</v>
      </c>
      <c r="M138" s="70">
        <v>25</v>
      </c>
      <c r="N138" s="103">
        <v>46205</v>
      </c>
      <c r="O138" s="103">
        <v>46214</v>
      </c>
      <c r="P138" s="103">
        <v>46224</v>
      </c>
      <c r="Q138" s="116" t="s">
        <v>154</v>
      </c>
    </row>
    <row r="139" spans="1:17">
      <c r="A139" s="70">
        <v>5</v>
      </c>
      <c r="B139" s="116" t="s">
        <v>396</v>
      </c>
      <c r="C139" s="117" t="s">
        <v>422</v>
      </c>
      <c r="D139" s="116" t="s">
        <v>426</v>
      </c>
      <c r="E139" s="117" t="s">
        <v>432</v>
      </c>
      <c r="F139" s="117" t="s">
        <v>71</v>
      </c>
      <c r="G139" s="117" t="s">
        <v>259</v>
      </c>
      <c r="H139" s="70">
        <v>7428815941</v>
      </c>
      <c r="I139" s="70">
        <v>15000</v>
      </c>
      <c r="J139" s="70">
        <v>1260</v>
      </c>
      <c r="K139" s="70">
        <f t="shared" si="12"/>
        <v>13740</v>
      </c>
      <c r="L139" s="70">
        <v>810</v>
      </c>
      <c r="M139" s="70">
        <v>25</v>
      </c>
      <c r="N139" s="103">
        <v>46211</v>
      </c>
      <c r="O139" s="103">
        <v>46214</v>
      </c>
      <c r="P139" s="103">
        <v>46230</v>
      </c>
      <c r="Q139" s="116" t="s">
        <v>154</v>
      </c>
    </row>
    <row r="140" spans="1:17">
      <c r="A140" s="70">
        <v>6</v>
      </c>
      <c r="B140" s="116" t="s">
        <v>396</v>
      </c>
      <c r="C140" s="117" t="s">
        <v>69</v>
      </c>
      <c r="D140" s="117" t="s">
        <v>427</v>
      </c>
      <c r="E140" s="117" t="s">
        <v>433</v>
      </c>
      <c r="F140" s="117" t="s">
        <v>437</v>
      </c>
      <c r="G140" s="117" t="s">
        <v>440</v>
      </c>
      <c r="H140" s="70">
        <v>9992517804</v>
      </c>
      <c r="I140" s="70">
        <v>20000</v>
      </c>
      <c r="J140" s="70">
        <v>1580</v>
      </c>
      <c r="K140" s="70">
        <f t="shared" si="12"/>
        <v>18420</v>
      </c>
      <c r="L140" s="70">
        <v>1000</v>
      </c>
      <c r="M140" s="70">
        <v>27</v>
      </c>
      <c r="N140" s="103">
        <v>46206</v>
      </c>
      <c r="O140" s="103">
        <v>46214</v>
      </c>
      <c r="P140" s="103">
        <v>46224</v>
      </c>
      <c r="Q140" s="116" t="s">
        <v>154</v>
      </c>
    </row>
    <row r="141" spans="1:17">
      <c r="A141" s="70">
        <v>7</v>
      </c>
      <c r="B141" s="116" t="s">
        <v>396</v>
      </c>
      <c r="C141" s="117" t="s">
        <v>55</v>
      </c>
      <c r="D141" s="116" t="s">
        <v>428</v>
      </c>
      <c r="E141" s="117" t="s">
        <v>118</v>
      </c>
      <c r="F141" s="117" t="s">
        <v>438</v>
      </c>
      <c r="G141" s="117" t="s">
        <v>375</v>
      </c>
      <c r="H141" s="70">
        <v>9996197698</v>
      </c>
      <c r="I141" s="70">
        <v>20000</v>
      </c>
      <c r="J141" s="70">
        <v>1580</v>
      </c>
      <c r="K141" s="70">
        <f t="shared" si="12"/>
        <v>18420</v>
      </c>
      <c r="L141" s="70">
        <v>1000</v>
      </c>
      <c r="M141" s="70">
        <v>27</v>
      </c>
      <c r="N141" s="103">
        <v>46210</v>
      </c>
      <c r="O141" s="103">
        <v>46214</v>
      </c>
      <c r="P141" s="103">
        <v>46225</v>
      </c>
      <c r="Q141" s="116" t="s">
        <v>154</v>
      </c>
    </row>
    <row r="142" spans="1:17">
      <c r="A142" s="70">
        <v>8</v>
      </c>
      <c r="B142" s="116" t="s">
        <v>396</v>
      </c>
      <c r="C142" s="117" t="s">
        <v>55</v>
      </c>
      <c r="D142" s="117" t="s">
        <v>429</v>
      </c>
      <c r="E142" s="117" t="s">
        <v>197</v>
      </c>
      <c r="F142" s="117" t="s">
        <v>323</v>
      </c>
      <c r="G142" s="117" t="s">
        <v>295</v>
      </c>
      <c r="H142" s="70">
        <v>8708979195</v>
      </c>
      <c r="I142" s="70">
        <v>20000</v>
      </c>
      <c r="J142" s="70">
        <v>1580</v>
      </c>
      <c r="K142" s="70">
        <f t="shared" si="12"/>
        <v>18420</v>
      </c>
      <c r="L142" s="70">
        <v>1000</v>
      </c>
      <c r="M142" s="70">
        <v>27</v>
      </c>
      <c r="N142" s="103">
        <v>46209</v>
      </c>
      <c r="O142" s="103">
        <v>46214</v>
      </c>
      <c r="P142" s="103">
        <v>46225</v>
      </c>
      <c r="Q142" s="116" t="s">
        <v>154</v>
      </c>
    </row>
    <row r="143" spans="1:17">
      <c r="A143" s="70">
        <v>9</v>
      </c>
      <c r="B143" s="116" t="s">
        <v>396</v>
      </c>
      <c r="C143" s="117" t="s">
        <v>55</v>
      </c>
      <c r="D143" s="118" t="s">
        <v>445</v>
      </c>
      <c r="E143" s="118" t="s">
        <v>447</v>
      </c>
      <c r="F143" s="119" t="s">
        <v>441</v>
      </c>
      <c r="G143" s="119" t="s">
        <v>443</v>
      </c>
      <c r="H143" s="70">
        <v>8397095261</v>
      </c>
      <c r="I143" s="70">
        <v>10000</v>
      </c>
      <c r="J143" s="70">
        <v>820</v>
      </c>
      <c r="K143" s="70">
        <f t="shared" si="12"/>
        <v>9180</v>
      </c>
      <c r="L143" s="70">
        <v>675</v>
      </c>
      <c r="M143" s="70">
        <v>20</v>
      </c>
      <c r="N143" s="103">
        <v>46213</v>
      </c>
      <c r="O143" s="103">
        <v>46216</v>
      </c>
      <c r="P143" s="103">
        <v>46232</v>
      </c>
      <c r="Q143" s="116" t="s">
        <v>154</v>
      </c>
    </row>
    <row r="144" spans="1:17">
      <c r="A144" s="70">
        <v>10</v>
      </c>
      <c r="B144" s="116" t="s">
        <v>396</v>
      </c>
      <c r="C144" s="117" t="s">
        <v>55</v>
      </c>
      <c r="D144" s="118" t="s">
        <v>446</v>
      </c>
      <c r="E144" s="118" t="s">
        <v>49</v>
      </c>
      <c r="F144" s="119" t="s">
        <v>442</v>
      </c>
      <c r="G144" s="119" t="s">
        <v>444</v>
      </c>
      <c r="H144" s="70">
        <v>9728061518</v>
      </c>
      <c r="I144" s="70">
        <v>20000</v>
      </c>
      <c r="J144" s="70">
        <v>1580</v>
      </c>
      <c r="K144" s="70">
        <f t="shared" si="12"/>
        <v>18420</v>
      </c>
      <c r="L144" s="70">
        <v>1000</v>
      </c>
      <c r="M144" s="70">
        <v>27</v>
      </c>
      <c r="N144" s="103">
        <v>46193</v>
      </c>
      <c r="O144" s="103">
        <v>46216</v>
      </c>
      <c r="P144" s="103">
        <v>46232</v>
      </c>
      <c r="Q144" s="116" t="s">
        <v>154</v>
      </c>
    </row>
    <row r="145" spans="1:17">
      <c r="A145" s="70">
        <v>11</v>
      </c>
      <c r="B145" s="120" t="s">
        <v>396</v>
      </c>
      <c r="C145" s="120" t="s">
        <v>69</v>
      </c>
      <c r="D145" s="120" t="s">
        <v>449</v>
      </c>
      <c r="E145" s="120" t="s">
        <v>451</v>
      </c>
      <c r="F145" s="120" t="s">
        <v>132</v>
      </c>
      <c r="G145" s="120" t="s">
        <v>450</v>
      </c>
      <c r="H145" s="70">
        <v>8178071116</v>
      </c>
      <c r="I145" s="70">
        <v>20000</v>
      </c>
      <c r="J145" s="70">
        <v>1580</v>
      </c>
      <c r="K145" s="70">
        <f t="shared" ref="K145" si="13">I145-J145</f>
        <v>18420</v>
      </c>
      <c r="L145" s="70">
        <v>1000</v>
      </c>
      <c r="M145" s="70">
        <v>27</v>
      </c>
      <c r="N145" s="103">
        <v>46213</v>
      </c>
      <c r="O145" s="103">
        <v>46218</v>
      </c>
      <c r="P145" s="103">
        <v>46231</v>
      </c>
      <c r="Q145" s="120" t="s">
        <v>154</v>
      </c>
    </row>
    <row r="146" spans="1:17">
      <c r="A146" s="70">
        <v>12</v>
      </c>
      <c r="B146" s="121" t="s">
        <v>396</v>
      </c>
      <c r="C146" s="121" t="s">
        <v>69</v>
      </c>
      <c r="D146" s="121" t="s">
        <v>452</v>
      </c>
      <c r="E146" s="121" t="s">
        <v>453</v>
      </c>
      <c r="F146" s="121" t="s">
        <v>454</v>
      </c>
      <c r="G146" s="121" t="s">
        <v>182</v>
      </c>
      <c r="H146" s="70">
        <v>9354235940</v>
      </c>
      <c r="I146" s="70">
        <v>20000</v>
      </c>
      <c r="J146" s="70">
        <v>1580</v>
      </c>
      <c r="K146" s="70">
        <f t="shared" ref="K146" si="14">I146-J146</f>
        <v>18420</v>
      </c>
      <c r="L146" s="70">
        <v>1000</v>
      </c>
      <c r="M146" s="70">
        <v>27</v>
      </c>
      <c r="N146" s="103">
        <v>46213</v>
      </c>
      <c r="O146" s="103">
        <v>46219</v>
      </c>
      <c r="P146" s="103">
        <v>46231</v>
      </c>
      <c r="Q146" s="120" t="s">
        <v>154</v>
      </c>
    </row>
    <row r="147" spans="1:17">
      <c r="A147" s="70">
        <v>13</v>
      </c>
      <c r="B147" s="122" t="s">
        <v>396</v>
      </c>
      <c r="C147" s="122" t="s">
        <v>69</v>
      </c>
      <c r="D147" s="122" t="s">
        <v>455</v>
      </c>
      <c r="E147" s="122" t="s">
        <v>456</v>
      </c>
      <c r="F147" s="122" t="s">
        <v>457</v>
      </c>
      <c r="G147" s="122" t="s">
        <v>458</v>
      </c>
      <c r="H147" s="70">
        <v>9821138185</v>
      </c>
      <c r="I147" s="70">
        <v>20000</v>
      </c>
      <c r="J147" s="70">
        <v>1580</v>
      </c>
      <c r="K147" s="70">
        <f t="shared" ref="K147:K155" si="15">I147-J147</f>
        <v>18420</v>
      </c>
      <c r="L147" s="70">
        <v>1000</v>
      </c>
      <c r="M147" s="70">
        <v>27</v>
      </c>
      <c r="N147" s="103">
        <v>46213</v>
      </c>
      <c r="O147" s="103">
        <v>46220</v>
      </c>
      <c r="P147" s="103">
        <v>46231</v>
      </c>
      <c r="Q147" s="120" t="s">
        <v>154</v>
      </c>
    </row>
    <row r="148" spans="1:17">
      <c r="A148" s="70">
        <v>14</v>
      </c>
      <c r="B148" s="121" t="s">
        <v>396</v>
      </c>
      <c r="C148" s="122" t="s">
        <v>69</v>
      </c>
      <c r="D148" s="120" t="s">
        <v>459</v>
      </c>
      <c r="E148" s="123" t="s">
        <v>453</v>
      </c>
      <c r="F148" s="123" t="s">
        <v>166</v>
      </c>
      <c r="G148" s="123" t="s">
        <v>472</v>
      </c>
      <c r="H148" s="70">
        <v>9910123112</v>
      </c>
      <c r="I148" s="70">
        <v>15000</v>
      </c>
      <c r="J148" s="70">
        <v>1260</v>
      </c>
      <c r="K148" s="70">
        <f t="shared" si="15"/>
        <v>13740</v>
      </c>
      <c r="L148" s="70">
        <v>810</v>
      </c>
      <c r="M148" s="70">
        <v>25</v>
      </c>
      <c r="N148" s="103">
        <v>46223</v>
      </c>
      <c r="O148" s="103">
        <v>46225</v>
      </c>
      <c r="P148" s="103">
        <v>46245</v>
      </c>
      <c r="Q148" s="120" t="s">
        <v>154</v>
      </c>
    </row>
    <row r="149" spans="1:17">
      <c r="A149" s="70">
        <v>15</v>
      </c>
      <c r="B149" s="122" t="s">
        <v>396</v>
      </c>
      <c r="C149" s="123" t="s">
        <v>55</v>
      </c>
      <c r="D149" s="121" t="s">
        <v>460</v>
      </c>
      <c r="E149" s="123" t="s">
        <v>206</v>
      </c>
      <c r="F149" s="123" t="s">
        <v>467</v>
      </c>
      <c r="G149" s="123" t="s">
        <v>470</v>
      </c>
      <c r="H149" s="70">
        <v>7027812889</v>
      </c>
      <c r="I149" s="70">
        <v>20000</v>
      </c>
      <c r="J149" s="70">
        <v>1580</v>
      </c>
      <c r="K149" s="70">
        <f t="shared" si="15"/>
        <v>18420</v>
      </c>
      <c r="L149" s="70">
        <v>1000</v>
      </c>
      <c r="M149" s="70">
        <v>27</v>
      </c>
      <c r="N149" s="103">
        <v>46223</v>
      </c>
      <c r="O149" s="103">
        <v>46225</v>
      </c>
      <c r="P149" s="103">
        <v>46246</v>
      </c>
      <c r="Q149" s="120" t="s">
        <v>154</v>
      </c>
    </row>
    <row r="150" spans="1:17">
      <c r="A150" s="70">
        <v>16</v>
      </c>
      <c r="B150" s="121" t="s">
        <v>396</v>
      </c>
      <c r="C150" s="122" t="s">
        <v>69</v>
      </c>
      <c r="D150" s="122" t="s">
        <v>461</v>
      </c>
      <c r="E150" s="123" t="s">
        <v>430</v>
      </c>
      <c r="F150" s="123" t="s">
        <v>231</v>
      </c>
      <c r="G150" s="123" t="s">
        <v>471</v>
      </c>
      <c r="H150" s="70">
        <v>9992711616</v>
      </c>
      <c r="I150" s="70">
        <v>15000</v>
      </c>
      <c r="J150" s="70">
        <v>1260</v>
      </c>
      <c r="K150" s="70">
        <f t="shared" si="15"/>
        <v>13740</v>
      </c>
      <c r="L150" s="70">
        <v>810</v>
      </c>
      <c r="M150" s="70">
        <v>25</v>
      </c>
      <c r="N150" s="103">
        <v>46223</v>
      </c>
      <c r="O150" s="103">
        <v>46225</v>
      </c>
      <c r="P150" s="103">
        <v>46245</v>
      </c>
      <c r="Q150" s="120" t="s">
        <v>154</v>
      </c>
    </row>
    <row r="151" spans="1:17">
      <c r="A151" s="70">
        <v>17</v>
      </c>
      <c r="B151" s="122" t="s">
        <v>396</v>
      </c>
      <c r="C151" s="122" t="s">
        <v>69</v>
      </c>
      <c r="D151" s="120" t="s">
        <v>462</v>
      </c>
      <c r="E151" s="123" t="s">
        <v>308</v>
      </c>
      <c r="F151" s="123" t="s">
        <v>133</v>
      </c>
      <c r="G151" s="123" t="s">
        <v>473</v>
      </c>
      <c r="H151" s="70">
        <v>8178672126</v>
      </c>
      <c r="I151" s="70">
        <v>15000</v>
      </c>
      <c r="J151" s="70">
        <v>1260</v>
      </c>
      <c r="K151" s="70">
        <f t="shared" si="15"/>
        <v>13740</v>
      </c>
      <c r="L151" s="70">
        <v>810</v>
      </c>
      <c r="M151" s="70">
        <v>25</v>
      </c>
      <c r="N151" s="103">
        <v>46216</v>
      </c>
      <c r="O151" s="103">
        <v>46225</v>
      </c>
      <c r="P151" s="103">
        <v>46245</v>
      </c>
      <c r="Q151" s="120" t="s">
        <v>154</v>
      </c>
    </row>
    <row r="152" spans="1:17">
      <c r="A152" s="70">
        <v>18</v>
      </c>
      <c r="B152" s="121" t="s">
        <v>396</v>
      </c>
      <c r="C152" s="122" t="s">
        <v>69</v>
      </c>
      <c r="D152" s="121" t="s">
        <v>463</v>
      </c>
      <c r="E152" s="123" t="s">
        <v>453</v>
      </c>
      <c r="F152" s="123" t="s">
        <v>468</v>
      </c>
      <c r="G152" s="123" t="s">
        <v>474</v>
      </c>
      <c r="H152" s="70">
        <v>8570025549</v>
      </c>
      <c r="I152" s="70">
        <v>20000</v>
      </c>
      <c r="J152" s="70">
        <v>1580</v>
      </c>
      <c r="K152" s="70">
        <f t="shared" si="15"/>
        <v>18420</v>
      </c>
      <c r="L152" s="70">
        <v>1000</v>
      </c>
      <c r="M152" s="70">
        <v>27</v>
      </c>
      <c r="N152" s="103">
        <v>46220</v>
      </c>
      <c r="O152" s="103">
        <v>46225</v>
      </c>
      <c r="P152" s="103">
        <v>46245</v>
      </c>
      <c r="Q152" s="120" t="s">
        <v>154</v>
      </c>
    </row>
    <row r="153" spans="1:17">
      <c r="A153" s="70">
        <v>19</v>
      </c>
      <c r="B153" s="122" t="s">
        <v>396</v>
      </c>
      <c r="C153" s="122" t="s">
        <v>69</v>
      </c>
      <c r="D153" s="122" t="s">
        <v>464</v>
      </c>
      <c r="E153" s="123" t="s">
        <v>453</v>
      </c>
      <c r="F153" s="123" t="s">
        <v>71</v>
      </c>
      <c r="G153" s="123" t="s">
        <v>475</v>
      </c>
      <c r="H153" s="70">
        <v>9728970947</v>
      </c>
      <c r="I153" s="70">
        <v>15000</v>
      </c>
      <c r="J153" s="70">
        <v>1260</v>
      </c>
      <c r="K153" s="70">
        <f t="shared" si="15"/>
        <v>13740</v>
      </c>
      <c r="L153" s="70">
        <v>810</v>
      </c>
      <c r="M153" s="70">
        <v>25</v>
      </c>
      <c r="N153" s="103">
        <v>46220</v>
      </c>
      <c r="O153" s="103">
        <v>46225</v>
      </c>
      <c r="P153" s="103">
        <v>46245</v>
      </c>
      <c r="Q153" s="120" t="s">
        <v>154</v>
      </c>
    </row>
    <row r="154" spans="1:17">
      <c r="A154" s="70">
        <v>20</v>
      </c>
      <c r="B154" s="121" t="s">
        <v>396</v>
      </c>
      <c r="C154" s="122" t="s">
        <v>69</v>
      </c>
      <c r="D154" s="120" t="s">
        <v>465</v>
      </c>
      <c r="E154" s="123" t="s">
        <v>225</v>
      </c>
      <c r="F154" s="123" t="s">
        <v>217</v>
      </c>
      <c r="G154" s="123" t="s">
        <v>253</v>
      </c>
      <c r="H154" s="70">
        <v>9306199188</v>
      </c>
      <c r="I154" s="70">
        <v>20000</v>
      </c>
      <c r="J154" s="70">
        <v>1580</v>
      </c>
      <c r="K154" s="70">
        <f t="shared" si="15"/>
        <v>18420</v>
      </c>
      <c r="L154" s="70">
        <v>1000</v>
      </c>
      <c r="M154" s="70">
        <v>27</v>
      </c>
      <c r="N154" s="103">
        <v>46220</v>
      </c>
      <c r="O154" s="103">
        <v>46225</v>
      </c>
      <c r="P154" s="103">
        <v>46245</v>
      </c>
      <c r="Q154" s="120" t="s">
        <v>154</v>
      </c>
    </row>
    <row r="155" spans="1:17">
      <c r="A155" s="70">
        <v>21</v>
      </c>
      <c r="B155" s="122" t="s">
        <v>396</v>
      </c>
      <c r="C155" s="122" t="s">
        <v>69</v>
      </c>
      <c r="D155" s="121" t="s">
        <v>466</v>
      </c>
      <c r="E155" s="123" t="s">
        <v>453</v>
      </c>
      <c r="F155" s="123" t="s">
        <v>469</v>
      </c>
      <c r="G155" s="123" t="s">
        <v>476</v>
      </c>
      <c r="H155" s="70">
        <v>8059713208</v>
      </c>
      <c r="I155" s="70">
        <v>20000</v>
      </c>
      <c r="J155" s="70">
        <v>1580</v>
      </c>
      <c r="K155" s="70">
        <f t="shared" si="15"/>
        <v>18420</v>
      </c>
      <c r="L155" s="70">
        <v>1000</v>
      </c>
      <c r="M155" s="70">
        <v>27</v>
      </c>
      <c r="N155" s="103">
        <v>46223</v>
      </c>
      <c r="O155" s="103">
        <v>46225</v>
      </c>
      <c r="P155" s="103">
        <v>46245</v>
      </c>
      <c r="Q155" s="120" t="s">
        <v>154</v>
      </c>
    </row>
    <row r="156" spans="1:17">
      <c r="A156" s="70">
        <v>22</v>
      </c>
      <c r="B156" s="124" t="s">
        <v>396</v>
      </c>
      <c r="C156" s="124" t="s">
        <v>69</v>
      </c>
      <c r="D156" s="124" t="s">
        <v>477</v>
      </c>
      <c r="E156" s="124" t="s">
        <v>226</v>
      </c>
      <c r="F156" s="124" t="s">
        <v>479</v>
      </c>
      <c r="G156" s="124" t="s">
        <v>481</v>
      </c>
      <c r="H156" s="70">
        <v>7056835124</v>
      </c>
      <c r="I156" s="70">
        <v>20000</v>
      </c>
      <c r="J156" s="70">
        <v>1580</v>
      </c>
      <c r="K156" s="70">
        <f t="shared" ref="K156:K162" si="16">I156-J156</f>
        <v>18420</v>
      </c>
      <c r="L156" s="70">
        <v>1000</v>
      </c>
      <c r="M156" s="70">
        <v>27</v>
      </c>
      <c r="N156" s="103">
        <v>46225</v>
      </c>
      <c r="O156" s="103">
        <v>46227</v>
      </c>
      <c r="P156" s="103">
        <v>46245</v>
      </c>
      <c r="Q156" s="120" t="s">
        <v>154</v>
      </c>
    </row>
    <row r="157" spans="1:17">
      <c r="A157" s="70">
        <v>23</v>
      </c>
      <c r="B157" s="124" t="s">
        <v>396</v>
      </c>
      <c r="C157" s="124" t="s">
        <v>55</v>
      </c>
      <c r="D157" s="124" t="s">
        <v>478</v>
      </c>
      <c r="E157" s="124" t="s">
        <v>430</v>
      </c>
      <c r="F157" s="124" t="s">
        <v>480</v>
      </c>
      <c r="G157" s="124" t="s">
        <v>316</v>
      </c>
      <c r="H157" s="70">
        <v>9996807585</v>
      </c>
      <c r="I157" s="70">
        <v>15000</v>
      </c>
      <c r="J157" s="70">
        <v>1260</v>
      </c>
      <c r="K157" s="70">
        <f t="shared" si="16"/>
        <v>13740</v>
      </c>
      <c r="L157" s="70">
        <v>810</v>
      </c>
      <c r="M157" s="70">
        <v>25</v>
      </c>
      <c r="N157" s="103">
        <v>46225</v>
      </c>
      <c r="O157" s="103">
        <v>46227</v>
      </c>
      <c r="P157" s="103">
        <v>46246</v>
      </c>
      <c r="Q157" s="120" t="s">
        <v>154</v>
      </c>
    </row>
    <row r="158" spans="1:17">
      <c r="A158" s="70">
        <v>24</v>
      </c>
      <c r="B158" s="125" t="s">
        <v>396</v>
      </c>
      <c r="C158" s="125" t="s">
        <v>69</v>
      </c>
      <c r="D158" s="125" t="s">
        <v>482</v>
      </c>
      <c r="E158" s="125" t="s">
        <v>225</v>
      </c>
      <c r="F158" s="125" t="s">
        <v>485</v>
      </c>
      <c r="G158" s="125" t="s">
        <v>487</v>
      </c>
      <c r="H158" s="70">
        <v>9253328570</v>
      </c>
      <c r="I158" s="70">
        <v>20000</v>
      </c>
      <c r="J158" s="70">
        <v>1580</v>
      </c>
      <c r="K158" s="70">
        <f t="shared" si="16"/>
        <v>18420</v>
      </c>
      <c r="L158" s="70">
        <v>1000</v>
      </c>
      <c r="M158" s="70">
        <v>26</v>
      </c>
      <c r="N158" s="103">
        <v>46231</v>
      </c>
      <c r="O158" s="103">
        <v>46231</v>
      </c>
      <c r="P158" s="103">
        <v>46245</v>
      </c>
      <c r="Q158" s="120" t="s">
        <v>154</v>
      </c>
    </row>
    <row r="159" spans="1:17">
      <c r="A159" s="70">
        <v>25</v>
      </c>
      <c r="B159" s="125" t="s">
        <v>396</v>
      </c>
      <c r="C159" s="125" t="s">
        <v>69</v>
      </c>
      <c r="D159" s="125" t="s">
        <v>483</v>
      </c>
      <c r="E159" s="125" t="s">
        <v>484</v>
      </c>
      <c r="F159" s="125" t="s">
        <v>486</v>
      </c>
      <c r="G159" s="125" t="s">
        <v>240</v>
      </c>
      <c r="H159" s="70">
        <v>8955919046</v>
      </c>
      <c r="I159" s="70">
        <v>20000</v>
      </c>
      <c r="J159" s="70">
        <v>1580</v>
      </c>
      <c r="K159" s="70">
        <f t="shared" si="16"/>
        <v>18420</v>
      </c>
      <c r="L159" s="70">
        <v>1000</v>
      </c>
      <c r="M159" s="70">
        <v>26</v>
      </c>
      <c r="N159" s="103">
        <v>46231</v>
      </c>
      <c r="O159" s="103">
        <v>46231</v>
      </c>
      <c r="P159" s="103">
        <v>46245</v>
      </c>
      <c r="Q159" s="120" t="s">
        <v>154</v>
      </c>
    </row>
    <row r="160" spans="1:17">
      <c r="A160" s="70">
        <v>26</v>
      </c>
      <c r="B160" s="125" t="s">
        <v>396</v>
      </c>
      <c r="C160" s="126" t="s">
        <v>55</v>
      </c>
      <c r="D160" s="124" t="s">
        <v>489</v>
      </c>
      <c r="E160" s="126" t="s">
        <v>206</v>
      </c>
      <c r="F160" s="126" t="s">
        <v>121</v>
      </c>
      <c r="G160" s="126" t="s">
        <v>182</v>
      </c>
      <c r="H160" s="70">
        <v>9812689027</v>
      </c>
      <c r="I160" s="70">
        <v>20000</v>
      </c>
      <c r="J160" s="70">
        <v>1580</v>
      </c>
      <c r="K160" s="70">
        <f t="shared" si="16"/>
        <v>18420</v>
      </c>
      <c r="L160" s="70">
        <v>1000</v>
      </c>
      <c r="M160" s="70">
        <v>26</v>
      </c>
      <c r="N160" s="103">
        <v>46223</v>
      </c>
      <c r="O160" s="103">
        <v>46233</v>
      </c>
      <c r="P160" s="103">
        <v>46246</v>
      </c>
      <c r="Q160" s="126" t="s">
        <v>154</v>
      </c>
    </row>
    <row r="161" spans="1:18">
      <c r="A161" s="70">
        <v>27</v>
      </c>
      <c r="B161" s="125" t="s">
        <v>396</v>
      </c>
      <c r="C161" s="126" t="s">
        <v>69</v>
      </c>
      <c r="D161" s="125" t="s">
        <v>490</v>
      </c>
      <c r="E161" s="126" t="s">
        <v>492</v>
      </c>
      <c r="F161" s="126" t="s">
        <v>323</v>
      </c>
      <c r="G161" s="126" t="s">
        <v>494</v>
      </c>
      <c r="H161" s="70">
        <v>8607616916</v>
      </c>
      <c r="I161" s="70">
        <v>15000</v>
      </c>
      <c r="J161" s="70">
        <v>1260</v>
      </c>
      <c r="K161" s="70">
        <f t="shared" si="16"/>
        <v>13740</v>
      </c>
      <c r="L161" s="70">
        <v>810</v>
      </c>
      <c r="M161" s="70">
        <v>25</v>
      </c>
      <c r="N161" s="103">
        <v>46231</v>
      </c>
      <c r="O161" s="103">
        <v>46233</v>
      </c>
      <c r="P161" s="103">
        <v>46245</v>
      </c>
      <c r="Q161" s="126" t="s">
        <v>154</v>
      </c>
    </row>
    <row r="162" spans="1:18">
      <c r="A162" s="70">
        <v>28</v>
      </c>
      <c r="B162" s="125" t="s">
        <v>396</v>
      </c>
      <c r="C162" s="126" t="s">
        <v>55</v>
      </c>
      <c r="D162" s="125" t="s">
        <v>491</v>
      </c>
      <c r="E162" s="126" t="s">
        <v>197</v>
      </c>
      <c r="F162" s="126" t="s">
        <v>493</v>
      </c>
      <c r="G162" s="126" t="s">
        <v>495</v>
      </c>
      <c r="H162" s="70">
        <v>9991020938</v>
      </c>
      <c r="I162" s="70">
        <v>20000</v>
      </c>
      <c r="J162" s="70">
        <v>1580</v>
      </c>
      <c r="K162" s="70">
        <f t="shared" si="16"/>
        <v>18420</v>
      </c>
      <c r="L162" s="70">
        <v>1000</v>
      </c>
      <c r="M162" s="70">
        <v>26</v>
      </c>
      <c r="N162" s="103">
        <v>46225</v>
      </c>
      <c r="O162" s="103">
        <v>46233</v>
      </c>
      <c r="P162" s="103">
        <v>46246</v>
      </c>
      <c r="Q162" s="126" t="s">
        <v>154</v>
      </c>
    </row>
    <row r="163" spans="1:18">
      <c r="A163" s="70">
        <v>29</v>
      </c>
      <c r="B163" s="127" t="s">
        <v>396</v>
      </c>
      <c r="C163" s="127" t="s">
        <v>55</v>
      </c>
      <c r="D163" s="127" t="s">
        <v>496</v>
      </c>
      <c r="E163" s="127" t="s">
        <v>499</v>
      </c>
      <c r="F163" s="127" t="s">
        <v>485</v>
      </c>
      <c r="G163" s="127" t="s">
        <v>393</v>
      </c>
      <c r="H163" s="70">
        <v>9350967898</v>
      </c>
      <c r="I163" s="70">
        <v>20000</v>
      </c>
      <c r="J163" s="70">
        <v>1580</v>
      </c>
      <c r="K163" s="70">
        <f t="shared" ref="K163:K164" si="17">I163-J163</f>
        <v>18420</v>
      </c>
      <c r="L163" s="70">
        <v>1000</v>
      </c>
      <c r="M163" s="70">
        <v>26</v>
      </c>
      <c r="N163" s="103">
        <v>46230</v>
      </c>
      <c r="O163" s="103">
        <v>46234</v>
      </c>
      <c r="P163" s="103">
        <v>46246</v>
      </c>
      <c r="Q163" s="127" t="s">
        <v>154</v>
      </c>
    </row>
    <row r="164" spans="1:18">
      <c r="A164" s="70">
        <v>30</v>
      </c>
      <c r="B164" s="127" t="s">
        <v>396</v>
      </c>
      <c r="C164" s="127" t="s">
        <v>69</v>
      </c>
      <c r="D164" s="127" t="s">
        <v>497</v>
      </c>
      <c r="E164" s="127" t="s">
        <v>500</v>
      </c>
      <c r="F164" s="127" t="s">
        <v>498</v>
      </c>
      <c r="G164" s="127" t="s">
        <v>316</v>
      </c>
      <c r="H164" s="70">
        <v>8930736392</v>
      </c>
      <c r="I164" s="70">
        <v>20000</v>
      </c>
      <c r="J164" s="70">
        <v>1580</v>
      </c>
      <c r="K164" s="70">
        <f t="shared" si="17"/>
        <v>18420</v>
      </c>
      <c r="L164" s="70">
        <v>1000</v>
      </c>
      <c r="M164" s="70">
        <v>26</v>
      </c>
      <c r="N164" s="103">
        <v>46230</v>
      </c>
      <c r="O164" s="103">
        <v>46234</v>
      </c>
      <c r="P164" s="103">
        <v>46245</v>
      </c>
      <c r="Q164" s="127" t="s">
        <v>154</v>
      </c>
    </row>
    <row r="165" spans="1:18">
      <c r="A165" s="70"/>
      <c r="B165" s="127"/>
      <c r="C165" s="127"/>
      <c r="D165" s="127"/>
      <c r="E165" s="127"/>
      <c r="F165" s="127"/>
      <c r="G165" s="127"/>
      <c r="H165" s="70"/>
      <c r="I165" s="70"/>
      <c r="J165" s="70"/>
      <c r="K165" s="70"/>
      <c r="L165" s="70"/>
      <c r="M165" s="70"/>
      <c r="N165" s="103"/>
      <c r="O165" s="103"/>
      <c r="P165" s="103"/>
      <c r="Q165" s="127"/>
    </row>
    <row r="166" spans="1:18">
      <c r="A166" s="70"/>
      <c r="B166" s="70"/>
      <c r="C166" s="70"/>
      <c r="D166" s="70"/>
      <c r="E166" s="70"/>
      <c r="F166" s="70"/>
      <c r="G166" s="70"/>
      <c r="H166" s="70"/>
      <c r="I166" s="70">
        <f>SUM(I135:I165)</f>
        <v>545000</v>
      </c>
      <c r="J166" s="70">
        <f>SUM(J135:J165)</f>
        <v>43760</v>
      </c>
      <c r="K166" s="70">
        <f>SUM(K135:K165)</f>
        <v>501240</v>
      </c>
      <c r="L166" s="70"/>
      <c r="M166" s="70"/>
      <c r="N166" s="70"/>
      <c r="O166" s="70"/>
      <c r="P166" s="70"/>
      <c r="Q166" s="70"/>
    </row>
    <row r="169" spans="1:18" ht="24.75">
      <c r="A169" s="135" t="s">
        <v>501</v>
      </c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</row>
    <row r="170" spans="1:18" ht="45">
      <c r="A170" s="40" t="s">
        <v>87</v>
      </c>
      <c r="B170" s="40" t="s">
        <v>88</v>
      </c>
      <c r="C170" s="40" t="s">
        <v>89</v>
      </c>
      <c r="D170" s="40" t="s">
        <v>90</v>
      </c>
      <c r="E170" s="40" t="s">
        <v>91</v>
      </c>
      <c r="F170" s="40" t="s">
        <v>92</v>
      </c>
      <c r="G170" s="40" t="s">
        <v>93</v>
      </c>
      <c r="H170" s="40" t="s">
        <v>94</v>
      </c>
      <c r="I170" s="40" t="s">
        <v>11</v>
      </c>
      <c r="J170" s="40" t="s">
        <v>12</v>
      </c>
      <c r="K170" s="40" t="s">
        <v>95</v>
      </c>
      <c r="L170" s="40" t="s">
        <v>96</v>
      </c>
      <c r="M170" s="40" t="s">
        <v>17</v>
      </c>
      <c r="N170" s="40" t="s">
        <v>97</v>
      </c>
      <c r="O170" s="40" t="s">
        <v>98</v>
      </c>
      <c r="P170" s="40" t="s">
        <v>43</v>
      </c>
      <c r="Q170" s="40" t="s">
        <v>99</v>
      </c>
      <c r="R170" s="128" t="s">
        <v>488</v>
      </c>
    </row>
    <row r="171" spans="1:18">
      <c r="A171" s="100">
        <v>1</v>
      </c>
      <c r="B171" s="128" t="s">
        <v>51</v>
      </c>
      <c r="C171" s="128" t="s">
        <v>69</v>
      </c>
      <c r="D171" s="128" t="s">
        <v>503</v>
      </c>
      <c r="E171" s="128" t="s">
        <v>505</v>
      </c>
      <c r="F171" s="128" t="s">
        <v>83</v>
      </c>
      <c r="G171" s="128" t="s">
        <v>443</v>
      </c>
      <c r="H171" s="100">
        <v>8595468423</v>
      </c>
      <c r="I171" s="100">
        <v>20000</v>
      </c>
      <c r="J171" s="100">
        <v>1580</v>
      </c>
      <c r="K171" s="100">
        <f>I171-J171</f>
        <v>18420</v>
      </c>
      <c r="L171" s="100">
        <v>1000</v>
      </c>
      <c r="M171" s="100">
        <v>26</v>
      </c>
      <c r="N171" s="129">
        <v>46231</v>
      </c>
      <c r="O171" s="129">
        <v>46239</v>
      </c>
      <c r="P171" s="129">
        <v>37479</v>
      </c>
      <c r="Q171" s="128" t="s">
        <v>154</v>
      </c>
      <c r="R171" s="100">
        <v>6775</v>
      </c>
    </row>
    <row r="172" spans="1:18">
      <c r="A172" s="100">
        <v>2</v>
      </c>
      <c r="B172" s="128" t="s">
        <v>51</v>
      </c>
      <c r="C172" s="128" t="s">
        <v>55</v>
      </c>
      <c r="D172" s="128" t="s">
        <v>504</v>
      </c>
      <c r="E172" s="128" t="s">
        <v>206</v>
      </c>
      <c r="F172" s="128" t="s">
        <v>506</v>
      </c>
      <c r="G172" s="128" t="s">
        <v>507</v>
      </c>
      <c r="H172" s="100">
        <v>9813259251</v>
      </c>
      <c r="I172" s="100">
        <v>20000</v>
      </c>
      <c r="J172" s="100">
        <v>1580</v>
      </c>
      <c r="K172" s="100">
        <f>I172-J172</f>
        <v>18420</v>
      </c>
      <c r="L172" s="100">
        <v>1000</v>
      </c>
      <c r="M172" s="100">
        <v>26</v>
      </c>
      <c r="N172" s="129">
        <v>46230</v>
      </c>
      <c r="O172" s="129">
        <v>46239</v>
      </c>
      <c r="P172" s="129">
        <v>46253</v>
      </c>
      <c r="Q172" s="128" t="s">
        <v>154</v>
      </c>
      <c r="R172" s="100">
        <v>7203</v>
      </c>
    </row>
    <row r="173" spans="1:18">
      <c r="A173" s="100">
        <v>3</v>
      </c>
      <c r="B173" s="128" t="s">
        <v>51</v>
      </c>
      <c r="C173" s="133" t="s">
        <v>69</v>
      </c>
      <c r="D173" s="128" t="s">
        <v>510</v>
      </c>
      <c r="E173" s="133" t="s">
        <v>505</v>
      </c>
      <c r="F173" s="133" t="s">
        <v>323</v>
      </c>
      <c r="G173" s="133" t="s">
        <v>515</v>
      </c>
      <c r="H173" s="100">
        <v>9728147593</v>
      </c>
      <c r="I173" s="100">
        <v>20000</v>
      </c>
      <c r="J173" s="100">
        <v>1580</v>
      </c>
      <c r="K173" s="100">
        <f t="shared" ref="K173:K183" si="18">I173-J173</f>
        <v>18420</v>
      </c>
      <c r="L173" s="100">
        <v>1000</v>
      </c>
      <c r="M173" s="100">
        <v>26</v>
      </c>
      <c r="N173" s="129">
        <v>46239</v>
      </c>
      <c r="O173" s="129">
        <v>46241</v>
      </c>
      <c r="P173" s="129">
        <v>46252</v>
      </c>
      <c r="Q173" s="128" t="s">
        <v>154</v>
      </c>
      <c r="R173" s="100">
        <v>5833</v>
      </c>
    </row>
    <row r="174" spans="1:18">
      <c r="A174" s="100">
        <v>4</v>
      </c>
      <c r="B174" s="128" t="s">
        <v>51</v>
      </c>
      <c r="C174" s="133" t="s">
        <v>55</v>
      </c>
      <c r="D174" s="128" t="s">
        <v>511</v>
      </c>
      <c r="E174" s="133" t="s">
        <v>513</v>
      </c>
      <c r="F174" s="133" t="s">
        <v>135</v>
      </c>
      <c r="G174" s="133" t="s">
        <v>516</v>
      </c>
      <c r="H174" s="100">
        <v>8818019728</v>
      </c>
      <c r="I174" s="100">
        <v>20000</v>
      </c>
      <c r="J174" s="100">
        <v>1580</v>
      </c>
      <c r="K174" s="100">
        <f t="shared" si="18"/>
        <v>18420</v>
      </c>
      <c r="L174" s="100">
        <v>1000</v>
      </c>
      <c r="M174" s="100">
        <v>26</v>
      </c>
      <c r="N174" s="129">
        <v>46239</v>
      </c>
      <c r="O174" s="129">
        <v>46241</v>
      </c>
      <c r="P174" s="129">
        <v>46253</v>
      </c>
      <c r="Q174" s="128" t="s">
        <v>154</v>
      </c>
      <c r="R174" s="100">
        <v>4821</v>
      </c>
    </row>
    <row r="175" spans="1:18">
      <c r="A175" s="100">
        <v>5</v>
      </c>
      <c r="B175" s="128" t="s">
        <v>51</v>
      </c>
      <c r="C175" s="133" t="s">
        <v>55</v>
      </c>
      <c r="D175" s="128" t="s">
        <v>512</v>
      </c>
      <c r="E175" s="133" t="s">
        <v>514</v>
      </c>
      <c r="F175" s="133" t="s">
        <v>59</v>
      </c>
      <c r="G175" s="133" t="s">
        <v>517</v>
      </c>
      <c r="H175" s="100">
        <v>7082390753</v>
      </c>
      <c r="I175" s="100">
        <v>30000</v>
      </c>
      <c r="J175" s="100">
        <v>2200</v>
      </c>
      <c r="K175" s="100">
        <f t="shared" si="18"/>
        <v>27800</v>
      </c>
      <c r="L175" s="100">
        <v>1000</v>
      </c>
      <c r="M175" s="100">
        <v>41</v>
      </c>
      <c r="N175" s="129">
        <v>46239</v>
      </c>
      <c r="O175" s="129">
        <v>46241</v>
      </c>
      <c r="P175" s="129">
        <v>46253</v>
      </c>
      <c r="Q175" s="128" t="s">
        <v>154</v>
      </c>
      <c r="R175" s="100">
        <v>4179</v>
      </c>
    </row>
    <row r="176" spans="1:18">
      <c r="A176" s="100">
        <v>6</v>
      </c>
      <c r="B176" s="134" t="s">
        <v>51</v>
      </c>
      <c r="C176" s="134" t="s">
        <v>69</v>
      </c>
      <c r="D176" s="134" t="s">
        <v>519</v>
      </c>
      <c r="E176" s="134" t="s">
        <v>513</v>
      </c>
      <c r="F176" s="134" t="s">
        <v>520</v>
      </c>
      <c r="G176" s="134" t="s">
        <v>440</v>
      </c>
      <c r="H176" s="100">
        <v>8901271849</v>
      </c>
      <c r="I176" s="100">
        <v>20000</v>
      </c>
      <c r="J176" s="100">
        <v>1580</v>
      </c>
      <c r="K176" s="100">
        <f t="shared" si="18"/>
        <v>18420</v>
      </c>
      <c r="L176" s="100">
        <v>1000</v>
      </c>
      <c r="M176" s="100">
        <v>26</v>
      </c>
      <c r="N176" s="129">
        <v>46241</v>
      </c>
      <c r="O176" s="129">
        <v>46246</v>
      </c>
      <c r="P176" s="129">
        <v>46252</v>
      </c>
      <c r="Q176" s="134" t="s">
        <v>154</v>
      </c>
      <c r="R176" s="100">
        <v>8366</v>
      </c>
    </row>
    <row r="177" spans="1:18">
      <c r="A177" s="100">
        <v>7</v>
      </c>
      <c r="B177" s="128" t="s">
        <v>51</v>
      </c>
      <c r="C177" s="144" t="s">
        <v>55</v>
      </c>
      <c r="D177" s="128" t="s">
        <v>521</v>
      </c>
      <c r="E177" s="144" t="s">
        <v>49</v>
      </c>
      <c r="F177" s="144" t="s">
        <v>254</v>
      </c>
      <c r="G177" s="144" t="s">
        <v>269</v>
      </c>
      <c r="H177" s="100">
        <v>9729160317</v>
      </c>
      <c r="I177" s="100">
        <v>30000</v>
      </c>
      <c r="J177" s="100">
        <v>2200</v>
      </c>
      <c r="K177" s="100">
        <f t="shared" si="18"/>
        <v>27800</v>
      </c>
      <c r="L177" s="100">
        <v>1000</v>
      </c>
      <c r="M177" s="100">
        <v>41</v>
      </c>
      <c r="N177" s="129">
        <v>46241</v>
      </c>
      <c r="O177" s="129">
        <v>46248</v>
      </c>
      <c r="P177" s="129">
        <v>46260</v>
      </c>
      <c r="Q177" s="134" t="s">
        <v>154</v>
      </c>
      <c r="R177" s="100">
        <v>9062</v>
      </c>
    </row>
    <row r="178" spans="1:18">
      <c r="A178" s="100">
        <v>8</v>
      </c>
      <c r="B178" s="134" t="s">
        <v>51</v>
      </c>
      <c r="C178" s="144" t="s">
        <v>69</v>
      </c>
      <c r="D178" s="134" t="s">
        <v>522</v>
      </c>
      <c r="E178" s="144" t="s">
        <v>66</v>
      </c>
      <c r="F178" s="144" t="s">
        <v>120</v>
      </c>
      <c r="G178" s="144" t="s">
        <v>124</v>
      </c>
      <c r="H178" s="100">
        <v>8295596976</v>
      </c>
      <c r="I178" s="100">
        <v>30000</v>
      </c>
      <c r="J178" s="100">
        <v>2200</v>
      </c>
      <c r="K178" s="100">
        <f t="shared" si="18"/>
        <v>27800</v>
      </c>
      <c r="L178" s="100">
        <v>1000</v>
      </c>
      <c r="M178" s="100">
        <v>41</v>
      </c>
      <c r="N178" s="129">
        <v>46241</v>
      </c>
      <c r="O178" s="129">
        <v>46248</v>
      </c>
      <c r="P178" s="129">
        <v>46259</v>
      </c>
      <c r="Q178" s="134" t="s">
        <v>154</v>
      </c>
      <c r="R178" s="100">
        <v>3348</v>
      </c>
    </row>
    <row r="179" spans="1:18">
      <c r="A179" s="100">
        <v>9</v>
      </c>
      <c r="B179" s="128" t="s">
        <v>51</v>
      </c>
      <c r="C179" s="144" t="s">
        <v>55</v>
      </c>
      <c r="D179" s="128" t="s">
        <v>523</v>
      </c>
      <c r="E179" s="144" t="s">
        <v>206</v>
      </c>
      <c r="F179" s="144" t="s">
        <v>323</v>
      </c>
      <c r="G179" s="144" t="s">
        <v>529</v>
      </c>
      <c r="H179" s="100">
        <v>8814961361</v>
      </c>
      <c r="I179" s="100">
        <v>20000</v>
      </c>
      <c r="J179" s="100">
        <v>1580</v>
      </c>
      <c r="K179" s="100">
        <f t="shared" si="18"/>
        <v>18420</v>
      </c>
      <c r="L179" s="100">
        <v>1000</v>
      </c>
      <c r="M179" s="100">
        <v>26</v>
      </c>
      <c r="N179" s="129">
        <v>46245</v>
      </c>
      <c r="O179" s="129">
        <v>46248</v>
      </c>
      <c r="P179" s="129">
        <v>46260</v>
      </c>
      <c r="Q179" s="134" t="s">
        <v>154</v>
      </c>
      <c r="R179" s="100">
        <v>7396</v>
      </c>
    </row>
    <row r="180" spans="1:18">
      <c r="A180" s="100">
        <v>10</v>
      </c>
      <c r="B180" s="134" t="s">
        <v>51</v>
      </c>
      <c r="C180" s="144" t="s">
        <v>69</v>
      </c>
      <c r="D180" s="134" t="s">
        <v>524</v>
      </c>
      <c r="E180" s="144" t="s">
        <v>505</v>
      </c>
      <c r="F180" s="144" t="s">
        <v>83</v>
      </c>
      <c r="G180" s="144" t="s">
        <v>530</v>
      </c>
      <c r="H180" s="100">
        <v>9217693482</v>
      </c>
      <c r="I180" s="100">
        <v>20000</v>
      </c>
      <c r="J180" s="100">
        <v>1580</v>
      </c>
      <c r="K180" s="100">
        <f t="shared" si="18"/>
        <v>18420</v>
      </c>
      <c r="L180" s="100">
        <v>1000</v>
      </c>
      <c r="M180" s="100">
        <v>26</v>
      </c>
      <c r="N180" s="129">
        <v>46242</v>
      </c>
      <c r="O180" s="129">
        <v>46248</v>
      </c>
      <c r="P180" s="129">
        <v>46259</v>
      </c>
      <c r="Q180" s="134" t="s">
        <v>154</v>
      </c>
      <c r="R180" s="100">
        <v>2672</v>
      </c>
    </row>
    <row r="181" spans="1:18">
      <c r="A181" s="100">
        <v>11</v>
      </c>
      <c r="B181" s="128" t="s">
        <v>51</v>
      </c>
      <c r="C181" s="144" t="s">
        <v>69</v>
      </c>
      <c r="D181" s="128" t="s">
        <v>525</v>
      </c>
      <c r="E181" s="144" t="s">
        <v>171</v>
      </c>
      <c r="F181" s="144" t="s">
        <v>163</v>
      </c>
      <c r="G181" s="144" t="s">
        <v>168</v>
      </c>
      <c r="H181" s="100">
        <v>7404474940</v>
      </c>
      <c r="I181" s="100">
        <v>30000</v>
      </c>
      <c r="J181" s="100">
        <v>2200</v>
      </c>
      <c r="K181" s="100">
        <f t="shared" si="18"/>
        <v>27800</v>
      </c>
      <c r="L181" s="100">
        <v>1000</v>
      </c>
      <c r="M181" s="100">
        <v>41</v>
      </c>
      <c r="N181" s="129">
        <v>46245</v>
      </c>
      <c r="O181" s="129">
        <v>46248</v>
      </c>
      <c r="P181" s="129">
        <v>46259</v>
      </c>
      <c r="Q181" s="134" t="s">
        <v>154</v>
      </c>
      <c r="R181" s="100">
        <v>1974</v>
      </c>
    </row>
    <row r="182" spans="1:18">
      <c r="A182" s="100">
        <v>12</v>
      </c>
      <c r="B182" s="134" t="s">
        <v>51</v>
      </c>
      <c r="C182" s="144" t="s">
        <v>69</v>
      </c>
      <c r="D182" s="134" t="s">
        <v>526</v>
      </c>
      <c r="E182" s="144" t="s">
        <v>66</v>
      </c>
      <c r="F182" s="144" t="s">
        <v>121</v>
      </c>
      <c r="G182" s="144" t="s">
        <v>125</v>
      </c>
      <c r="H182" s="100">
        <v>8816907186</v>
      </c>
      <c r="I182" s="100">
        <v>30000</v>
      </c>
      <c r="J182" s="100">
        <v>2200</v>
      </c>
      <c r="K182" s="100">
        <f t="shared" si="18"/>
        <v>27800</v>
      </c>
      <c r="L182" s="100">
        <v>1000</v>
      </c>
      <c r="M182" s="100">
        <v>41</v>
      </c>
      <c r="N182" s="129">
        <v>46246</v>
      </c>
      <c r="O182" s="129">
        <v>46248</v>
      </c>
      <c r="P182" s="129">
        <v>46259</v>
      </c>
      <c r="Q182" s="134" t="s">
        <v>154</v>
      </c>
      <c r="R182" s="100">
        <v>7747</v>
      </c>
    </row>
    <row r="183" spans="1:18">
      <c r="A183" s="100">
        <v>13</v>
      </c>
      <c r="B183" s="128" t="s">
        <v>51</v>
      </c>
      <c r="C183" s="144" t="s">
        <v>69</v>
      </c>
      <c r="D183" s="128" t="s">
        <v>527</v>
      </c>
      <c r="E183" s="144" t="s">
        <v>66</v>
      </c>
      <c r="F183" s="144" t="s">
        <v>528</v>
      </c>
      <c r="G183" s="144" t="s">
        <v>81</v>
      </c>
      <c r="H183" s="100">
        <v>7027566795</v>
      </c>
      <c r="I183" s="144">
        <v>30000</v>
      </c>
      <c r="J183" s="100">
        <v>2200</v>
      </c>
      <c r="K183" s="100">
        <f t="shared" si="18"/>
        <v>27800</v>
      </c>
      <c r="L183" s="100">
        <v>1000</v>
      </c>
      <c r="M183" s="100">
        <v>41</v>
      </c>
      <c r="N183" s="129">
        <v>46241</v>
      </c>
      <c r="O183" s="129">
        <v>46248</v>
      </c>
      <c r="P183" s="129">
        <v>46259</v>
      </c>
      <c r="Q183" s="134" t="s">
        <v>154</v>
      </c>
      <c r="R183" s="100">
        <v>7220</v>
      </c>
    </row>
  </sheetData>
  <autoFilter ref="A22:Q38" xr:uid="{00000000-0001-0000-0100-000000000000}"/>
  <mergeCells count="5">
    <mergeCell ref="A1:Q1"/>
    <mergeCell ref="A21:Q21"/>
    <mergeCell ref="A82:Q82"/>
    <mergeCell ref="A133:Q133"/>
    <mergeCell ref="A169:Q169"/>
  </mergeCells>
  <phoneticPr fontId="4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780-B282-4D95-874A-0BCBD935259D}">
  <dimension ref="E9:J18"/>
  <sheetViews>
    <sheetView topLeftCell="A7" workbookViewId="0">
      <selection activeCell="H16" sqref="H16"/>
    </sheetView>
  </sheetViews>
  <sheetFormatPr defaultRowHeight="15"/>
  <cols>
    <col min="5" max="5" width="17.5703125" bestFit="1" customWidth="1"/>
    <col min="6" max="6" width="13.140625" bestFit="1" customWidth="1"/>
    <col min="7" max="7" width="12.28515625" bestFit="1" customWidth="1"/>
    <col min="8" max="8" width="12.42578125" bestFit="1" customWidth="1"/>
    <col min="9" max="9" width="8.42578125" bestFit="1" customWidth="1"/>
  </cols>
  <sheetData>
    <row r="9" spans="5:10" ht="36" customHeight="1">
      <c r="E9" s="143" t="s">
        <v>509</v>
      </c>
      <c r="F9" s="143"/>
      <c r="G9" s="143"/>
      <c r="H9" s="143"/>
      <c r="I9" s="143"/>
      <c r="J9" s="143"/>
    </row>
    <row r="10" spans="5:10" ht="45">
      <c r="E10" s="18" t="s">
        <v>7</v>
      </c>
      <c r="F10" s="19" t="s">
        <v>8</v>
      </c>
      <c r="G10" s="19" t="s">
        <v>9</v>
      </c>
      <c r="H10" s="1" t="s">
        <v>10</v>
      </c>
      <c r="I10" s="19" t="s">
        <v>11</v>
      </c>
      <c r="J10" s="19" t="s">
        <v>508</v>
      </c>
    </row>
    <row r="11" spans="5:10" ht="15.75">
      <c r="E11" s="5" t="s">
        <v>130</v>
      </c>
      <c r="F11" s="5" t="s">
        <v>133</v>
      </c>
      <c r="G11" s="5" t="s">
        <v>68</v>
      </c>
      <c r="H11" s="5">
        <v>9050180519</v>
      </c>
      <c r="I11" s="6">
        <v>15000</v>
      </c>
      <c r="J11" s="29">
        <v>2250</v>
      </c>
    </row>
    <row r="12" spans="5:10" ht="15.75">
      <c r="E12" s="10" t="s">
        <v>171</v>
      </c>
      <c r="F12" s="10" t="s">
        <v>180</v>
      </c>
      <c r="G12" s="10" t="s">
        <v>182</v>
      </c>
      <c r="H12" s="10">
        <v>8814086202</v>
      </c>
      <c r="I12" s="3">
        <v>15000</v>
      </c>
      <c r="J12" s="29">
        <v>1500</v>
      </c>
    </row>
    <row r="13" spans="5:10" ht="15.75">
      <c r="E13" s="10" t="s">
        <v>225</v>
      </c>
      <c r="F13" s="10" t="s">
        <v>213</v>
      </c>
      <c r="G13" s="10" t="s">
        <v>214</v>
      </c>
      <c r="H13" s="10">
        <v>9034419162</v>
      </c>
      <c r="I13" s="3">
        <v>15000</v>
      </c>
      <c r="J13" s="29">
        <v>750</v>
      </c>
    </row>
    <row r="14" spans="5:10" ht="15.75">
      <c r="E14" s="3" t="s">
        <v>300</v>
      </c>
      <c r="F14" s="3" t="s">
        <v>180</v>
      </c>
      <c r="G14" s="3" t="s">
        <v>78</v>
      </c>
      <c r="H14" s="3">
        <v>7027786391</v>
      </c>
      <c r="I14" s="3">
        <v>20000</v>
      </c>
      <c r="J14" s="29">
        <v>1000</v>
      </c>
    </row>
    <row r="15" spans="5:10" ht="15.75">
      <c r="E15" s="3"/>
      <c r="F15" s="3"/>
      <c r="G15" s="3"/>
      <c r="H15" s="3"/>
      <c r="I15" s="3"/>
      <c r="J15" s="5"/>
    </row>
    <row r="16" spans="5:10" ht="15.75">
      <c r="E16" s="3"/>
      <c r="F16" s="3"/>
      <c r="G16" s="3"/>
      <c r="H16" s="3"/>
      <c r="I16" s="3"/>
      <c r="J16" s="5"/>
    </row>
    <row r="17" spans="5:10">
      <c r="E17" s="3"/>
      <c r="F17" s="3"/>
      <c r="G17" s="3"/>
      <c r="H17" s="3"/>
      <c r="I17" s="3"/>
      <c r="J17" s="3"/>
    </row>
    <row r="18" spans="5:10" ht="15.75">
      <c r="E18" s="3"/>
      <c r="F18" s="3"/>
      <c r="G18" s="3"/>
      <c r="H18" s="3"/>
      <c r="I18" s="3"/>
      <c r="J18" s="130">
        <f>SUM(J11:J17)</f>
        <v>5500</v>
      </c>
    </row>
  </sheetData>
  <mergeCells count="1">
    <mergeCell ref="E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COLLECTION</vt:lpstr>
      <vt:lpstr>PATAUDI M.F</vt:lpstr>
      <vt:lpstr>DEMAND</vt:lpstr>
      <vt:lpstr>db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Kaushik</dc:creator>
  <cp:lastModifiedBy>VIDHI AGGARWAL</cp:lastModifiedBy>
  <cp:lastPrinted>2026-05-27T06:01:14Z</cp:lastPrinted>
  <dcterms:created xsi:type="dcterms:W3CDTF">2015-06-05T18:17:00Z</dcterms:created>
  <dcterms:modified xsi:type="dcterms:W3CDTF">2026-08-17T05:41:51Z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3BB7EAD94F454AB486687A272FF600D8_12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